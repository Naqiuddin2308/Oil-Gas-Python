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F:\"/>
    </mc:Choice>
  </mc:AlternateContent>
  <xr:revisionPtr revIDLastSave="0" documentId="13_ncr:1_{330271C2-8F2A-437F-975A-BA106E117409}" xr6:coauthVersionLast="47" xr6:coauthVersionMax="47" xr10:uidLastSave="{00000000-0000-0000-0000-000000000000}"/>
  <bookViews>
    <workbookView xWindow="29040" yWindow="9060" windowWidth="15720" windowHeight="13815" tabRatio="843" activeTab="1" xr2:uid="{00000000-000D-0000-FFFF-FFFF00000000}"/>
  </bookViews>
  <sheets>
    <sheet name="Dashboard_ProdForecast" sheetId="7" r:id="rId1"/>
    <sheet name="Production_Forecast" sheetId="6" r:id="rId2"/>
  </sheets>
  <definedNames>
    <definedName name="_xlnm.Print_Area" localSheetId="0">Dashboard_ProdForecast!$A$1:$AM$561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12" i="6" l="1"/>
  <c r="Q21" i="6"/>
  <c r="Q173" i="6"/>
  <c r="M8" i="6"/>
  <c r="D8" i="6"/>
  <c r="A13" i="6" l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62" i="6" s="1"/>
  <c r="A63" i="6" s="1"/>
  <c r="A64" i="6" s="1"/>
  <c r="A65" i="6" s="1"/>
  <c r="A66" i="6" s="1"/>
  <c r="A67" i="6" s="1"/>
  <c r="A68" i="6" s="1"/>
  <c r="A69" i="6" s="1"/>
  <c r="A70" i="6" s="1"/>
  <c r="A71" i="6" s="1"/>
  <c r="A72" i="6" s="1"/>
  <c r="A73" i="6" s="1"/>
  <c r="A74" i="6" s="1"/>
  <c r="A75" i="6" s="1"/>
  <c r="A76" i="6" s="1"/>
  <c r="A77" i="6" s="1"/>
  <c r="A78" i="6" s="1"/>
  <c r="A79" i="6" s="1"/>
  <c r="A80" i="6" s="1"/>
  <c r="A81" i="6" s="1"/>
  <c r="A82" i="6" s="1"/>
  <c r="A83" i="6" s="1"/>
  <c r="A84" i="6" s="1"/>
  <c r="A85" i="6" s="1"/>
  <c r="A86" i="6" s="1"/>
  <c r="A87" i="6" s="1"/>
  <c r="A88" i="6" s="1"/>
  <c r="A89" i="6" s="1"/>
  <c r="A90" i="6" s="1"/>
  <c r="A91" i="6" s="1"/>
  <c r="A92" i="6" s="1"/>
  <c r="A93" i="6" s="1"/>
  <c r="A94" i="6" s="1"/>
  <c r="A95" i="6" s="1"/>
  <c r="A96" i="6" s="1"/>
  <c r="A97" i="6" s="1"/>
  <c r="A98" i="6" s="1"/>
  <c r="A99" i="6" s="1"/>
  <c r="A100" i="6" s="1"/>
  <c r="A101" i="6" s="1"/>
  <c r="A102" i="6" s="1"/>
  <c r="A103" i="6" s="1"/>
  <c r="A104" i="6" s="1"/>
  <c r="A105" i="6" s="1"/>
  <c r="A106" i="6" s="1"/>
  <c r="A107" i="6" s="1"/>
  <c r="A108" i="6" s="1"/>
  <c r="A109" i="6" s="1"/>
  <c r="A110" i="6" s="1"/>
  <c r="A111" i="6" s="1"/>
  <c r="A112" i="6" s="1"/>
  <c r="A113" i="6" s="1"/>
  <c r="A114" i="6" s="1"/>
  <c r="A115" i="6" s="1"/>
  <c r="A116" i="6" s="1"/>
  <c r="A117" i="6" s="1"/>
  <c r="A118" i="6" s="1"/>
  <c r="A119" i="6" s="1"/>
  <c r="A120" i="6" s="1"/>
  <c r="A121" i="6" s="1"/>
  <c r="A122" i="6" s="1"/>
  <c r="A123" i="6" s="1"/>
  <c r="A124" i="6" s="1"/>
  <c r="A125" i="6" s="1"/>
  <c r="A126" i="6" s="1"/>
  <c r="A127" i="6" s="1"/>
  <c r="A128" i="6" s="1"/>
  <c r="A129" i="6" s="1"/>
  <c r="A130" i="6" s="1"/>
  <c r="A131" i="6" s="1"/>
  <c r="A132" i="6" s="1"/>
  <c r="A133" i="6" s="1"/>
  <c r="A134" i="6" s="1"/>
  <c r="A135" i="6" s="1"/>
  <c r="A136" i="6" s="1"/>
  <c r="A137" i="6" s="1"/>
  <c r="A138" i="6" s="1"/>
  <c r="A139" i="6" s="1"/>
  <c r="A140" i="6" s="1"/>
  <c r="A141" i="6" s="1"/>
  <c r="A142" i="6" s="1"/>
  <c r="A143" i="6" s="1"/>
  <c r="A144" i="6" s="1"/>
  <c r="A145" i="6" s="1"/>
  <c r="A146" i="6" s="1"/>
  <c r="A147" i="6" s="1"/>
  <c r="A148" i="6" s="1"/>
  <c r="A149" i="6" s="1"/>
  <c r="A150" i="6" s="1"/>
  <c r="A151" i="6" s="1"/>
  <c r="A152" i="6" s="1"/>
  <c r="A153" i="6" s="1"/>
  <c r="A154" i="6" s="1"/>
  <c r="A155" i="6" s="1"/>
  <c r="A156" i="6" s="1"/>
  <c r="A157" i="6" s="1"/>
  <c r="A158" i="6" s="1"/>
  <c r="A159" i="6" s="1"/>
  <c r="A160" i="6" s="1"/>
  <c r="A161" i="6" s="1"/>
  <c r="A162" i="6" s="1"/>
  <c r="A163" i="6" s="1"/>
  <c r="A164" i="6" s="1"/>
  <c r="A165" i="6" s="1"/>
  <c r="A166" i="6" s="1"/>
  <c r="A167" i="6" s="1"/>
  <c r="A168" i="6" s="1"/>
  <c r="A169" i="6" s="1"/>
  <c r="A170" i="6" s="1"/>
  <c r="A171" i="6" s="1"/>
  <c r="A172" i="6" s="1"/>
  <c r="A173" i="6" s="1"/>
  <c r="A174" i="6" s="1"/>
  <c r="A175" i="6" s="1"/>
  <c r="A176" i="6" s="1"/>
  <c r="A177" i="6" s="1"/>
  <c r="A178" i="6" s="1"/>
  <c r="A179" i="6" s="1"/>
  <c r="A180" i="6" s="1"/>
  <c r="A181" i="6" s="1"/>
  <c r="A182" i="6" s="1"/>
  <c r="A183" i="6" s="1"/>
  <c r="A184" i="6" s="1"/>
  <c r="A185" i="6" s="1"/>
  <c r="A186" i="6" s="1"/>
  <c r="A187" i="6" s="1"/>
  <c r="A188" i="6" s="1"/>
  <c r="A189" i="6" s="1"/>
  <c r="A190" i="6" s="1"/>
  <c r="A191" i="6" s="1"/>
  <c r="A192" i="6" s="1"/>
  <c r="A193" i="6" s="1"/>
  <c r="A194" i="6" s="1"/>
  <c r="A195" i="6" s="1"/>
  <c r="A196" i="6" s="1"/>
  <c r="A197" i="6" s="1"/>
  <c r="A198" i="6" s="1"/>
  <c r="A199" i="6" s="1"/>
  <c r="A200" i="6" s="1"/>
  <c r="A201" i="6" s="1"/>
  <c r="A202" i="6" s="1"/>
  <c r="A203" i="6" s="1"/>
  <c r="A204" i="6" s="1"/>
  <c r="A205" i="6" s="1"/>
  <c r="A206" i="6" s="1"/>
  <c r="A207" i="6" s="1"/>
  <c r="A208" i="6" s="1"/>
  <c r="A209" i="6" s="1"/>
  <c r="A210" i="6" s="1"/>
  <c r="A211" i="6" s="1"/>
  <c r="A212" i="6" s="1"/>
  <c r="A213" i="6" s="1"/>
  <c r="A214" i="6" s="1"/>
  <c r="A215" i="6" s="1"/>
  <c r="A216" i="6" s="1"/>
  <c r="A217" i="6" s="1"/>
  <c r="A218" i="6" s="1"/>
  <c r="A219" i="6" s="1"/>
  <c r="A220" i="6" s="1"/>
  <c r="A221" i="6" s="1"/>
  <c r="A222" i="6" s="1"/>
  <c r="A223" i="6" s="1"/>
  <c r="A224" i="6" s="1"/>
  <c r="A225" i="6" s="1"/>
  <c r="A226" i="6" s="1"/>
  <c r="A227" i="6" s="1"/>
  <c r="A228" i="6" s="1"/>
  <c r="A229" i="6" s="1"/>
  <c r="A230" i="6" s="1"/>
  <c r="A231" i="6" s="1"/>
  <c r="A232" i="6" s="1"/>
  <c r="A233" i="6" s="1"/>
  <c r="A234" i="6" s="1"/>
  <c r="A235" i="6" s="1"/>
  <c r="A236" i="6" s="1"/>
  <c r="A237" i="6" s="1"/>
  <c r="A238" i="6" s="1"/>
  <c r="A239" i="6" s="1"/>
  <c r="A240" i="6" s="1"/>
  <c r="A241" i="6" s="1"/>
  <c r="A242" i="6" s="1"/>
  <c r="A243" i="6" s="1"/>
  <c r="A244" i="6" s="1"/>
  <c r="A245" i="6" s="1"/>
  <c r="A246" i="6" s="1"/>
  <c r="A247" i="6" s="1"/>
  <c r="A248" i="6" s="1"/>
  <c r="A249" i="6" s="1"/>
  <c r="A250" i="6" s="1"/>
  <c r="A251" i="6" s="1"/>
  <c r="A252" i="6" s="1"/>
  <c r="A253" i="6" s="1"/>
  <c r="A254" i="6" s="1"/>
  <c r="A255" i="6" s="1"/>
  <c r="A256" i="6" s="1"/>
  <c r="A257" i="6" s="1"/>
  <c r="A258" i="6" s="1"/>
  <c r="A259" i="6" s="1"/>
  <c r="A260" i="6" s="1"/>
  <c r="A261" i="6" s="1"/>
  <c r="A262" i="6" s="1"/>
  <c r="A263" i="6" s="1"/>
  <c r="A264" i="6" s="1"/>
  <c r="A265" i="6" s="1"/>
  <c r="A266" i="6" s="1"/>
  <c r="A267" i="6" s="1"/>
  <c r="A268" i="6" s="1"/>
  <c r="A269" i="6" s="1"/>
  <c r="A270" i="6" s="1"/>
  <c r="A271" i="6" s="1"/>
  <c r="A272" i="6" s="1"/>
  <c r="A273" i="6" s="1"/>
  <c r="A274" i="6" s="1"/>
  <c r="A275" i="6" s="1"/>
  <c r="A276" i="6" s="1"/>
  <c r="A277" i="6" s="1"/>
  <c r="A278" i="6" s="1"/>
  <c r="A279" i="6" s="1"/>
  <c r="A280" i="6" s="1"/>
  <c r="A281" i="6" s="1"/>
  <c r="A282" i="6" s="1"/>
  <c r="A283" i="6" s="1"/>
  <c r="A284" i="6" s="1"/>
  <c r="A285" i="6" s="1"/>
  <c r="A286" i="6" s="1"/>
  <c r="A287" i="6" s="1"/>
  <c r="A288" i="6" s="1"/>
  <c r="A289" i="6" s="1"/>
  <c r="A290" i="6" s="1"/>
  <c r="A291" i="6" s="1"/>
  <c r="A292" i="6" s="1"/>
  <c r="A293" i="6" s="1"/>
  <c r="A294" i="6" s="1"/>
  <c r="A295" i="6" s="1"/>
  <c r="A296" i="6" s="1"/>
  <c r="A297" i="6" s="1"/>
  <c r="A298" i="6" s="1"/>
  <c r="A299" i="6" s="1"/>
  <c r="A300" i="6" s="1"/>
  <c r="A301" i="6" s="1"/>
  <c r="A302" i="6" s="1"/>
  <c r="A303" i="6" s="1"/>
  <c r="A304" i="6" s="1"/>
  <c r="A305" i="6" s="1"/>
  <c r="A306" i="6" s="1"/>
  <c r="A307" i="6" s="1"/>
  <c r="A308" i="6" s="1"/>
  <c r="A309" i="6" s="1"/>
  <c r="A310" i="6" s="1"/>
  <c r="A311" i="6" s="1"/>
  <c r="A312" i="6" s="1"/>
  <c r="A313" i="6" s="1"/>
  <c r="A314" i="6" s="1"/>
  <c r="A315" i="6" s="1"/>
  <c r="A316" i="6" s="1"/>
  <c r="A317" i="6" s="1"/>
  <c r="A318" i="6" s="1"/>
  <c r="A319" i="6" s="1"/>
  <c r="A320" i="6" s="1"/>
  <c r="A321" i="6" s="1"/>
  <c r="A322" i="6" s="1"/>
  <c r="A323" i="6" s="1"/>
  <c r="A324" i="6" s="1"/>
  <c r="A325" i="6" s="1"/>
  <c r="A326" i="6" s="1"/>
  <c r="A327" i="6" s="1"/>
  <c r="A328" i="6" s="1"/>
  <c r="A329" i="6" s="1"/>
  <c r="A330" i="6" s="1"/>
  <c r="A331" i="6" s="1"/>
  <c r="A332" i="6" s="1"/>
  <c r="A333" i="6" s="1"/>
  <c r="A334" i="6" s="1"/>
  <c r="A335" i="6" s="1"/>
  <c r="A336" i="6" s="1"/>
  <c r="A337" i="6" s="1"/>
  <c r="A338" i="6" s="1"/>
  <c r="A339" i="6" s="1"/>
  <c r="A340" i="6" s="1"/>
  <c r="A341" i="6" s="1"/>
  <c r="A342" i="6" s="1"/>
  <c r="A343" i="6" s="1"/>
  <c r="A344" i="6" s="1"/>
  <c r="A345" i="6" s="1"/>
  <c r="A346" i="6" s="1"/>
  <c r="A347" i="6" s="1"/>
  <c r="A348" i="6" s="1"/>
  <c r="A349" i="6" s="1"/>
  <c r="A350" i="6" s="1"/>
  <c r="A351" i="6" s="1"/>
  <c r="A352" i="6" s="1"/>
  <c r="A353" i="6" s="1"/>
  <c r="A354" i="6" s="1"/>
  <c r="A355" i="6" s="1"/>
  <c r="A356" i="6" s="1"/>
  <c r="A357" i="6" s="1"/>
  <c r="A358" i="6" s="1"/>
  <c r="A359" i="6" s="1"/>
  <c r="A360" i="6" s="1"/>
  <c r="A361" i="6" s="1"/>
  <c r="A362" i="6" s="1"/>
  <c r="A363" i="6" s="1"/>
  <c r="A364" i="6" s="1"/>
  <c r="A365" i="6" s="1"/>
  <c r="A366" i="6" s="1"/>
  <c r="A367" i="6" s="1"/>
  <c r="A368" i="6" s="1"/>
  <c r="A369" i="6" s="1"/>
  <c r="A370" i="6" s="1"/>
  <c r="A371" i="6" s="1"/>
  <c r="A372" i="6" s="1"/>
  <c r="A373" i="6" s="1"/>
  <c r="A374" i="6" s="1"/>
  <c r="A375" i="6" s="1"/>
  <c r="A376" i="6" s="1"/>
  <c r="A377" i="6" s="1"/>
  <c r="A378" i="6" s="1"/>
  <c r="A379" i="6" s="1"/>
  <c r="A380" i="6" s="1"/>
  <c r="A381" i="6" s="1"/>
  <c r="A382" i="6" s="1"/>
  <c r="A383" i="6" s="1"/>
  <c r="A384" i="6" s="1"/>
  <c r="A385" i="6" s="1"/>
  <c r="A386" i="6" s="1"/>
  <c r="A387" i="6" s="1"/>
  <c r="A388" i="6" s="1"/>
  <c r="A389" i="6" s="1"/>
  <c r="A390" i="6" s="1"/>
  <c r="A391" i="6" s="1"/>
  <c r="A392" i="6" s="1"/>
  <c r="A393" i="6" s="1"/>
  <c r="A394" i="6" s="1"/>
  <c r="A395" i="6" s="1"/>
  <c r="A396" i="6" s="1"/>
  <c r="A397" i="6" s="1"/>
  <c r="A398" i="6" s="1"/>
  <c r="A399" i="6" s="1"/>
  <c r="A400" i="6" s="1"/>
  <c r="A401" i="6" s="1"/>
  <c r="A402" i="6" s="1"/>
  <c r="A403" i="6" s="1"/>
  <c r="A404" i="6" s="1"/>
  <c r="A405" i="6" s="1"/>
  <c r="A406" i="6" s="1"/>
  <c r="A407" i="6" s="1"/>
  <c r="A408" i="6" s="1"/>
  <c r="A409" i="6" s="1"/>
  <c r="A410" i="6" s="1"/>
  <c r="A411" i="6" s="1"/>
  <c r="A412" i="6" s="1"/>
  <c r="A413" i="6" s="1"/>
  <c r="A414" i="6" s="1"/>
  <c r="A415" i="6" s="1"/>
  <c r="A416" i="6" s="1"/>
  <c r="A417" i="6" s="1"/>
  <c r="A418" i="6" s="1"/>
  <c r="A419" i="6" s="1"/>
  <c r="A420" i="6" s="1"/>
  <c r="A421" i="6" s="1"/>
  <c r="A422" i="6" s="1"/>
  <c r="A423" i="6" s="1"/>
  <c r="A424" i="6" s="1"/>
  <c r="A425" i="6" s="1"/>
  <c r="A426" i="6" s="1"/>
  <c r="A427" i="6" s="1"/>
  <c r="A428" i="6" s="1"/>
  <c r="A429" i="6" s="1"/>
  <c r="A430" i="6" s="1"/>
  <c r="A431" i="6" s="1"/>
  <c r="A432" i="6" s="1"/>
  <c r="A433" i="6" s="1"/>
  <c r="A434" i="6" s="1"/>
  <c r="A435" i="6" s="1"/>
  <c r="A436" i="6" s="1"/>
  <c r="A437" i="6" s="1"/>
  <c r="A438" i="6" s="1"/>
  <c r="A439" i="6" s="1"/>
  <c r="A440" i="6" s="1"/>
  <c r="A441" i="6" s="1"/>
  <c r="A442" i="6" s="1"/>
  <c r="A443" i="6" s="1"/>
  <c r="A444" i="6" s="1"/>
  <c r="A445" i="6" s="1"/>
  <c r="A446" i="6" s="1"/>
  <c r="A447" i="6" s="1"/>
  <c r="A448" i="6" s="1"/>
  <c r="A449" i="6" s="1"/>
  <c r="A450" i="6" s="1"/>
  <c r="A451" i="6" s="1"/>
  <c r="A452" i="6" s="1"/>
  <c r="A453" i="6" s="1"/>
  <c r="A454" i="6" s="1"/>
  <c r="A455" i="6" s="1"/>
  <c r="A456" i="6" s="1"/>
  <c r="A457" i="6" s="1"/>
  <c r="A458" i="6" s="1"/>
  <c r="A459" i="6" s="1"/>
  <c r="A460" i="6" s="1"/>
  <c r="A461" i="6" s="1"/>
  <c r="A462" i="6" s="1"/>
  <c r="A463" i="6" s="1"/>
  <c r="A464" i="6" s="1"/>
  <c r="A465" i="6" s="1"/>
  <c r="A466" i="6" s="1"/>
  <c r="A467" i="6" s="1"/>
  <c r="A468" i="6" s="1"/>
  <c r="A469" i="6" s="1"/>
  <c r="A470" i="6" s="1"/>
  <c r="A471" i="6" s="1"/>
  <c r="A472" i="6" s="1"/>
  <c r="A473" i="6" s="1"/>
  <c r="A474" i="6" s="1"/>
  <c r="A475" i="6" s="1"/>
  <c r="A476" i="6" s="1"/>
  <c r="A477" i="6" s="1"/>
  <c r="A478" i="6" s="1"/>
  <c r="A479" i="6" s="1"/>
  <c r="A480" i="6" s="1"/>
  <c r="A481" i="6" s="1"/>
  <c r="A482" i="6" s="1"/>
  <c r="A483" i="6" s="1"/>
  <c r="A484" i="6" s="1"/>
  <c r="A485" i="6" s="1"/>
  <c r="A486" i="6" s="1"/>
  <c r="A487" i="6" s="1"/>
  <c r="A488" i="6" s="1"/>
  <c r="A489" i="6" s="1"/>
  <c r="A490" i="6" s="1"/>
  <c r="A491" i="6" s="1"/>
  <c r="A492" i="6" s="1"/>
  <c r="A493" i="6" s="1"/>
  <c r="A494" i="6" s="1"/>
  <c r="A495" i="6" s="1"/>
  <c r="A496" i="6" s="1"/>
  <c r="A497" i="6" s="1"/>
  <c r="A498" i="6" s="1"/>
  <c r="A499" i="6" s="1"/>
  <c r="A500" i="6" s="1"/>
  <c r="A501" i="6" s="1"/>
  <c r="A502" i="6" s="1"/>
  <c r="A503" i="6" s="1"/>
  <c r="A504" i="6" s="1"/>
  <c r="A505" i="6" s="1"/>
  <c r="A506" i="6" s="1"/>
  <c r="A507" i="6" s="1"/>
  <c r="A508" i="6" s="1"/>
  <c r="A509" i="6" s="1"/>
  <c r="A510" i="6" s="1"/>
  <c r="A511" i="6" s="1"/>
  <c r="A512" i="6" s="1"/>
  <c r="A513" i="6" s="1"/>
  <c r="A514" i="6" s="1"/>
  <c r="A515" i="6" s="1"/>
  <c r="A516" i="6" s="1"/>
  <c r="A517" i="6" s="1"/>
  <c r="A518" i="6" s="1"/>
  <c r="A519" i="6" s="1"/>
  <c r="A520" i="6" s="1"/>
  <c r="A521" i="6" s="1"/>
  <c r="A522" i="6" s="1"/>
  <c r="A523" i="6" s="1"/>
  <c r="A524" i="6" s="1"/>
  <c r="A525" i="6" s="1"/>
  <c r="A526" i="6" s="1"/>
  <c r="A527" i="6" s="1"/>
  <c r="A528" i="6" s="1"/>
  <c r="A529" i="6" s="1"/>
  <c r="A530" i="6" s="1"/>
  <c r="A531" i="6" s="1"/>
  <c r="A532" i="6" s="1"/>
  <c r="A533" i="6" s="1"/>
  <c r="A534" i="6" s="1"/>
  <c r="A535" i="6" s="1"/>
  <c r="A536" i="6" s="1"/>
  <c r="A537" i="6" s="1"/>
  <c r="A538" i="6" s="1"/>
  <c r="A539" i="6" s="1"/>
  <c r="A540" i="6" s="1"/>
  <c r="A541" i="6" s="1"/>
  <c r="A542" i="6" s="1"/>
  <c r="A543" i="6" s="1"/>
  <c r="A544" i="6" s="1"/>
  <c r="A545" i="6" s="1"/>
  <c r="A546" i="6" s="1"/>
  <c r="A547" i="6" s="1"/>
  <c r="A548" i="6" s="1"/>
  <c r="A549" i="6" s="1"/>
  <c r="A550" i="6" s="1"/>
  <c r="A551" i="6" s="1"/>
  <c r="A552" i="6" s="1"/>
  <c r="A553" i="6" s="1"/>
  <c r="A554" i="6" s="1"/>
  <c r="A555" i="6" s="1"/>
  <c r="A556" i="6" s="1"/>
  <c r="A557" i="6" s="1"/>
  <c r="A558" i="6" s="1"/>
  <c r="A559" i="6" s="1"/>
  <c r="A560" i="6" s="1"/>
  <c r="A561" i="6" s="1"/>
  <c r="A562" i="6" s="1"/>
  <c r="A563" i="6" s="1"/>
  <c r="A564" i="6" s="1"/>
  <c r="A565" i="6" s="1"/>
  <c r="A566" i="6" s="1"/>
  <c r="A567" i="6" s="1"/>
  <c r="A568" i="6" s="1"/>
  <c r="A569" i="6" s="1"/>
  <c r="A570" i="6" s="1"/>
  <c r="A571" i="6" s="1"/>
  <c r="A572" i="6" s="1"/>
  <c r="A573" i="6" s="1"/>
  <c r="A574" i="6" s="1"/>
  <c r="A575" i="6" s="1"/>
  <c r="A576" i="6" s="1"/>
  <c r="A577" i="6" s="1"/>
  <c r="A578" i="6" s="1"/>
  <c r="A579" i="6" s="1"/>
  <c r="A580" i="6" s="1"/>
  <c r="A581" i="6" s="1"/>
  <c r="A582" i="6" s="1"/>
  <c r="A583" i="6" s="1"/>
  <c r="A584" i="6" s="1"/>
  <c r="A585" i="6" s="1"/>
  <c r="A586" i="6" s="1"/>
  <c r="A587" i="6" s="1"/>
  <c r="A588" i="6" s="1"/>
  <c r="A589" i="6" s="1"/>
  <c r="A590" i="6" s="1"/>
  <c r="A591" i="6" s="1"/>
  <c r="A592" i="6" s="1"/>
  <c r="A593" i="6" s="1"/>
  <c r="A594" i="6" s="1"/>
  <c r="A595" i="6" s="1"/>
  <c r="A596" i="6" s="1"/>
  <c r="A597" i="6" s="1"/>
  <c r="A598" i="6" s="1"/>
  <c r="A599" i="6" s="1"/>
  <c r="A600" i="6" s="1"/>
  <c r="A601" i="6" s="1"/>
  <c r="A602" i="6" s="1"/>
  <c r="A603" i="6" s="1"/>
  <c r="A604" i="6" s="1"/>
  <c r="A605" i="6" s="1"/>
  <c r="A606" i="6" s="1"/>
  <c r="A607" i="6" s="1"/>
  <c r="A608" i="6" s="1"/>
  <c r="A609" i="6" s="1"/>
  <c r="A610" i="6" s="1"/>
  <c r="A611" i="6" s="1"/>
  <c r="A612" i="6" s="1"/>
  <c r="A613" i="6" s="1"/>
  <c r="A614" i="6" s="1"/>
  <c r="A615" i="6" s="1"/>
  <c r="A616" i="6" s="1"/>
  <c r="A617" i="6" s="1"/>
  <c r="A618" i="6" s="1"/>
  <c r="A619" i="6" s="1"/>
  <c r="A620" i="6" s="1"/>
  <c r="A621" i="6" s="1"/>
  <c r="A622" i="6" s="1"/>
  <c r="A623" i="6" s="1"/>
  <c r="A624" i="6" s="1"/>
  <c r="A625" i="6" s="1"/>
  <c r="A626" i="6" s="1"/>
  <c r="A627" i="6" s="1"/>
  <c r="A628" i="6" s="1"/>
  <c r="A629" i="6" s="1"/>
  <c r="A630" i="6" s="1"/>
  <c r="A631" i="6" s="1"/>
  <c r="A632" i="6" s="1"/>
  <c r="A633" i="6" s="1"/>
  <c r="A634" i="6" s="1"/>
  <c r="A635" i="6" s="1"/>
  <c r="A636" i="6" s="1"/>
  <c r="A637" i="6" s="1"/>
  <c r="A638" i="6" s="1"/>
  <c r="A639" i="6" s="1"/>
  <c r="A640" i="6" s="1"/>
  <c r="A641" i="6" s="1"/>
  <c r="A642" i="6" s="1"/>
  <c r="A643" i="6" s="1"/>
  <c r="A644" i="6" s="1"/>
  <c r="A645" i="6" s="1"/>
  <c r="A646" i="6" s="1"/>
  <c r="A647" i="6" s="1"/>
  <c r="A648" i="6" s="1"/>
  <c r="A649" i="6" s="1"/>
  <c r="A650" i="6" s="1"/>
  <c r="A651" i="6" s="1"/>
  <c r="A652" i="6" s="1"/>
  <c r="A653" i="6" s="1"/>
  <c r="A654" i="6" s="1"/>
  <c r="A655" i="6" s="1"/>
  <c r="A656" i="6" s="1"/>
  <c r="A657" i="6" s="1"/>
  <c r="A658" i="6" s="1"/>
  <c r="A659" i="6" s="1"/>
  <c r="A660" i="6" s="1"/>
  <c r="A661" i="6" s="1"/>
  <c r="A662" i="6" s="1"/>
  <c r="A663" i="6" s="1"/>
  <c r="A664" i="6" s="1"/>
  <c r="A665" i="6" s="1"/>
  <c r="A666" i="6" s="1"/>
  <c r="A667" i="6" s="1"/>
  <c r="A668" i="6" s="1"/>
  <c r="A669" i="6" s="1"/>
  <c r="A670" i="6" s="1"/>
  <c r="A671" i="6" s="1"/>
  <c r="A672" i="6" s="1"/>
  <c r="A673" i="6" s="1"/>
  <c r="A674" i="6" s="1"/>
  <c r="A675" i="6" s="1"/>
  <c r="A676" i="6" s="1"/>
  <c r="A677" i="6" s="1"/>
  <c r="A678" i="6" s="1"/>
  <c r="A679" i="6" s="1"/>
  <c r="A680" i="6" s="1"/>
  <c r="A681" i="6" s="1"/>
  <c r="A682" i="6" s="1"/>
  <c r="A683" i="6" s="1"/>
  <c r="A684" i="6" s="1"/>
  <c r="A685" i="6" s="1"/>
  <c r="A686" i="6" s="1"/>
  <c r="A687" i="6" s="1"/>
  <c r="A688" i="6" s="1"/>
  <c r="A689" i="6" s="1"/>
  <c r="A690" i="6" s="1"/>
  <c r="A691" i="6" s="1"/>
  <c r="A692" i="6" s="1"/>
  <c r="A693" i="6" s="1"/>
  <c r="A694" i="6" s="1"/>
  <c r="A695" i="6" s="1"/>
  <c r="A696" i="6" s="1"/>
  <c r="A697" i="6" s="1"/>
  <c r="A698" i="6" s="1"/>
  <c r="A699" i="6" s="1"/>
  <c r="A700" i="6" s="1"/>
  <c r="A701" i="6" s="1"/>
  <c r="A702" i="6" s="1"/>
  <c r="A703" i="6" s="1"/>
  <c r="A704" i="6" s="1"/>
  <c r="A705" i="6" s="1"/>
  <c r="A706" i="6" s="1"/>
  <c r="A707" i="6" s="1"/>
  <c r="A708" i="6" s="1"/>
  <c r="A709" i="6" s="1"/>
  <c r="A710" i="6" s="1"/>
  <c r="A711" i="6" s="1"/>
  <c r="A712" i="6" s="1"/>
  <c r="A713" i="6" s="1"/>
  <c r="A714" i="6" s="1"/>
  <c r="A715" i="6" s="1"/>
  <c r="A716" i="6" s="1"/>
  <c r="A717" i="6" s="1"/>
  <c r="A718" i="6" s="1"/>
  <c r="A719" i="6" s="1"/>
  <c r="A720" i="6" s="1"/>
  <c r="A721" i="6" s="1"/>
  <c r="A722" i="6" s="1"/>
  <c r="A723" i="6" s="1"/>
  <c r="A724" i="6" s="1"/>
  <c r="A725" i="6" s="1"/>
  <c r="A726" i="6" s="1"/>
  <c r="A727" i="6" s="1"/>
  <c r="A728" i="6" s="1"/>
  <c r="A729" i="6" s="1"/>
  <c r="A730" i="6" s="1"/>
  <c r="A731" i="6" s="1"/>
  <c r="A732" i="6" s="1"/>
  <c r="A733" i="6" s="1"/>
  <c r="A734" i="6" s="1"/>
  <c r="A735" i="6" s="1"/>
  <c r="A736" i="6" s="1"/>
  <c r="A737" i="6" s="1"/>
  <c r="A738" i="6" s="1"/>
  <c r="A739" i="6" s="1"/>
  <c r="A740" i="6" s="1"/>
  <c r="A741" i="6" s="1"/>
  <c r="A742" i="6" s="1"/>
  <c r="A743" i="6" s="1"/>
  <c r="A744" i="6" s="1"/>
  <c r="A745" i="6" s="1"/>
  <c r="A746" i="6" s="1"/>
  <c r="A747" i="6" s="1"/>
  <c r="A748" i="6" s="1"/>
  <c r="A749" i="6" s="1"/>
  <c r="A750" i="6" s="1"/>
  <c r="A751" i="6" s="1"/>
  <c r="A752" i="6" s="1"/>
  <c r="A753" i="6" s="1"/>
  <c r="A754" i="6" s="1"/>
  <c r="A755" i="6" s="1"/>
  <c r="A756" i="6" s="1"/>
  <c r="A757" i="6" s="1"/>
  <c r="A758" i="6" s="1"/>
  <c r="A759" i="6" s="1"/>
  <c r="A760" i="6" s="1"/>
  <c r="A761" i="6" s="1"/>
  <c r="A762" i="6" s="1"/>
  <c r="A763" i="6" s="1"/>
  <c r="A764" i="6" s="1"/>
  <c r="A765" i="6" s="1"/>
  <c r="A766" i="6" s="1"/>
  <c r="A767" i="6" s="1"/>
  <c r="A768" i="6" s="1"/>
  <c r="A769" i="6" s="1"/>
  <c r="A770" i="6" s="1"/>
  <c r="A771" i="6" s="1"/>
  <c r="A772" i="6" s="1"/>
  <c r="A773" i="6" s="1"/>
  <c r="A774" i="6" s="1"/>
  <c r="A775" i="6" s="1"/>
  <c r="A776" i="6" s="1"/>
  <c r="A777" i="6" s="1"/>
  <c r="A778" i="6" s="1"/>
  <c r="A779" i="6" s="1"/>
  <c r="A780" i="6" s="1"/>
  <c r="A781" i="6" s="1"/>
  <c r="A782" i="6" s="1"/>
  <c r="A783" i="6" s="1"/>
  <c r="A784" i="6" s="1"/>
  <c r="A785" i="6" s="1"/>
  <c r="A786" i="6" s="1"/>
  <c r="A787" i="6" s="1"/>
  <c r="A788" i="6" s="1"/>
  <c r="A789" i="6" s="1"/>
  <c r="A790" i="6" s="1"/>
  <c r="A791" i="6" s="1"/>
  <c r="A792" i="6" s="1"/>
  <c r="A793" i="6" s="1"/>
  <c r="A794" i="6" s="1"/>
  <c r="A795" i="6" s="1"/>
  <c r="A796" i="6" s="1"/>
  <c r="A797" i="6" s="1"/>
  <c r="A798" i="6" s="1"/>
  <c r="A799" i="6" s="1"/>
  <c r="A800" i="6" s="1"/>
  <c r="A801" i="6" s="1"/>
  <c r="A802" i="6" s="1"/>
  <c r="A803" i="6" s="1"/>
  <c r="A804" i="6" s="1"/>
  <c r="A805" i="6" s="1"/>
  <c r="A806" i="6" s="1"/>
  <c r="A807" i="6" s="1"/>
  <c r="A808" i="6" s="1"/>
  <c r="A809" i="6" s="1"/>
  <c r="A810" i="6" s="1"/>
  <c r="A811" i="6" s="1"/>
  <c r="A812" i="6" s="1"/>
  <c r="A813" i="6" s="1"/>
  <c r="A814" i="6" s="1"/>
  <c r="A815" i="6" s="1"/>
  <c r="A816" i="6" s="1"/>
  <c r="A817" i="6" s="1"/>
  <c r="A818" i="6" s="1"/>
  <c r="A819" i="6" s="1"/>
  <c r="A820" i="6" s="1"/>
  <c r="A821" i="6" s="1"/>
  <c r="A822" i="6" s="1"/>
  <c r="A823" i="6" s="1"/>
  <c r="A824" i="6" s="1"/>
  <c r="A825" i="6" s="1"/>
  <c r="A826" i="6" s="1"/>
  <c r="A827" i="6" s="1"/>
  <c r="A828" i="6" s="1"/>
  <c r="A829" i="6" s="1"/>
  <c r="A830" i="6" s="1"/>
  <c r="A831" i="6" s="1"/>
  <c r="A832" i="6" s="1"/>
  <c r="A833" i="6" s="1"/>
  <c r="A834" i="6" s="1"/>
  <c r="A835" i="6" s="1"/>
  <c r="A836" i="6" s="1"/>
  <c r="A837" i="6" s="1"/>
  <c r="A838" i="6" s="1"/>
  <c r="A839" i="6" s="1"/>
  <c r="A840" i="6" s="1"/>
  <c r="A841" i="6" s="1"/>
  <c r="A842" i="6" s="1"/>
  <c r="A843" i="6" s="1"/>
  <c r="A844" i="6" s="1"/>
  <c r="A845" i="6" s="1"/>
  <c r="A846" i="6" s="1"/>
  <c r="A847" i="6" s="1"/>
  <c r="A848" i="6" s="1"/>
  <c r="A849" i="6" s="1"/>
  <c r="A850" i="6" s="1"/>
  <c r="A851" i="6" s="1"/>
  <c r="A852" i="6" s="1"/>
  <c r="A853" i="6" s="1"/>
  <c r="A854" i="6" s="1"/>
  <c r="A855" i="6" s="1"/>
  <c r="A856" i="6" s="1"/>
  <c r="A857" i="6" s="1"/>
  <c r="A858" i="6" s="1"/>
  <c r="A859" i="6" s="1"/>
  <c r="A860" i="6" s="1"/>
  <c r="A861" i="6" s="1"/>
  <c r="A862" i="6" s="1"/>
  <c r="A863" i="6" s="1"/>
  <c r="A864" i="6" s="1"/>
  <c r="A865" i="6" s="1"/>
  <c r="A866" i="6" s="1"/>
  <c r="A867" i="6" s="1"/>
  <c r="A868" i="6" s="1"/>
  <c r="A869" i="6" s="1"/>
  <c r="A870" i="6" s="1"/>
  <c r="A871" i="6" s="1"/>
  <c r="A872" i="6" s="1"/>
  <c r="A873" i="6" s="1"/>
  <c r="A874" i="6" s="1"/>
  <c r="A875" i="6" s="1"/>
  <c r="A876" i="6" s="1"/>
  <c r="A877" i="6" s="1"/>
  <c r="A878" i="6" s="1"/>
  <c r="A879" i="6" s="1"/>
  <c r="A880" i="6" s="1"/>
  <c r="A881" i="6" s="1"/>
  <c r="A882" i="6" s="1"/>
  <c r="A883" i="6" s="1"/>
  <c r="A884" i="6" s="1"/>
  <c r="A885" i="6" s="1"/>
  <c r="A886" i="6" s="1"/>
  <c r="A887" i="6" s="1"/>
  <c r="A888" i="6" s="1"/>
  <c r="A889" i="6" s="1"/>
  <c r="A890" i="6" s="1"/>
  <c r="A891" i="6" s="1"/>
  <c r="A892" i="6" s="1"/>
  <c r="A893" i="6" s="1"/>
  <c r="A894" i="6" s="1"/>
  <c r="A895" i="6" s="1"/>
  <c r="A896" i="6" s="1"/>
  <c r="A897" i="6" s="1"/>
  <c r="A898" i="6" s="1"/>
  <c r="A899" i="6" s="1"/>
  <c r="A900" i="6" s="1"/>
  <c r="A901" i="6" s="1"/>
  <c r="A902" i="6" s="1"/>
  <c r="A903" i="6" s="1"/>
  <c r="A904" i="6" s="1"/>
  <c r="A905" i="6" s="1"/>
  <c r="A906" i="6" s="1"/>
  <c r="A907" i="6" s="1"/>
  <c r="A908" i="6" s="1"/>
  <c r="A909" i="6" s="1"/>
  <c r="A910" i="6" s="1"/>
  <c r="A911" i="6" s="1"/>
  <c r="A912" i="6" s="1"/>
  <c r="A913" i="6" s="1"/>
  <c r="A914" i="6" s="1"/>
  <c r="A915" i="6" s="1"/>
  <c r="A916" i="6" s="1"/>
  <c r="A917" i="6" s="1"/>
  <c r="A918" i="6" s="1"/>
  <c r="A919" i="6" s="1"/>
  <c r="A920" i="6" s="1"/>
  <c r="A921" i="6" s="1"/>
  <c r="A922" i="6" s="1"/>
  <c r="A923" i="6" s="1"/>
  <c r="A924" i="6" s="1"/>
  <c r="A925" i="6" s="1"/>
  <c r="A926" i="6" s="1"/>
  <c r="A927" i="6" s="1"/>
  <c r="A928" i="6" s="1"/>
  <c r="A929" i="6" s="1"/>
  <c r="A930" i="6" s="1"/>
  <c r="A931" i="6" s="1"/>
  <c r="A932" i="6" s="1"/>
  <c r="A933" i="6" s="1"/>
  <c r="A934" i="6" s="1"/>
  <c r="A935" i="6" s="1"/>
  <c r="A936" i="6" s="1"/>
  <c r="A937" i="6" s="1"/>
  <c r="A938" i="6" s="1"/>
  <c r="A939" i="6" s="1"/>
  <c r="A940" i="6" s="1"/>
  <c r="A941" i="6" s="1"/>
  <c r="A942" i="6" s="1"/>
  <c r="A943" i="6" s="1"/>
  <c r="A944" i="6" s="1"/>
  <c r="A945" i="6" s="1"/>
  <c r="A946" i="6" s="1"/>
  <c r="A947" i="6" s="1"/>
  <c r="A948" i="6" s="1"/>
  <c r="A949" i="6" s="1"/>
  <c r="A950" i="6" s="1"/>
  <c r="A951" i="6" s="1"/>
  <c r="A952" i="6" s="1"/>
  <c r="A953" i="6" s="1"/>
  <c r="A954" i="6" s="1"/>
  <c r="A955" i="6" s="1"/>
  <c r="A956" i="6" s="1"/>
  <c r="A957" i="6" s="1"/>
  <c r="A958" i="6" s="1"/>
  <c r="A959" i="6" s="1"/>
  <c r="A960" i="6" s="1"/>
  <c r="A961" i="6" s="1"/>
  <c r="A962" i="6" s="1"/>
  <c r="A963" i="6" s="1"/>
  <c r="A964" i="6" s="1"/>
  <c r="A965" i="6" s="1"/>
  <c r="A966" i="6" s="1"/>
  <c r="A967" i="6" s="1"/>
  <c r="A968" i="6" s="1"/>
  <c r="A969" i="6" s="1"/>
  <c r="A970" i="6" s="1"/>
  <c r="A971" i="6" s="1"/>
  <c r="A972" i="6" s="1"/>
  <c r="A973" i="6" s="1"/>
  <c r="A974" i="6" s="1"/>
  <c r="A975" i="6" s="1"/>
  <c r="A976" i="6" s="1"/>
  <c r="A977" i="6" s="1"/>
  <c r="A978" i="6" s="1"/>
  <c r="A979" i="6" s="1"/>
  <c r="A980" i="6" s="1"/>
  <c r="A981" i="6" s="1"/>
  <c r="A982" i="6" s="1"/>
  <c r="A983" i="6" s="1"/>
  <c r="A984" i="6" s="1"/>
  <c r="A985" i="6" s="1"/>
  <c r="A986" i="6" s="1"/>
  <c r="A987" i="6" s="1"/>
  <c r="A988" i="6" s="1"/>
  <c r="A989" i="6" s="1"/>
  <c r="A990" i="6" s="1"/>
  <c r="A991" i="6" s="1"/>
  <c r="A992" i="6" s="1"/>
  <c r="A993" i="6" s="1"/>
  <c r="A994" i="6" s="1"/>
  <c r="A995" i="6" s="1"/>
  <c r="A996" i="6" s="1"/>
  <c r="A997" i="6" s="1"/>
  <c r="A998" i="6" s="1"/>
  <c r="A999" i="6" s="1"/>
  <c r="A1000" i="6" s="1"/>
  <c r="A1001" i="6" s="1"/>
  <c r="A1002" i="6" s="1"/>
  <c r="A1003" i="6" s="1"/>
  <c r="A1004" i="6" s="1"/>
  <c r="A1005" i="6" s="1"/>
  <c r="A1006" i="6" s="1"/>
  <c r="A1007" i="6" s="1"/>
  <c r="A1008" i="6" s="1"/>
  <c r="A1009" i="6" s="1"/>
  <c r="A1010" i="6" s="1"/>
  <c r="A1011" i="6" s="1"/>
  <c r="A1012" i="6" s="1"/>
  <c r="C9" i="6" l="1"/>
  <c r="D9" i="6"/>
  <c r="E9" i="6"/>
  <c r="B9" i="6"/>
  <c r="C8" i="6"/>
  <c r="E8" i="6"/>
  <c r="B8" i="6"/>
  <c r="C6" i="6"/>
  <c r="D6" i="6"/>
  <c r="E6" i="6"/>
  <c r="B6" i="6"/>
  <c r="C5" i="6"/>
  <c r="D5" i="6"/>
  <c r="E5" i="6"/>
  <c r="E7" i="6" s="1"/>
  <c r="B5" i="6"/>
  <c r="B7" i="6" s="1"/>
  <c r="C4" i="6"/>
  <c r="D4" i="6"/>
  <c r="E4" i="6"/>
  <c r="B4" i="6"/>
  <c r="C3" i="6"/>
  <c r="D3" i="6"/>
  <c r="E3" i="6"/>
  <c r="C2" i="6"/>
  <c r="D2" i="6"/>
  <c r="E2" i="6"/>
  <c r="B2" i="6"/>
  <c r="E118" i="6" l="1"/>
  <c r="E126" i="6"/>
  <c r="E134" i="6"/>
  <c r="E142" i="6"/>
  <c r="E150" i="6"/>
  <c r="E158" i="6"/>
  <c r="E166" i="6"/>
  <c r="E174" i="6"/>
  <c r="E182" i="6"/>
  <c r="E190" i="6"/>
  <c r="E198" i="6"/>
  <c r="E206" i="6"/>
  <c r="E214" i="6"/>
  <c r="E222" i="6"/>
  <c r="E230" i="6"/>
  <c r="E238" i="6"/>
  <c r="E246" i="6"/>
  <c r="E254" i="6"/>
  <c r="E262" i="6"/>
  <c r="E270" i="6"/>
  <c r="E278" i="6"/>
  <c r="E286" i="6"/>
  <c r="E294" i="6"/>
  <c r="E302" i="6"/>
  <c r="E310" i="6"/>
  <c r="E318" i="6"/>
  <c r="E326" i="6"/>
  <c r="E334" i="6"/>
  <c r="E342" i="6"/>
  <c r="E350" i="6"/>
  <c r="E358" i="6"/>
  <c r="E366" i="6"/>
  <c r="E374" i="6"/>
  <c r="E382" i="6"/>
  <c r="E390" i="6"/>
  <c r="E398" i="6"/>
  <c r="E406" i="6"/>
  <c r="E414" i="6"/>
  <c r="E422" i="6"/>
  <c r="E430" i="6"/>
  <c r="E438" i="6"/>
  <c r="E446" i="6"/>
  <c r="E454" i="6"/>
  <c r="E462" i="6"/>
  <c r="E470" i="6"/>
  <c r="E478" i="6"/>
  <c r="E486" i="6"/>
  <c r="E494" i="6"/>
  <c r="E502" i="6"/>
  <c r="E510" i="6"/>
  <c r="E518" i="6"/>
  <c r="E526" i="6"/>
  <c r="E534" i="6"/>
  <c r="E542" i="6"/>
  <c r="E550" i="6"/>
  <c r="E558" i="6"/>
  <c r="E566" i="6"/>
  <c r="E574" i="6"/>
  <c r="E582" i="6"/>
  <c r="E590" i="6"/>
  <c r="E598" i="6"/>
  <c r="E606" i="6"/>
  <c r="E614" i="6"/>
  <c r="E622" i="6"/>
  <c r="E630" i="6"/>
  <c r="E638" i="6"/>
  <c r="E646" i="6"/>
  <c r="E654" i="6"/>
  <c r="E662" i="6"/>
  <c r="E670" i="6"/>
  <c r="E678" i="6"/>
  <c r="E686" i="6"/>
  <c r="E694" i="6"/>
  <c r="E702" i="6"/>
  <c r="E710" i="6"/>
  <c r="E718" i="6"/>
  <c r="E726" i="6"/>
  <c r="E734" i="6"/>
  <c r="E742" i="6"/>
  <c r="E750" i="6"/>
  <c r="E758" i="6"/>
  <c r="E766" i="6"/>
  <c r="E774" i="6"/>
  <c r="E782" i="6"/>
  <c r="E790" i="6"/>
  <c r="E798" i="6"/>
  <c r="E806" i="6"/>
  <c r="E814" i="6"/>
  <c r="E822" i="6"/>
  <c r="E830" i="6"/>
  <c r="E838" i="6"/>
  <c r="E846" i="6"/>
  <c r="E854" i="6"/>
  <c r="E862" i="6"/>
  <c r="E870" i="6"/>
  <c r="E878" i="6"/>
  <c r="E886" i="6"/>
  <c r="E894" i="6"/>
  <c r="E902" i="6"/>
  <c r="E910" i="6"/>
  <c r="E918" i="6"/>
  <c r="E926" i="6"/>
  <c r="E934" i="6"/>
  <c r="E942" i="6"/>
  <c r="E950" i="6"/>
  <c r="E958" i="6"/>
  <c r="E966" i="6"/>
  <c r="E974" i="6"/>
  <c r="E982" i="6"/>
  <c r="E990" i="6"/>
  <c r="E998" i="6"/>
  <c r="E1006" i="6"/>
  <c r="E119" i="6"/>
  <c r="E127" i="6"/>
  <c r="E135" i="6"/>
  <c r="E143" i="6"/>
  <c r="E151" i="6"/>
  <c r="E159" i="6"/>
  <c r="E167" i="6"/>
  <c r="E175" i="6"/>
  <c r="E183" i="6"/>
  <c r="E191" i="6"/>
  <c r="E199" i="6"/>
  <c r="E207" i="6"/>
  <c r="E215" i="6"/>
  <c r="E223" i="6"/>
  <c r="E231" i="6"/>
  <c r="E239" i="6"/>
  <c r="E247" i="6"/>
  <c r="E255" i="6"/>
  <c r="E263" i="6"/>
  <c r="E271" i="6"/>
  <c r="E279" i="6"/>
  <c r="E287" i="6"/>
  <c r="E295" i="6"/>
  <c r="E303" i="6"/>
  <c r="E311" i="6"/>
  <c r="E319" i="6"/>
  <c r="E327" i="6"/>
  <c r="E335" i="6"/>
  <c r="E343" i="6"/>
  <c r="E351" i="6"/>
  <c r="E359" i="6"/>
  <c r="E367" i="6"/>
  <c r="E375" i="6"/>
  <c r="E383" i="6"/>
  <c r="E391" i="6"/>
  <c r="E399" i="6"/>
  <c r="E407" i="6"/>
  <c r="E415" i="6"/>
  <c r="E423" i="6"/>
  <c r="E431" i="6"/>
  <c r="E439" i="6"/>
  <c r="E447" i="6"/>
  <c r="E455" i="6"/>
  <c r="E463" i="6"/>
  <c r="E471" i="6"/>
  <c r="E479" i="6"/>
  <c r="E487" i="6"/>
  <c r="E495" i="6"/>
  <c r="E503" i="6"/>
  <c r="E511" i="6"/>
  <c r="E519" i="6"/>
  <c r="E527" i="6"/>
  <c r="E535" i="6"/>
  <c r="E543" i="6"/>
  <c r="E551" i="6"/>
  <c r="E559" i="6"/>
  <c r="E567" i="6"/>
  <c r="E575" i="6"/>
  <c r="E583" i="6"/>
  <c r="E591" i="6"/>
  <c r="E599" i="6"/>
  <c r="E607" i="6"/>
  <c r="E615" i="6"/>
  <c r="E623" i="6"/>
  <c r="E631" i="6"/>
  <c r="E639" i="6"/>
  <c r="E647" i="6"/>
  <c r="E655" i="6"/>
  <c r="E663" i="6"/>
  <c r="E671" i="6"/>
  <c r="E679" i="6"/>
  <c r="E687" i="6"/>
  <c r="E695" i="6"/>
  <c r="E703" i="6"/>
  <c r="E711" i="6"/>
  <c r="E719" i="6"/>
  <c r="E727" i="6"/>
  <c r="E735" i="6"/>
  <c r="E743" i="6"/>
  <c r="E751" i="6"/>
  <c r="E759" i="6"/>
  <c r="E767" i="6"/>
  <c r="E775" i="6"/>
  <c r="E783" i="6"/>
  <c r="E791" i="6"/>
  <c r="E799" i="6"/>
  <c r="E807" i="6"/>
  <c r="E815" i="6"/>
  <c r="E823" i="6"/>
  <c r="E831" i="6"/>
  <c r="E839" i="6"/>
  <c r="E847" i="6"/>
  <c r="E855" i="6"/>
  <c r="E863" i="6"/>
  <c r="E871" i="6"/>
  <c r="E879" i="6"/>
  <c r="E887" i="6"/>
  <c r="E895" i="6"/>
  <c r="E903" i="6"/>
  <c r="E911" i="6"/>
  <c r="E919" i="6"/>
  <c r="E927" i="6"/>
  <c r="E935" i="6"/>
  <c r="E943" i="6"/>
  <c r="E951" i="6"/>
  <c r="E959" i="6"/>
  <c r="E967" i="6"/>
  <c r="E975" i="6"/>
  <c r="E983" i="6"/>
  <c r="E991" i="6"/>
  <c r="E999" i="6"/>
  <c r="E1007" i="6"/>
  <c r="E122" i="6"/>
  <c r="E132" i="6"/>
  <c r="E144" i="6"/>
  <c r="E154" i="6"/>
  <c r="E164" i="6"/>
  <c r="E176" i="6"/>
  <c r="E186" i="6"/>
  <c r="E196" i="6"/>
  <c r="E208" i="6"/>
  <c r="E218" i="6"/>
  <c r="E228" i="6"/>
  <c r="E240" i="6"/>
  <c r="E250" i="6"/>
  <c r="E260" i="6"/>
  <c r="E272" i="6"/>
  <c r="E282" i="6"/>
  <c r="E292" i="6"/>
  <c r="E304" i="6"/>
  <c r="E314" i="6"/>
  <c r="E324" i="6"/>
  <c r="E336" i="6"/>
  <c r="E346" i="6"/>
  <c r="E356" i="6"/>
  <c r="E368" i="6"/>
  <c r="E378" i="6"/>
  <c r="E388" i="6"/>
  <c r="E400" i="6"/>
  <c r="E410" i="6"/>
  <c r="E420" i="6"/>
  <c r="E432" i="6"/>
  <c r="E442" i="6"/>
  <c r="E452" i="6"/>
  <c r="E464" i="6"/>
  <c r="E474" i="6"/>
  <c r="E484" i="6"/>
  <c r="E496" i="6"/>
  <c r="E506" i="6"/>
  <c r="E516" i="6"/>
  <c r="E528" i="6"/>
  <c r="E538" i="6"/>
  <c r="E548" i="6"/>
  <c r="E560" i="6"/>
  <c r="E570" i="6"/>
  <c r="E580" i="6"/>
  <c r="E592" i="6"/>
  <c r="E602" i="6"/>
  <c r="E612" i="6"/>
  <c r="E624" i="6"/>
  <c r="E634" i="6"/>
  <c r="E644" i="6"/>
  <c r="E656" i="6"/>
  <c r="E666" i="6"/>
  <c r="E676" i="6"/>
  <c r="E688" i="6"/>
  <c r="E698" i="6"/>
  <c r="E708" i="6"/>
  <c r="E720" i="6"/>
  <c r="E730" i="6"/>
  <c r="E740" i="6"/>
  <c r="E752" i="6"/>
  <c r="E762" i="6"/>
  <c r="E772" i="6"/>
  <c r="E784" i="6"/>
  <c r="E794" i="6"/>
  <c r="E804" i="6"/>
  <c r="E816" i="6"/>
  <c r="E826" i="6"/>
  <c r="E836" i="6"/>
  <c r="E848" i="6"/>
  <c r="E858" i="6"/>
  <c r="E868" i="6"/>
  <c r="E880" i="6"/>
  <c r="E890" i="6"/>
  <c r="E900" i="6"/>
  <c r="E912" i="6"/>
  <c r="E922" i="6"/>
  <c r="E932" i="6"/>
  <c r="E944" i="6"/>
  <c r="E954" i="6"/>
  <c r="E964" i="6"/>
  <c r="E976" i="6"/>
  <c r="E986" i="6"/>
  <c r="E996" i="6"/>
  <c r="E1008" i="6"/>
  <c r="E114" i="6"/>
  <c r="E136" i="6"/>
  <c r="E156" i="6"/>
  <c r="E178" i="6"/>
  <c r="E200" i="6"/>
  <c r="E220" i="6"/>
  <c r="E242" i="6"/>
  <c r="E264" i="6"/>
  <c r="E284" i="6"/>
  <c r="E306" i="6"/>
  <c r="E328" i="6"/>
  <c r="E348" i="6"/>
  <c r="E370" i="6"/>
  <c r="E392" i="6"/>
  <c r="E412" i="6"/>
  <c r="E434" i="6"/>
  <c r="E456" i="6"/>
  <c r="E476" i="6"/>
  <c r="E498" i="6"/>
  <c r="E520" i="6"/>
  <c r="E540" i="6"/>
  <c r="E562" i="6"/>
  <c r="E584" i="6"/>
  <c r="E604" i="6"/>
  <c r="E626" i="6"/>
  <c r="E648" i="6"/>
  <c r="E668" i="6"/>
  <c r="E690" i="6"/>
  <c r="E712" i="6"/>
  <c r="E732" i="6"/>
  <c r="E754" i="6"/>
  <c r="E776" i="6"/>
  <c r="E796" i="6"/>
  <c r="E818" i="6"/>
  <c r="E840" i="6"/>
  <c r="E860" i="6"/>
  <c r="E882" i="6"/>
  <c r="E904" i="6"/>
  <c r="E924" i="6"/>
  <c r="E113" i="6"/>
  <c r="E123" i="6"/>
  <c r="E133" i="6"/>
  <c r="E145" i="6"/>
  <c r="E155" i="6"/>
  <c r="E165" i="6"/>
  <c r="E177" i="6"/>
  <c r="E187" i="6"/>
  <c r="E197" i="6"/>
  <c r="E209" i="6"/>
  <c r="E219" i="6"/>
  <c r="E229" i="6"/>
  <c r="E241" i="6"/>
  <c r="E251" i="6"/>
  <c r="E261" i="6"/>
  <c r="E273" i="6"/>
  <c r="E283" i="6"/>
  <c r="E293" i="6"/>
  <c r="E305" i="6"/>
  <c r="E315" i="6"/>
  <c r="E325" i="6"/>
  <c r="E337" i="6"/>
  <c r="E347" i="6"/>
  <c r="E357" i="6"/>
  <c r="E369" i="6"/>
  <c r="E379" i="6"/>
  <c r="E389" i="6"/>
  <c r="E401" i="6"/>
  <c r="E411" i="6"/>
  <c r="E421" i="6"/>
  <c r="E433" i="6"/>
  <c r="E443" i="6"/>
  <c r="E453" i="6"/>
  <c r="E465" i="6"/>
  <c r="E475" i="6"/>
  <c r="E485" i="6"/>
  <c r="E497" i="6"/>
  <c r="E507" i="6"/>
  <c r="E517" i="6"/>
  <c r="E529" i="6"/>
  <c r="E539" i="6"/>
  <c r="E549" i="6"/>
  <c r="E561" i="6"/>
  <c r="E571" i="6"/>
  <c r="E581" i="6"/>
  <c r="E593" i="6"/>
  <c r="E603" i="6"/>
  <c r="E613" i="6"/>
  <c r="E625" i="6"/>
  <c r="E635" i="6"/>
  <c r="E645" i="6"/>
  <c r="E657" i="6"/>
  <c r="E667" i="6"/>
  <c r="E677" i="6"/>
  <c r="E689" i="6"/>
  <c r="E699" i="6"/>
  <c r="E709" i="6"/>
  <c r="E721" i="6"/>
  <c r="E731" i="6"/>
  <c r="E741" i="6"/>
  <c r="E753" i="6"/>
  <c r="E763" i="6"/>
  <c r="E773" i="6"/>
  <c r="E785" i="6"/>
  <c r="E795" i="6"/>
  <c r="E805" i="6"/>
  <c r="E817" i="6"/>
  <c r="E827" i="6"/>
  <c r="E837" i="6"/>
  <c r="E849" i="6"/>
  <c r="E859" i="6"/>
  <c r="E869" i="6"/>
  <c r="E881" i="6"/>
  <c r="E891" i="6"/>
  <c r="E901" i="6"/>
  <c r="E913" i="6"/>
  <c r="E923" i="6"/>
  <c r="E933" i="6"/>
  <c r="E945" i="6"/>
  <c r="E955" i="6"/>
  <c r="E965" i="6"/>
  <c r="E977" i="6"/>
  <c r="E987" i="6"/>
  <c r="E997" i="6"/>
  <c r="E1009" i="6"/>
  <c r="E124" i="6"/>
  <c r="E146" i="6"/>
  <c r="E168" i="6"/>
  <c r="E188" i="6"/>
  <c r="E210" i="6"/>
  <c r="E232" i="6"/>
  <c r="E252" i="6"/>
  <c r="E274" i="6"/>
  <c r="E296" i="6"/>
  <c r="E316" i="6"/>
  <c r="E338" i="6"/>
  <c r="E360" i="6"/>
  <c r="E380" i="6"/>
  <c r="E402" i="6"/>
  <c r="E424" i="6"/>
  <c r="E444" i="6"/>
  <c r="E466" i="6"/>
  <c r="E488" i="6"/>
  <c r="E508" i="6"/>
  <c r="E530" i="6"/>
  <c r="E552" i="6"/>
  <c r="E572" i="6"/>
  <c r="E594" i="6"/>
  <c r="E616" i="6"/>
  <c r="E636" i="6"/>
  <c r="E658" i="6"/>
  <c r="E680" i="6"/>
  <c r="E700" i="6"/>
  <c r="E722" i="6"/>
  <c r="E744" i="6"/>
  <c r="E764" i="6"/>
  <c r="E786" i="6"/>
  <c r="E808" i="6"/>
  <c r="E828" i="6"/>
  <c r="E850" i="6"/>
  <c r="E872" i="6"/>
  <c r="E892" i="6"/>
  <c r="E914" i="6"/>
  <c r="E120" i="6"/>
  <c r="E138" i="6"/>
  <c r="E153" i="6"/>
  <c r="E171" i="6"/>
  <c r="E189" i="6"/>
  <c r="E204" i="6"/>
  <c r="E224" i="6"/>
  <c r="E237" i="6"/>
  <c r="E257" i="6"/>
  <c r="E275" i="6"/>
  <c r="E290" i="6"/>
  <c r="E121" i="6"/>
  <c r="E139" i="6"/>
  <c r="E157" i="6"/>
  <c r="E172" i="6"/>
  <c r="E192" i="6"/>
  <c r="E205" i="6"/>
  <c r="E225" i="6"/>
  <c r="E243" i="6"/>
  <c r="E258" i="6"/>
  <c r="E276" i="6"/>
  <c r="E291" i="6"/>
  <c r="E309" i="6"/>
  <c r="E329" i="6"/>
  <c r="E344" i="6"/>
  <c r="E362" i="6"/>
  <c r="E377" i="6"/>
  <c r="E395" i="6"/>
  <c r="E413" i="6"/>
  <c r="E428" i="6"/>
  <c r="E448" i="6"/>
  <c r="E461" i="6"/>
  <c r="E481" i="6"/>
  <c r="E499" i="6"/>
  <c r="E514" i="6"/>
  <c r="E532" i="6"/>
  <c r="E547" i="6"/>
  <c r="E565" i="6"/>
  <c r="E585" i="6"/>
  <c r="E600" i="6"/>
  <c r="E618" i="6"/>
  <c r="E633" i="6"/>
  <c r="E651" i="6"/>
  <c r="E669" i="6"/>
  <c r="E684" i="6"/>
  <c r="E704" i="6"/>
  <c r="E717" i="6"/>
  <c r="E737" i="6"/>
  <c r="E755" i="6"/>
  <c r="E770" i="6"/>
  <c r="E788" i="6"/>
  <c r="E803" i="6"/>
  <c r="E821" i="6"/>
  <c r="E841" i="6"/>
  <c r="E856" i="6"/>
  <c r="E874" i="6"/>
  <c r="E889" i="6"/>
  <c r="E907" i="6"/>
  <c r="E925" i="6"/>
  <c r="E939" i="6"/>
  <c r="E953" i="6"/>
  <c r="E969" i="6"/>
  <c r="E981" i="6"/>
  <c r="E995" i="6"/>
  <c r="E1011" i="6"/>
  <c r="E128" i="6"/>
  <c r="E161" i="6"/>
  <c r="E179" i="6"/>
  <c r="E194" i="6"/>
  <c r="E212" i="6"/>
  <c r="E227" i="6"/>
  <c r="E245" i="6"/>
  <c r="E265" i="6"/>
  <c r="E280" i="6"/>
  <c r="E313" i="6"/>
  <c r="E349" i="6"/>
  <c r="E364" i="6"/>
  <c r="E397" i="6"/>
  <c r="E435" i="6"/>
  <c r="E468" i="6"/>
  <c r="E501" i="6"/>
  <c r="E554" i="6"/>
  <c r="E587" i="6"/>
  <c r="E620" i="6"/>
  <c r="E640" i="6"/>
  <c r="E673" i="6"/>
  <c r="E706" i="6"/>
  <c r="E739" i="6"/>
  <c r="E777" i="6"/>
  <c r="E810" i="6"/>
  <c r="E825" i="6"/>
  <c r="E861" i="6"/>
  <c r="E896" i="6"/>
  <c r="E929" i="6"/>
  <c r="E957" i="6"/>
  <c r="E985" i="6"/>
  <c r="E125" i="6"/>
  <c r="E140" i="6"/>
  <c r="E160" i="6"/>
  <c r="E173" i="6"/>
  <c r="E193" i="6"/>
  <c r="E211" i="6"/>
  <c r="E226" i="6"/>
  <c r="E244" i="6"/>
  <c r="E259" i="6"/>
  <c r="E277" i="6"/>
  <c r="E297" i="6"/>
  <c r="E312" i="6"/>
  <c r="E330" i="6"/>
  <c r="E345" i="6"/>
  <c r="E363" i="6"/>
  <c r="E381" i="6"/>
  <c r="E396" i="6"/>
  <c r="E416" i="6"/>
  <c r="E429" i="6"/>
  <c r="E449" i="6"/>
  <c r="E467" i="6"/>
  <c r="E482" i="6"/>
  <c r="E500" i="6"/>
  <c r="E515" i="6"/>
  <c r="E533" i="6"/>
  <c r="E553" i="6"/>
  <c r="E568" i="6"/>
  <c r="E586" i="6"/>
  <c r="E601" i="6"/>
  <c r="E619" i="6"/>
  <c r="E637" i="6"/>
  <c r="E652" i="6"/>
  <c r="E672" i="6"/>
  <c r="E685" i="6"/>
  <c r="E705" i="6"/>
  <c r="E723" i="6"/>
  <c r="E738" i="6"/>
  <c r="E756" i="6"/>
  <c r="E771" i="6"/>
  <c r="E789" i="6"/>
  <c r="E809" i="6"/>
  <c r="E824" i="6"/>
  <c r="E842" i="6"/>
  <c r="E857" i="6"/>
  <c r="E875" i="6"/>
  <c r="E893" i="6"/>
  <c r="E908" i="6"/>
  <c r="E928" i="6"/>
  <c r="E940" i="6"/>
  <c r="E956" i="6"/>
  <c r="E970" i="6"/>
  <c r="E984" i="6"/>
  <c r="E1000" i="6"/>
  <c r="E1012" i="6"/>
  <c r="E141" i="6"/>
  <c r="E298" i="6"/>
  <c r="E331" i="6"/>
  <c r="E384" i="6"/>
  <c r="E417" i="6"/>
  <c r="E450" i="6"/>
  <c r="E483" i="6"/>
  <c r="E521" i="6"/>
  <c r="E536" i="6"/>
  <c r="E569" i="6"/>
  <c r="E605" i="6"/>
  <c r="E653" i="6"/>
  <c r="E691" i="6"/>
  <c r="E724" i="6"/>
  <c r="E757" i="6"/>
  <c r="E792" i="6"/>
  <c r="E843" i="6"/>
  <c r="E876" i="6"/>
  <c r="E909" i="6"/>
  <c r="E941" i="6"/>
  <c r="E971" i="6"/>
  <c r="E1001" i="6"/>
  <c r="E129" i="6"/>
  <c r="E162" i="6"/>
  <c r="E195" i="6"/>
  <c r="E233" i="6"/>
  <c r="E266" i="6"/>
  <c r="E299" i="6"/>
  <c r="E322" i="6"/>
  <c r="E353" i="6"/>
  <c r="E376" i="6"/>
  <c r="E405" i="6"/>
  <c r="E436" i="6"/>
  <c r="E459" i="6"/>
  <c r="E490" i="6"/>
  <c r="E513" i="6"/>
  <c r="E544" i="6"/>
  <c r="E573" i="6"/>
  <c r="E596" i="6"/>
  <c r="E627" i="6"/>
  <c r="E650" i="6"/>
  <c r="E681" i="6"/>
  <c r="E707" i="6"/>
  <c r="E733" i="6"/>
  <c r="E761" i="6"/>
  <c r="E787" i="6"/>
  <c r="E813" i="6"/>
  <c r="E844" i="6"/>
  <c r="E867" i="6"/>
  <c r="E898" i="6"/>
  <c r="E921" i="6"/>
  <c r="E948" i="6"/>
  <c r="E972" i="6"/>
  <c r="E993" i="6"/>
  <c r="E130" i="6"/>
  <c r="E163" i="6"/>
  <c r="E201" i="6"/>
  <c r="E234" i="6"/>
  <c r="E300" i="6"/>
  <c r="E323" i="6"/>
  <c r="E354" i="6"/>
  <c r="E385" i="6"/>
  <c r="E408" i="6"/>
  <c r="E437" i="6"/>
  <c r="E460" i="6"/>
  <c r="E491" i="6"/>
  <c r="E522" i="6"/>
  <c r="E545" i="6"/>
  <c r="E576" i="6"/>
  <c r="E597" i="6"/>
  <c r="E628" i="6"/>
  <c r="E659" i="6"/>
  <c r="E682" i="6"/>
  <c r="E713" i="6"/>
  <c r="E736" i="6"/>
  <c r="E765" i="6"/>
  <c r="E793" i="6"/>
  <c r="E819" i="6"/>
  <c r="E845" i="6"/>
  <c r="E899" i="6"/>
  <c r="E930" i="6"/>
  <c r="E949" i="6"/>
  <c r="E973" i="6"/>
  <c r="E994" i="6"/>
  <c r="E418" i="6"/>
  <c r="E493" i="6"/>
  <c r="E555" i="6"/>
  <c r="E609" i="6"/>
  <c r="E661" i="6"/>
  <c r="E715" i="6"/>
  <c r="E769" i="6"/>
  <c r="E829" i="6"/>
  <c r="E883" i="6"/>
  <c r="E936" i="6"/>
  <c r="E979" i="6"/>
  <c r="E147" i="6"/>
  <c r="E213" i="6"/>
  <c r="E281" i="6"/>
  <c r="E365" i="6"/>
  <c r="E419" i="6"/>
  <c r="E473" i="6"/>
  <c r="E525" i="6"/>
  <c r="E579" i="6"/>
  <c r="E641" i="6"/>
  <c r="E693" i="6"/>
  <c r="E747" i="6"/>
  <c r="E801" i="6"/>
  <c r="E853" i="6"/>
  <c r="E915" i="6"/>
  <c r="E961" i="6"/>
  <c r="E1004" i="6"/>
  <c r="E115" i="6"/>
  <c r="E216" i="6"/>
  <c r="E285" i="6"/>
  <c r="E340" i="6"/>
  <c r="E394" i="6"/>
  <c r="E451" i="6"/>
  <c r="E505" i="6"/>
  <c r="E557" i="6"/>
  <c r="E611" i="6"/>
  <c r="E665" i="6"/>
  <c r="E725" i="6"/>
  <c r="E779" i="6"/>
  <c r="E833" i="6"/>
  <c r="E885" i="6"/>
  <c r="E938" i="6"/>
  <c r="E988" i="6"/>
  <c r="E116" i="6"/>
  <c r="E217" i="6"/>
  <c r="E288" i="6"/>
  <c r="E341" i="6"/>
  <c r="E403" i="6"/>
  <c r="E457" i="6"/>
  <c r="E509" i="6"/>
  <c r="E563" i="6"/>
  <c r="E617" i="6"/>
  <c r="E674" i="6"/>
  <c r="E728" i="6"/>
  <c r="E780" i="6"/>
  <c r="E834" i="6"/>
  <c r="E888" i="6"/>
  <c r="E946" i="6"/>
  <c r="E989" i="6"/>
  <c r="E152" i="6"/>
  <c r="E321" i="6"/>
  <c r="E373" i="6"/>
  <c r="E427" i="6"/>
  <c r="E489" i="6"/>
  <c r="E541" i="6"/>
  <c r="E595" i="6"/>
  <c r="E649" i="6"/>
  <c r="E701" i="6"/>
  <c r="E760" i="6"/>
  <c r="E812" i="6"/>
  <c r="E866" i="6"/>
  <c r="E920" i="6"/>
  <c r="E968" i="6"/>
  <c r="E267" i="6"/>
  <c r="E873" i="6"/>
  <c r="E131" i="6"/>
  <c r="E169" i="6"/>
  <c r="E202" i="6"/>
  <c r="E235" i="6"/>
  <c r="E268" i="6"/>
  <c r="E301" i="6"/>
  <c r="E332" i="6"/>
  <c r="E355" i="6"/>
  <c r="E386" i="6"/>
  <c r="E409" i="6"/>
  <c r="E440" i="6"/>
  <c r="E469" i="6"/>
  <c r="E492" i="6"/>
  <c r="E523" i="6"/>
  <c r="E546" i="6"/>
  <c r="E577" i="6"/>
  <c r="E608" i="6"/>
  <c r="E629" i="6"/>
  <c r="E660" i="6"/>
  <c r="E683" i="6"/>
  <c r="E714" i="6"/>
  <c r="E745" i="6"/>
  <c r="E768" i="6"/>
  <c r="E797" i="6"/>
  <c r="E820" i="6"/>
  <c r="E851" i="6"/>
  <c r="E877" i="6"/>
  <c r="E905" i="6"/>
  <c r="E931" i="6"/>
  <c r="E952" i="6"/>
  <c r="E978" i="6"/>
  <c r="E1002" i="6"/>
  <c r="E137" i="6"/>
  <c r="E170" i="6"/>
  <c r="E203" i="6"/>
  <c r="E236" i="6"/>
  <c r="E269" i="6"/>
  <c r="E307" i="6"/>
  <c r="E333" i="6"/>
  <c r="E361" i="6"/>
  <c r="E387" i="6"/>
  <c r="E441" i="6"/>
  <c r="E472" i="6"/>
  <c r="E524" i="6"/>
  <c r="E578" i="6"/>
  <c r="E632" i="6"/>
  <c r="E692" i="6"/>
  <c r="E746" i="6"/>
  <c r="E800" i="6"/>
  <c r="E852" i="6"/>
  <c r="E906" i="6"/>
  <c r="E960" i="6"/>
  <c r="E1003" i="6"/>
  <c r="E180" i="6"/>
  <c r="E248" i="6"/>
  <c r="E308" i="6"/>
  <c r="E339" i="6"/>
  <c r="E393" i="6"/>
  <c r="E445" i="6"/>
  <c r="E504" i="6"/>
  <c r="E556" i="6"/>
  <c r="E610" i="6"/>
  <c r="E664" i="6"/>
  <c r="E716" i="6"/>
  <c r="E778" i="6"/>
  <c r="E832" i="6"/>
  <c r="E884" i="6"/>
  <c r="E937" i="6"/>
  <c r="E980" i="6"/>
  <c r="E148" i="6"/>
  <c r="E181" i="6"/>
  <c r="E249" i="6"/>
  <c r="E317" i="6"/>
  <c r="E371" i="6"/>
  <c r="E425" i="6"/>
  <c r="E477" i="6"/>
  <c r="E531" i="6"/>
  <c r="E588" i="6"/>
  <c r="E642" i="6"/>
  <c r="E696" i="6"/>
  <c r="E748" i="6"/>
  <c r="E802" i="6"/>
  <c r="E864" i="6"/>
  <c r="E916" i="6"/>
  <c r="E962" i="6"/>
  <c r="E1005" i="6"/>
  <c r="E149" i="6"/>
  <c r="E184" i="6"/>
  <c r="E253" i="6"/>
  <c r="E320" i="6"/>
  <c r="E372" i="6"/>
  <c r="E426" i="6"/>
  <c r="E480" i="6"/>
  <c r="E537" i="6"/>
  <c r="E589" i="6"/>
  <c r="E643" i="6"/>
  <c r="E697" i="6"/>
  <c r="E749" i="6"/>
  <c r="E811" i="6"/>
  <c r="E865" i="6"/>
  <c r="E917" i="6"/>
  <c r="E963" i="6"/>
  <c r="E1010" i="6"/>
  <c r="E117" i="6"/>
  <c r="E185" i="6"/>
  <c r="E221" i="6"/>
  <c r="E256" i="6"/>
  <c r="E289" i="6"/>
  <c r="E352" i="6"/>
  <c r="E404" i="6"/>
  <c r="E458" i="6"/>
  <c r="E512" i="6"/>
  <c r="E564" i="6"/>
  <c r="E621" i="6"/>
  <c r="E675" i="6"/>
  <c r="E729" i="6"/>
  <c r="E781" i="6"/>
  <c r="E835" i="6"/>
  <c r="E897" i="6"/>
  <c r="E947" i="6"/>
  <c r="E992" i="6"/>
  <c r="D120" i="6"/>
  <c r="N120" i="6" s="1"/>
  <c r="D128" i="6"/>
  <c r="N128" i="6" s="1"/>
  <c r="D136" i="6"/>
  <c r="N136" i="6" s="1"/>
  <c r="D144" i="6"/>
  <c r="N144" i="6" s="1"/>
  <c r="D113" i="6"/>
  <c r="N113" i="6" s="1"/>
  <c r="D121" i="6"/>
  <c r="N121" i="6" s="1"/>
  <c r="D129" i="6"/>
  <c r="N129" i="6" s="1"/>
  <c r="D137" i="6"/>
  <c r="N137" i="6" s="1"/>
  <c r="D114" i="6"/>
  <c r="N114" i="6" s="1"/>
  <c r="D124" i="6"/>
  <c r="N124" i="6" s="1"/>
  <c r="D134" i="6"/>
  <c r="N134" i="6" s="1"/>
  <c r="D145" i="6"/>
  <c r="N145" i="6" s="1"/>
  <c r="D153" i="6"/>
  <c r="N153" i="6" s="1"/>
  <c r="D161" i="6"/>
  <c r="N161" i="6" s="1"/>
  <c r="D169" i="6"/>
  <c r="N169" i="6" s="1"/>
  <c r="D177" i="6"/>
  <c r="N177" i="6" s="1"/>
  <c r="D185" i="6"/>
  <c r="N185" i="6" s="1"/>
  <c r="D193" i="6"/>
  <c r="N193" i="6" s="1"/>
  <c r="D201" i="6"/>
  <c r="N201" i="6" s="1"/>
  <c r="D209" i="6"/>
  <c r="N209" i="6" s="1"/>
  <c r="D217" i="6"/>
  <c r="N217" i="6" s="1"/>
  <c r="D225" i="6"/>
  <c r="N225" i="6" s="1"/>
  <c r="D233" i="6"/>
  <c r="N233" i="6" s="1"/>
  <c r="D241" i="6"/>
  <c r="N241" i="6" s="1"/>
  <c r="D249" i="6"/>
  <c r="N249" i="6" s="1"/>
  <c r="D257" i="6"/>
  <c r="N257" i="6" s="1"/>
  <c r="D265" i="6"/>
  <c r="N265" i="6" s="1"/>
  <c r="D273" i="6"/>
  <c r="N273" i="6" s="1"/>
  <c r="D281" i="6"/>
  <c r="N281" i="6" s="1"/>
  <c r="D289" i="6"/>
  <c r="N289" i="6" s="1"/>
  <c r="D297" i="6"/>
  <c r="N297" i="6" s="1"/>
  <c r="D305" i="6"/>
  <c r="N305" i="6" s="1"/>
  <c r="D313" i="6"/>
  <c r="N313" i="6" s="1"/>
  <c r="D321" i="6"/>
  <c r="N321" i="6" s="1"/>
  <c r="D329" i="6"/>
  <c r="N329" i="6" s="1"/>
  <c r="D337" i="6"/>
  <c r="N337" i="6" s="1"/>
  <c r="D345" i="6"/>
  <c r="N345" i="6" s="1"/>
  <c r="D353" i="6"/>
  <c r="N353" i="6" s="1"/>
  <c r="D361" i="6"/>
  <c r="N361" i="6" s="1"/>
  <c r="D369" i="6"/>
  <c r="N369" i="6" s="1"/>
  <c r="D377" i="6"/>
  <c r="N377" i="6" s="1"/>
  <c r="D385" i="6"/>
  <c r="N385" i="6" s="1"/>
  <c r="D393" i="6"/>
  <c r="N393" i="6" s="1"/>
  <c r="D401" i="6"/>
  <c r="N401" i="6" s="1"/>
  <c r="D409" i="6"/>
  <c r="N409" i="6" s="1"/>
  <c r="D417" i="6"/>
  <c r="N417" i="6" s="1"/>
  <c r="D425" i="6"/>
  <c r="N425" i="6" s="1"/>
  <c r="D433" i="6"/>
  <c r="N433" i="6" s="1"/>
  <c r="D441" i="6"/>
  <c r="N441" i="6" s="1"/>
  <c r="D449" i="6"/>
  <c r="N449" i="6" s="1"/>
  <c r="D457" i="6"/>
  <c r="N457" i="6" s="1"/>
  <c r="D465" i="6"/>
  <c r="N465" i="6" s="1"/>
  <c r="D473" i="6"/>
  <c r="N473" i="6" s="1"/>
  <c r="D481" i="6"/>
  <c r="N481" i="6" s="1"/>
  <c r="D489" i="6"/>
  <c r="N489" i="6" s="1"/>
  <c r="D497" i="6"/>
  <c r="N497" i="6" s="1"/>
  <c r="D505" i="6"/>
  <c r="N505" i="6" s="1"/>
  <c r="D513" i="6"/>
  <c r="N513" i="6" s="1"/>
  <c r="D521" i="6"/>
  <c r="N521" i="6" s="1"/>
  <c r="D529" i="6"/>
  <c r="N529" i="6" s="1"/>
  <c r="D537" i="6"/>
  <c r="N537" i="6" s="1"/>
  <c r="D545" i="6"/>
  <c r="N545" i="6" s="1"/>
  <c r="D553" i="6"/>
  <c r="N553" i="6" s="1"/>
  <c r="D561" i="6"/>
  <c r="N561" i="6" s="1"/>
  <c r="D569" i="6"/>
  <c r="N569" i="6" s="1"/>
  <c r="D577" i="6"/>
  <c r="N577" i="6" s="1"/>
  <c r="D585" i="6"/>
  <c r="N585" i="6" s="1"/>
  <c r="D593" i="6"/>
  <c r="N593" i="6" s="1"/>
  <c r="D601" i="6"/>
  <c r="N601" i="6" s="1"/>
  <c r="D609" i="6"/>
  <c r="N609" i="6" s="1"/>
  <c r="D617" i="6"/>
  <c r="N617" i="6" s="1"/>
  <c r="D625" i="6"/>
  <c r="N625" i="6" s="1"/>
  <c r="D633" i="6"/>
  <c r="N633" i="6" s="1"/>
  <c r="D641" i="6"/>
  <c r="N641" i="6" s="1"/>
  <c r="D649" i="6"/>
  <c r="N649" i="6" s="1"/>
  <c r="D657" i="6"/>
  <c r="N657" i="6" s="1"/>
  <c r="D665" i="6"/>
  <c r="N665" i="6" s="1"/>
  <c r="D673" i="6"/>
  <c r="N673" i="6" s="1"/>
  <c r="D681" i="6"/>
  <c r="N681" i="6" s="1"/>
  <c r="D689" i="6"/>
  <c r="N689" i="6" s="1"/>
  <c r="D697" i="6"/>
  <c r="N697" i="6" s="1"/>
  <c r="D705" i="6"/>
  <c r="N705" i="6" s="1"/>
  <c r="D713" i="6"/>
  <c r="N713" i="6" s="1"/>
  <c r="D721" i="6"/>
  <c r="N721" i="6" s="1"/>
  <c r="D729" i="6"/>
  <c r="N729" i="6" s="1"/>
  <c r="D737" i="6"/>
  <c r="N737" i="6" s="1"/>
  <c r="D745" i="6"/>
  <c r="N745" i="6" s="1"/>
  <c r="D753" i="6"/>
  <c r="N753" i="6" s="1"/>
  <c r="D761" i="6"/>
  <c r="N761" i="6" s="1"/>
  <c r="D769" i="6"/>
  <c r="N769" i="6" s="1"/>
  <c r="D777" i="6"/>
  <c r="N777" i="6" s="1"/>
  <c r="D785" i="6"/>
  <c r="N785" i="6" s="1"/>
  <c r="D793" i="6"/>
  <c r="N793" i="6" s="1"/>
  <c r="D801" i="6"/>
  <c r="N801" i="6" s="1"/>
  <c r="D809" i="6"/>
  <c r="N809" i="6" s="1"/>
  <c r="D817" i="6"/>
  <c r="N817" i="6" s="1"/>
  <c r="D825" i="6"/>
  <c r="N825" i="6" s="1"/>
  <c r="D833" i="6"/>
  <c r="N833" i="6" s="1"/>
  <c r="D841" i="6"/>
  <c r="N841" i="6" s="1"/>
  <c r="D849" i="6"/>
  <c r="N849" i="6" s="1"/>
  <c r="D857" i="6"/>
  <c r="N857" i="6" s="1"/>
  <c r="D865" i="6"/>
  <c r="N865" i="6" s="1"/>
  <c r="D873" i="6"/>
  <c r="N873" i="6" s="1"/>
  <c r="D881" i="6"/>
  <c r="N881" i="6" s="1"/>
  <c r="D889" i="6"/>
  <c r="N889" i="6" s="1"/>
  <c r="D897" i="6"/>
  <c r="N897" i="6" s="1"/>
  <c r="D905" i="6"/>
  <c r="N905" i="6" s="1"/>
  <c r="D913" i="6"/>
  <c r="N913" i="6" s="1"/>
  <c r="D921" i="6"/>
  <c r="N921" i="6" s="1"/>
  <c r="D929" i="6"/>
  <c r="N929" i="6" s="1"/>
  <c r="D937" i="6"/>
  <c r="N937" i="6" s="1"/>
  <c r="D945" i="6"/>
  <c r="N945" i="6" s="1"/>
  <c r="D953" i="6"/>
  <c r="N953" i="6" s="1"/>
  <c r="D961" i="6"/>
  <c r="N961" i="6" s="1"/>
  <c r="D969" i="6"/>
  <c r="N969" i="6" s="1"/>
  <c r="D977" i="6"/>
  <c r="N977" i="6" s="1"/>
  <c r="D985" i="6"/>
  <c r="N985" i="6" s="1"/>
  <c r="D993" i="6"/>
  <c r="N993" i="6" s="1"/>
  <c r="D115" i="6"/>
  <c r="N115" i="6" s="1"/>
  <c r="D125" i="6"/>
  <c r="N125" i="6" s="1"/>
  <c r="D135" i="6"/>
  <c r="N135" i="6" s="1"/>
  <c r="D146" i="6"/>
  <c r="N146" i="6" s="1"/>
  <c r="D154" i="6"/>
  <c r="N154" i="6" s="1"/>
  <c r="D162" i="6"/>
  <c r="N162" i="6" s="1"/>
  <c r="D170" i="6"/>
  <c r="N170" i="6" s="1"/>
  <c r="D178" i="6"/>
  <c r="N178" i="6" s="1"/>
  <c r="D186" i="6"/>
  <c r="N186" i="6" s="1"/>
  <c r="D194" i="6"/>
  <c r="N194" i="6" s="1"/>
  <c r="D202" i="6"/>
  <c r="N202" i="6" s="1"/>
  <c r="D210" i="6"/>
  <c r="N210" i="6" s="1"/>
  <c r="D218" i="6"/>
  <c r="N218" i="6" s="1"/>
  <c r="D226" i="6"/>
  <c r="N226" i="6" s="1"/>
  <c r="D234" i="6"/>
  <c r="N234" i="6" s="1"/>
  <c r="D242" i="6"/>
  <c r="N242" i="6" s="1"/>
  <c r="D250" i="6"/>
  <c r="N250" i="6" s="1"/>
  <c r="D258" i="6"/>
  <c r="N258" i="6" s="1"/>
  <c r="D266" i="6"/>
  <c r="N266" i="6" s="1"/>
  <c r="D274" i="6"/>
  <c r="N274" i="6" s="1"/>
  <c r="D282" i="6"/>
  <c r="N282" i="6" s="1"/>
  <c r="D290" i="6"/>
  <c r="N290" i="6" s="1"/>
  <c r="D298" i="6"/>
  <c r="N298" i="6" s="1"/>
  <c r="D306" i="6"/>
  <c r="N306" i="6" s="1"/>
  <c r="D314" i="6"/>
  <c r="N314" i="6" s="1"/>
  <c r="D322" i="6"/>
  <c r="N322" i="6" s="1"/>
  <c r="D330" i="6"/>
  <c r="N330" i="6" s="1"/>
  <c r="D338" i="6"/>
  <c r="N338" i="6" s="1"/>
  <c r="D346" i="6"/>
  <c r="N346" i="6" s="1"/>
  <c r="D354" i="6"/>
  <c r="N354" i="6" s="1"/>
  <c r="D362" i="6"/>
  <c r="N362" i="6" s="1"/>
  <c r="D370" i="6"/>
  <c r="N370" i="6" s="1"/>
  <c r="D378" i="6"/>
  <c r="N378" i="6" s="1"/>
  <c r="D386" i="6"/>
  <c r="N386" i="6" s="1"/>
  <c r="D394" i="6"/>
  <c r="N394" i="6" s="1"/>
  <c r="D402" i="6"/>
  <c r="N402" i="6" s="1"/>
  <c r="D410" i="6"/>
  <c r="N410" i="6" s="1"/>
  <c r="D418" i="6"/>
  <c r="N418" i="6" s="1"/>
  <c r="D426" i="6"/>
  <c r="N426" i="6" s="1"/>
  <c r="D434" i="6"/>
  <c r="N434" i="6" s="1"/>
  <c r="D442" i="6"/>
  <c r="N442" i="6" s="1"/>
  <c r="D450" i="6"/>
  <c r="N450" i="6" s="1"/>
  <c r="D458" i="6"/>
  <c r="N458" i="6" s="1"/>
  <c r="D466" i="6"/>
  <c r="N466" i="6" s="1"/>
  <c r="D474" i="6"/>
  <c r="N474" i="6" s="1"/>
  <c r="D482" i="6"/>
  <c r="N482" i="6" s="1"/>
  <c r="D490" i="6"/>
  <c r="N490" i="6" s="1"/>
  <c r="D498" i="6"/>
  <c r="N498" i="6" s="1"/>
  <c r="D506" i="6"/>
  <c r="N506" i="6" s="1"/>
  <c r="D514" i="6"/>
  <c r="N514" i="6" s="1"/>
  <c r="D522" i="6"/>
  <c r="N522" i="6" s="1"/>
  <c r="D530" i="6"/>
  <c r="N530" i="6" s="1"/>
  <c r="D538" i="6"/>
  <c r="N538" i="6" s="1"/>
  <c r="D546" i="6"/>
  <c r="N546" i="6" s="1"/>
  <c r="D554" i="6"/>
  <c r="N554" i="6" s="1"/>
  <c r="D562" i="6"/>
  <c r="N562" i="6" s="1"/>
  <c r="D570" i="6"/>
  <c r="N570" i="6" s="1"/>
  <c r="D578" i="6"/>
  <c r="N578" i="6" s="1"/>
  <c r="D586" i="6"/>
  <c r="N586" i="6" s="1"/>
  <c r="D594" i="6"/>
  <c r="N594" i="6" s="1"/>
  <c r="D602" i="6"/>
  <c r="N602" i="6" s="1"/>
  <c r="D610" i="6"/>
  <c r="N610" i="6" s="1"/>
  <c r="D618" i="6"/>
  <c r="N618" i="6" s="1"/>
  <c r="D626" i="6"/>
  <c r="N626" i="6" s="1"/>
  <c r="D634" i="6"/>
  <c r="N634" i="6" s="1"/>
  <c r="D642" i="6"/>
  <c r="N642" i="6" s="1"/>
  <c r="D650" i="6"/>
  <c r="N650" i="6" s="1"/>
  <c r="D658" i="6"/>
  <c r="N658" i="6" s="1"/>
  <c r="D666" i="6"/>
  <c r="N666" i="6" s="1"/>
  <c r="D674" i="6"/>
  <c r="N674" i="6" s="1"/>
  <c r="D682" i="6"/>
  <c r="N682" i="6" s="1"/>
  <c r="D690" i="6"/>
  <c r="N690" i="6" s="1"/>
  <c r="D698" i="6"/>
  <c r="N698" i="6" s="1"/>
  <c r="D706" i="6"/>
  <c r="N706" i="6" s="1"/>
  <c r="D714" i="6"/>
  <c r="N714" i="6" s="1"/>
  <c r="D722" i="6"/>
  <c r="N722" i="6" s="1"/>
  <c r="D730" i="6"/>
  <c r="N730" i="6" s="1"/>
  <c r="D738" i="6"/>
  <c r="N738" i="6" s="1"/>
  <c r="D746" i="6"/>
  <c r="N746" i="6" s="1"/>
  <c r="D754" i="6"/>
  <c r="N754" i="6" s="1"/>
  <c r="D762" i="6"/>
  <c r="N762" i="6" s="1"/>
  <c r="D770" i="6"/>
  <c r="N770" i="6" s="1"/>
  <c r="D778" i="6"/>
  <c r="N778" i="6" s="1"/>
  <c r="D116" i="6"/>
  <c r="N116" i="6" s="1"/>
  <c r="D130" i="6"/>
  <c r="N130" i="6" s="1"/>
  <c r="D142" i="6"/>
  <c r="N142" i="6" s="1"/>
  <c r="D155" i="6"/>
  <c r="N155" i="6" s="1"/>
  <c r="D165" i="6"/>
  <c r="N165" i="6" s="1"/>
  <c r="D175" i="6"/>
  <c r="N175" i="6" s="1"/>
  <c r="D187" i="6"/>
  <c r="N187" i="6" s="1"/>
  <c r="D197" i="6"/>
  <c r="N197" i="6" s="1"/>
  <c r="D207" i="6"/>
  <c r="N207" i="6" s="1"/>
  <c r="D219" i="6"/>
  <c r="N219" i="6" s="1"/>
  <c r="D229" i="6"/>
  <c r="N229" i="6" s="1"/>
  <c r="D239" i="6"/>
  <c r="N239" i="6" s="1"/>
  <c r="D251" i="6"/>
  <c r="N251" i="6" s="1"/>
  <c r="D261" i="6"/>
  <c r="N261" i="6" s="1"/>
  <c r="D271" i="6"/>
  <c r="N271" i="6" s="1"/>
  <c r="D283" i="6"/>
  <c r="N283" i="6" s="1"/>
  <c r="D293" i="6"/>
  <c r="N293" i="6" s="1"/>
  <c r="D303" i="6"/>
  <c r="N303" i="6" s="1"/>
  <c r="D315" i="6"/>
  <c r="N315" i="6" s="1"/>
  <c r="D325" i="6"/>
  <c r="N325" i="6" s="1"/>
  <c r="D335" i="6"/>
  <c r="N335" i="6" s="1"/>
  <c r="D347" i="6"/>
  <c r="N347" i="6" s="1"/>
  <c r="D357" i="6"/>
  <c r="N357" i="6" s="1"/>
  <c r="D367" i="6"/>
  <c r="N367" i="6" s="1"/>
  <c r="D379" i="6"/>
  <c r="N379" i="6" s="1"/>
  <c r="D389" i="6"/>
  <c r="N389" i="6" s="1"/>
  <c r="D399" i="6"/>
  <c r="N399" i="6" s="1"/>
  <c r="D411" i="6"/>
  <c r="N411" i="6" s="1"/>
  <c r="D421" i="6"/>
  <c r="N421" i="6" s="1"/>
  <c r="D431" i="6"/>
  <c r="N431" i="6" s="1"/>
  <c r="D443" i="6"/>
  <c r="N443" i="6" s="1"/>
  <c r="D453" i="6"/>
  <c r="N453" i="6" s="1"/>
  <c r="D463" i="6"/>
  <c r="N463" i="6" s="1"/>
  <c r="D475" i="6"/>
  <c r="N475" i="6" s="1"/>
  <c r="D485" i="6"/>
  <c r="N485" i="6" s="1"/>
  <c r="D495" i="6"/>
  <c r="N495" i="6" s="1"/>
  <c r="D507" i="6"/>
  <c r="N507" i="6" s="1"/>
  <c r="D517" i="6"/>
  <c r="N517" i="6" s="1"/>
  <c r="D527" i="6"/>
  <c r="N527" i="6" s="1"/>
  <c r="D539" i="6"/>
  <c r="N539" i="6" s="1"/>
  <c r="D549" i="6"/>
  <c r="N549" i="6" s="1"/>
  <c r="D559" i="6"/>
  <c r="N559" i="6" s="1"/>
  <c r="D571" i="6"/>
  <c r="N571" i="6" s="1"/>
  <c r="D581" i="6"/>
  <c r="N581" i="6" s="1"/>
  <c r="D591" i="6"/>
  <c r="N591" i="6" s="1"/>
  <c r="D603" i="6"/>
  <c r="N603" i="6" s="1"/>
  <c r="D613" i="6"/>
  <c r="N613" i="6" s="1"/>
  <c r="D623" i="6"/>
  <c r="N623" i="6" s="1"/>
  <c r="D635" i="6"/>
  <c r="N635" i="6" s="1"/>
  <c r="D645" i="6"/>
  <c r="N645" i="6" s="1"/>
  <c r="D655" i="6"/>
  <c r="N655" i="6" s="1"/>
  <c r="D667" i="6"/>
  <c r="N667" i="6" s="1"/>
  <c r="D677" i="6"/>
  <c r="N677" i="6" s="1"/>
  <c r="D687" i="6"/>
  <c r="N687" i="6" s="1"/>
  <c r="D699" i="6"/>
  <c r="N699" i="6" s="1"/>
  <c r="D709" i="6"/>
  <c r="N709" i="6" s="1"/>
  <c r="D719" i="6"/>
  <c r="N719" i="6" s="1"/>
  <c r="D731" i="6"/>
  <c r="N731" i="6" s="1"/>
  <c r="D741" i="6"/>
  <c r="N741" i="6" s="1"/>
  <c r="D751" i="6"/>
  <c r="N751" i="6" s="1"/>
  <c r="D763" i="6"/>
  <c r="N763" i="6" s="1"/>
  <c r="D773" i="6"/>
  <c r="N773" i="6" s="1"/>
  <c r="D783" i="6"/>
  <c r="N783" i="6" s="1"/>
  <c r="D792" i="6"/>
  <c r="N792" i="6" s="1"/>
  <c r="D802" i="6"/>
  <c r="N802" i="6" s="1"/>
  <c r="D811" i="6"/>
  <c r="N811" i="6" s="1"/>
  <c r="D820" i="6"/>
  <c r="N820" i="6" s="1"/>
  <c r="D829" i="6"/>
  <c r="N829" i="6" s="1"/>
  <c r="D838" i="6"/>
  <c r="N838" i="6" s="1"/>
  <c r="D847" i="6"/>
  <c r="N847" i="6" s="1"/>
  <c r="D856" i="6"/>
  <c r="N856" i="6" s="1"/>
  <c r="D866" i="6"/>
  <c r="N866" i="6" s="1"/>
  <c r="D875" i="6"/>
  <c r="N875" i="6" s="1"/>
  <c r="D884" i="6"/>
  <c r="N884" i="6" s="1"/>
  <c r="D893" i="6"/>
  <c r="N893" i="6" s="1"/>
  <c r="D902" i="6"/>
  <c r="N902" i="6" s="1"/>
  <c r="D911" i="6"/>
  <c r="N911" i="6" s="1"/>
  <c r="D920" i="6"/>
  <c r="N920" i="6" s="1"/>
  <c r="D930" i="6"/>
  <c r="N930" i="6" s="1"/>
  <c r="D939" i="6"/>
  <c r="N939" i="6" s="1"/>
  <c r="D948" i="6"/>
  <c r="N948" i="6" s="1"/>
  <c r="D957" i="6"/>
  <c r="N957" i="6" s="1"/>
  <c r="D966" i="6"/>
  <c r="N966" i="6" s="1"/>
  <c r="D975" i="6"/>
  <c r="N975" i="6" s="1"/>
  <c r="D984" i="6"/>
  <c r="N984" i="6" s="1"/>
  <c r="D994" i="6"/>
  <c r="N994" i="6" s="1"/>
  <c r="D1002" i="6"/>
  <c r="N1002" i="6" s="1"/>
  <c r="D1010" i="6"/>
  <c r="N1010" i="6" s="1"/>
  <c r="D117" i="6"/>
  <c r="N117" i="6" s="1"/>
  <c r="D131" i="6"/>
  <c r="N131" i="6" s="1"/>
  <c r="D143" i="6"/>
  <c r="N143" i="6" s="1"/>
  <c r="D156" i="6"/>
  <c r="N156" i="6" s="1"/>
  <c r="D166" i="6"/>
  <c r="N166" i="6" s="1"/>
  <c r="D176" i="6"/>
  <c r="N176" i="6" s="1"/>
  <c r="D188" i="6"/>
  <c r="N188" i="6" s="1"/>
  <c r="D198" i="6"/>
  <c r="N198" i="6" s="1"/>
  <c r="D208" i="6"/>
  <c r="N208" i="6" s="1"/>
  <c r="D220" i="6"/>
  <c r="N220" i="6" s="1"/>
  <c r="D230" i="6"/>
  <c r="N230" i="6" s="1"/>
  <c r="D240" i="6"/>
  <c r="N240" i="6" s="1"/>
  <c r="D252" i="6"/>
  <c r="N252" i="6" s="1"/>
  <c r="D262" i="6"/>
  <c r="N262" i="6" s="1"/>
  <c r="D272" i="6"/>
  <c r="N272" i="6" s="1"/>
  <c r="D284" i="6"/>
  <c r="N284" i="6" s="1"/>
  <c r="D294" i="6"/>
  <c r="N294" i="6" s="1"/>
  <c r="D304" i="6"/>
  <c r="N304" i="6" s="1"/>
  <c r="D316" i="6"/>
  <c r="N316" i="6" s="1"/>
  <c r="D326" i="6"/>
  <c r="N326" i="6" s="1"/>
  <c r="D336" i="6"/>
  <c r="N336" i="6" s="1"/>
  <c r="D348" i="6"/>
  <c r="N348" i="6" s="1"/>
  <c r="D358" i="6"/>
  <c r="N358" i="6" s="1"/>
  <c r="D368" i="6"/>
  <c r="N368" i="6" s="1"/>
  <c r="D380" i="6"/>
  <c r="N380" i="6" s="1"/>
  <c r="D390" i="6"/>
  <c r="N390" i="6" s="1"/>
  <c r="D400" i="6"/>
  <c r="N400" i="6" s="1"/>
  <c r="D412" i="6"/>
  <c r="N412" i="6" s="1"/>
  <c r="D422" i="6"/>
  <c r="N422" i="6" s="1"/>
  <c r="D432" i="6"/>
  <c r="N432" i="6" s="1"/>
  <c r="D444" i="6"/>
  <c r="N444" i="6" s="1"/>
  <c r="D454" i="6"/>
  <c r="N454" i="6" s="1"/>
  <c r="D464" i="6"/>
  <c r="N464" i="6" s="1"/>
  <c r="D476" i="6"/>
  <c r="N476" i="6" s="1"/>
  <c r="D486" i="6"/>
  <c r="N486" i="6" s="1"/>
  <c r="D496" i="6"/>
  <c r="N496" i="6" s="1"/>
  <c r="D508" i="6"/>
  <c r="N508" i="6" s="1"/>
  <c r="D518" i="6"/>
  <c r="N518" i="6" s="1"/>
  <c r="D528" i="6"/>
  <c r="N528" i="6" s="1"/>
  <c r="D540" i="6"/>
  <c r="N540" i="6" s="1"/>
  <c r="D550" i="6"/>
  <c r="N550" i="6" s="1"/>
  <c r="D560" i="6"/>
  <c r="N560" i="6" s="1"/>
  <c r="D572" i="6"/>
  <c r="N572" i="6" s="1"/>
  <c r="D582" i="6"/>
  <c r="N582" i="6" s="1"/>
  <c r="D592" i="6"/>
  <c r="N592" i="6" s="1"/>
  <c r="D604" i="6"/>
  <c r="N604" i="6" s="1"/>
  <c r="D614" i="6"/>
  <c r="N614" i="6" s="1"/>
  <c r="D624" i="6"/>
  <c r="N624" i="6" s="1"/>
  <c r="D636" i="6"/>
  <c r="N636" i="6" s="1"/>
  <c r="D646" i="6"/>
  <c r="N646" i="6" s="1"/>
  <c r="D656" i="6"/>
  <c r="N656" i="6" s="1"/>
  <c r="D668" i="6"/>
  <c r="N668" i="6" s="1"/>
  <c r="D678" i="6"/>
  <c r="N678" i="6" s="1"/>
  <c r="D688" i="6"/>
  <c r="N688" i="6" s="1"/>
  <c r="D700" i="6"/>
  <c r="N700" i="6" s="1"/>
  <c r="D710" i="6"/>
  <c r="N710" i="6" s="1"/>
  <c r="D720" i="6"/>
  <c r="N720" i="6" s="1"/>
  <c r="D732" i="6"/>
  <c r="N732" i="6" s="1"/>
  <c r="D742" i="6"/>
  <c r="N742" i="6" s="1"/>
  <c r="D752" i="6"/>
  <c r="N752" i="6" s="1"/>
  <c r="D764" i="6"/>
  <c r="N764" i="6" s="1"/>
  <c r="D774" i="6"/>
  <c r="N774" i="6" s="1"/>
  <c r="D784" i="6"/>
  <c r="N784" i="6" s="1"/>
  <c r="D794" i="6"/>
  <c r="N794" i="6" s="1"/>
  <c r="D803" i="6"/>
  <c r="N803" i="6" s="1"/>
  <c r="D812" i="6"/>
  <c r="N812" i="6" s="1"/>
  <c r="D821" i="6"/>
  <c r="N821" i="6" s="1"/>
  <c r="D830" i="6"/>
  <c r="N830" i="6" s="1"/>
  <c r="D839" i="6"/>
  <c r="N839" i="6" s="1"/>
  <c r="D848" i="6"/>
  <c r="N848" i="6" s="1"/>
  <c r="D858" i="6"/>
  <c r="N858" i="6" s="1"/>
  <c r="D867" i="6"/>
  <c r="N867" i="6" s="1"/>
  <c r="D876" i="6"/>
  <c r="N876" i="6" s="1"/>
  <c r="D885" i="6"/>
  <c r="N885" i="6" s="1"/>
  <c r="D894" i="6"/>
  <c r="N894" i="6" s="1"/>
  <c r="D903" i="6"/>
  <c r="N903" i="6" s="1"/>
  <c r="D912" i="6"/>
  <c r="N912" i="6" s="1"/>
  <c r="D922" i="6"/>
  <c r="N922" i="6" s="1"/>
  <c r="D931" i="6"/>
  <c r="N931" i="6" s="1"/>
  <c r="D940" i="6"/>
  <c r="N940" i="6" s="1"/>
  <c r="D949" i="6"/>
  <c r="N949" i="6" s="1"/>
  <c r="D958" i="6"/>
  <c r="N958" i="6" s="1"/>
  <c r="D967" i="6"/>
  <c r="N967" i="6" s="1"/>
  <c r="D976" i="6"/>
  <c r="N976" i="6" s="1"/>
  <c r="D986" i="6"/>
  <c r="N986" i="6" s="1"/>
  <c r="D995" i="6"/>
  <c r="N995" i="6" s="1"/>
  <c r="D1003" i="6"/>
  <c r="N1003" i="6" s="1"/>
  <c r="D1011" i="6"/>
  <c r="N1011" i="6" s="1"/>
  <c r="D133" i="6"/>
  <c r="N133" i="6" s="1"/>
  <c r="D150" i="6"/>
  <c r="N150" i="6" s="1"/>
  <c r="D164" i="6"/>
  <c r="N164" i="6" s="1"/>
  <c r="D180" i="6"/>
  <c r="N180" i="6" s="1"/>
  <c r="D192" i="6"/>
  <c r="N192" i="6" s="1"/>
  <c r="D206" i="6"/>
  <c r="N206" i="6" s="1"/>
  <c r="D222" i="6"/>
  <c r="N222" i="6" s="1"/>
  <c r="D236" i="6"/>
  <c r="N236" i="6" s="1"/>
  <c r="D248" i="6"/>
  <c r="N248" i="6" s="1"/>
  <c r="D264" i="6"/>
  <c r="N264" i="6" s="1"/>
  <c r="D278" i="6"/>
  <c r="N278" i="6" s="1"/>
  <c r="D292" i="6"/>
  <c r="N292" i="6" s="1"/>
  <c r="D308" i="6"/>
  <c r="N308" i="6" s="1"/>
  <c r="D320" i="6"/>
  <c r="N320" i="6" s="1"/>
  <c r="D334" i="6"/>
  <c r="N334" i="6" s="1"/>
  <c r="D350" i="6"/>
  <c r="N350" i="6" s="1"/>
  <c r="D364" i="6"/>
  <c r="N364" i="6" s="1"/>
  <c r="D376" i="6"/>
  <c r="N376" i="6" s="1"/>
  <c r="D392" i="6"/>
  <c r="N392" i="6" s="1"/>
  <c r="D406" i="6"/>
  <c r="N406" i="6" s="1"/>
  <c r="D420" i="6"/>
  <c r="N420" i="6" s="1"/>
  <c r="D436" i="6"/>
  <c r="N436" i="6" s="1"/>
  <c r="D448" i="6"/>
  <c r="N448" i="6" s="1"/>
  <c r="D462" i="6"/>
  <c r="N462" i="6" s="1"/>
  <c r="D478" i="6"/>
  <c r="N478" i="6" s="1"/>
  <c r="D492" i="6"/>
  <c r="N492" i="6" s="1"/>
  <c r="D504" i="6"/>
  <c r="N504" i="6" s="1"/>
  <c r="D520" i="6"/>
  <c r="N520" i="6" s="1"/>
  <c r="D534" i="6"/>
  <c r="N534" i="6" s="1"/>
  <c r="D548" i="6"/>
  <c r="N548" i="6" s="1"/>
  <c r="D564" i="6"/>
  <c r="N564" i="6" s="1"/>
  <c r="D576" i="6"/>
  <c r="N576" i="6" s="1"/>
  <c r="D590" i="6"/>
  <c r="N590" i="6" s="1"/>
  <c r="D606" i="6"/>
  <c r="N606" i="6" s="1"/>
  <c r="D620" i="6"/>
  <c r="N620" i="6" s="1"/>
  <c r="D632" i="6"/>
  <c r="N632" i="6" s="1"/>
  <c r="D648" i="6"/>
  <c r="N648" i="6" s="1"/>
  <c r="D662" i="6"/>
  <c r="N662" i="6" s="1"/>
  <c r="D676" i="6"/>
  <c r="N676" i="6" s="1"/>
  <c r="D692" i="6"/>
  <c r="N692" i="6" s="1"/>
  <c r="D704" i="6"/>
  <c r="N704" i="6" s="1"/>
  <c r="D718" i="6"/>
  <c r="N718" i="6" s="1"/>
  <c r="D734" i="6"/>
  <c r="N734" i="6" s="1"/>
  <c r="D748" i="6"/>
  <c r="N748" i="6" s="1"/>
  <c r="D760" i="6"/>
  <c r="N760" i="6" s="1"/>
  <c r="D776" i="6"/>
  <c r="N776" i="6" s="1"/>
  <c r="D789" i="6"/>
  <c r="N789" i="6" s="1"/>
  <c r="D800" i="6"/>
  <c r="N800" i="6" s="1"/>
  <c r="D814" i="6"/>
  <c r="N814" i="6" s="1"/>
  <c r="D826" i="6"/>
  <c r="N826" i="6" s="1"/>
  <c r="D837" i="6"/>
  <c r="N837" i="6" s="1"/>
  <c r="D851" i="6"/>
  <c r="N851" i="6" s="1"/>
  <c r="D862" i="6"/>
  <c r="N862" i="6" s="1"/>
  <c r="D874" i="6"/>
  <c r="N874" i="6" s="1"/>
  <c r="D887" i="6"/>
  <c r="N887" i="6" s="1"/>
  <c r="D899" i="6"/>
  <c r="N899" i="6" s="1"/>
  <c r="D910" i="6"/>
  <c r="N910" i="6" s="1"/>
  <c r="D924" i="6"/>
  <c r="N924" i="6" s="1"/>
  <c r="D935" i="6"/>
  <c r="N935" i="6" s="1"/>
  <c r="D947" i="6"/>
  <c r="N947" i="6" s="1"/>
  <c r="D960" i="6"/>
  <c r="N960" i="6" s="1"/>
  <c r="D972" i="6"/>
  <c r="N972" i="6" s="1"/>
  <c r="D983" i="6"/>
  <c r="N983" i="6" s="1"/>
  <c r="D997" i="6"/>
  <c r="N997" i="6" s="1"/>
  <c r="D1007" i="6"/>
  <c r="N1007" i="6" s="1"/>
  <c r="D840" i="6"/>
  <c r="N840" i="6" s="1"/>
  <c r="D863" i="6"/>
  <c r="N863" i="6" s="1"/>
  <c r="D888" i="6"/>
  <c r="N888" i="6" s="1"/>
  <c r="D914" i="6"/>
  <c r="N914" i="6" s="1"/>
  <c r="D936" i="6"/>
  <c r="N936" i="6" s="1"/>
  <c r="D962" i="6"/>
  <c r="N962" i="6" s="1"/>
  <c r="D987" i="6"/>
  <c r="N987" i="6" s="1"/>
  <c r="D998" i="6"/>
  <c r="N998" i="6" s="1"/>
  <c r="D452" i="6"/>
  <c r="N452" i="6" s="1"/>
  <c r="D118" i="6"/>
  <c r="N118" i="6" s="1"/>
  <c r="D138" i="6"/>
  <c r="N138" i="6" s="1"/>
  <c r="D151" i="6"/>
  <c r="N151" i="6" s="1"/>
  <c r="D167" i="6"/>
  <c r="N167" i="6" s="1"/>
  <c r="D181" i="6"/>
  <c r="N181" i="6" s="1"/>
  <c r="D195" i="6"/>
  <c r="N195" i="6" s="1"/>
  <c r="D211" i="6"/>
  <c r="N211" i="6" s="1"/>
  <c r="D223" i="6"/>
  <c r="N223" i="6" s="1"/>
  <c r="D237" i="6"/>
  <c r="N237" i="6" s="1"/>
  <c r="D253" i="6"/>
  <c r="N253" i="6" s="1"/>
  <c r="D267" i="6"/>
  <c r="N267" i="6" s="1"/>
  <c r="D279" i="6"/>
  <c r="N279" i="6" s="1"/>
  <c r="D295" i="6"/>
  <c r="N295" i="6" s="1"/>
  <c r="D309" i="6"/>
  <c r="N309" i="6" s="1"/>
  <c r="D323" i="6"/>
  <c r="N323" i="6" s="1"/>
  <c r="D339" i="6"/>
  <c r="N339" i="6" s="1"/>
  <c r="D351" i="6"/>
  <c r="N351" i="6" s="1"/>
  <c r="D365" i="6"/>
  <c r="N365" i="6" s="1"/>
  <c r="D381" i="6"/>
  <c r="N381" i="6" s="1"/>
  <c r="D395" i="6"/>
  <c r="N395" i="6" s="1"/>
  <c r="D407" i="6"/>
  <c r="N407" i="6" s="1"/>
  <c r="D423" i="6"/>
  <c r="N423" i="6" s="1"/>
  <c r="D437" i="6"/>
  <c r="N437" i="6" s="1"/>
  <c r="D451" i="6"/>
  <c r="N451" i="6" s="1"/>
  <c r="D467" i="6"/>
  <c r="N467" i="6" s="1"/>
  <c r="D479" i="6"/>
  <c r="N479" i="6" s="1"/>
  <c r="D493" i="6"/>
  <c r="N493" i="6" s="1"/>
  <c r="D509" i="6"/>
  <c r="N509" i="6" s="1"/>
  <c r="D523" i="6"/>
  <c r="N523" i="6" s="1"/>
  <c r="D535" i="6"/>
  <c r="N535" i="6" s="1"/>
  <c r="D551" i="6"/>
  <c r="N551" i="6" s="1"/>
  <c r="D565" i="6"/>
  <c r="N565" i="6" s="1"/>
  <c r="D579" i="6"/>
  <c r="N579" i="6" s="1"/>
  <c r="D595" i="6"/>
  <c r="N595" i="6" s="1"/>
  <c r="D607" i="6"/>
  <c r="N607" i="6" s="1"/>
  <c r="D621" i="6"/>
  <c r="N621" i="6" s="1"/>
  <c r="D637" i="6"/>
  <c r="N637" i="6" s="1"/>
  <c r="D651" i="6"/>
  <c r="N651" i="6" s="1"/>
  <c r="D663" i="6"/>
  <c r="N663" i="6" s="1"/>
  <c r="D679" i="6"/>
  <c r="N679" i="6" s="1"/>
  <c r="D693" i="6"/>
  <c r="N693" i="6" s="1"/>
  <c r="D707" i="6"/>
  <c r="N707" i="6" s="1"/>
  <c r="D723" i="6"/>
  <c r="N723" i="6" s="1"/>
  <c r="D735" i="6"/>
  <c r="N735" i="6" s="1"/>
  <c r="D749" i="6"/>
  <c r="N749" i="6" s="1"/>
  <c r="D765" i="6"/>
  <c r="N765" i="6" s="1"/>
  <c r="D779" i="6"/>
  <c r="N779" i="6" s="1"/>
  <c r="D790" i="6"/>
  <c r="N790" i="6" s="1"/>
  <c r="D804" i="6"/>
  <c r="N804" i="6" s="1"/>
  <c r="D815" i="6"/>
  <c r="N815" i="6" s="1"/>
  <c r="D827" i="6"/>
  <c r="N827" i="6" s="1"/>
  <c r="D852" i="6"/>
  <c r="N852" i="6" s="1"/>
  <c r="D877" i="6"/>
  <c r="N877" i="6" s="1"/>
  <c r="D900" i="6"/>
  <c r="N900" i="6" s="1"/>
  <c r="D925" i="6"/>
  <c r="N925" i="6" s="1"/>
  <c r="D950" i="6"/>
  <c r="N950" i="6" s="1"/>
  <c r="D973" i="6"/>
  <c r="N973" i="6" s="1"/>
  <c r="D1008" i="6"/>
  <c r="N1008" i="6" s="1"/>
  <c r="D340" i="6"/>
  <c r="N340" i="6" s="1"/>
  <c r="D438" i="6"/>
  <c r="N438" i="6" s="1"/>
  <c r="D480" i="6"/>
  <c r="N480" i="6" s="1"/>
  <c r="D510" i="6"/>
  <c r="N510" i="6" s="1"/>
  <c r="D536" i="6"/>
  <c r="N536" i="6" s="1"/>
  <c r="D566" i="6"/>
  <c r="N566" i="6" s="1"/>
  <c r="D596" i="6"/>
  <c r="N596" i="6" s="1"/>
  <c r="D622" i="6"/>
  <c r="N622" i="6" s="1"/>
  <c r="D652" i="6"/>
  <c r="N652" i="6" s="1"/>
  <c r="D680" i="6"/>
  <c r="N680" i="6" s="1"/>
  <c r="D708" i="6"/>
  <c r="N708" i="6" s="1"/>
  <c r="D736" i="6"/>
  <c r="N736" i="6" s="1"/>
  <c r="D766" i="6"/>
  <c r="N766" i="6" s="1"/>
  <c r="D791" i="6"/>
  <c r="N791" i="6" s="1"/>
  <c r="D816" i="6"/>
  <c r="N816" i="6" s="1"/>
  <c r="D842" i="6"/>
  <c r="N842" i="6" s="1"/>
  <c r="D864" i="6"/>
  <c r="N864" i="6" s="1"/>
  <c r="D890" i="6"/>
  <c r="N890" i="6" s="1"/>
  <c r="D915" i="6"/>
  <c r="N915" i="6" s="1"/>
  <c r="D938" i="6"/>
  <c r="N938" i="6" s="1"/>
  <c r="D963" i="6"/>
  <c r="N963" i="6" s="1"/>
  <c r="D988" i="6"/>
  <c r="N988" i="6" s="1"/>
  <c r="D1009" i="6"/>
  <c r="N1009" i="6" s="1"/>
  <c r="D140" i="6"/>
  <c r="N140" i="6" s="1"/>
  <c r="D157" i="6"/>
  <c r="N157" i="6" s="1"/>
  <c r="D119" i="6"/>
  <c r="N119" i="6" s="1"/>
  <c r="D139" i="6"/>
  <c r="N139" i="6" s="1"/>
  <c r="D152" i="6"/>
  <c r="N152" i="6" s="1"/>
  <c r="D168" i="6"/>
  <c r="N168" i="6" s="1"/>
  <c r="D182" i="6"/>
  <c r="N182" i="6" s="1"/>
  <c r="D196" i="6"/>
  <c r="N196" i="6" s="1"/>
  <c r="D212" i="6"/>
  <c r="N212" i="6" s="1"/>
  <c r="D224" i="6"/>
  <c r="N224" i="6" s="1"/>
  <c r="D238" i="6"/>
  <c r="N238" i="6" s="1"/>
  <c r="D254" i="6"/>
  <c r="N254" i="6" s="1"/>
  <c r="D268" i="6"/>
  <c r="N268" i="6" s="1"/>
  <c r="D280" i="6"/>
  <c r="N280" i="6" s="1"/>
  <c r="D296" i="6"/>
  <c r="N296" i="6" s="1"/>
  <c r="D310" i="6"/>
  <c r="N310" i="6" s="1"/>
  <c r="D324" i="6"/>
  <c r="N324" i="6" s="1"/>
  <c r="D352" i="6"/>
  <c r="N352" i="6" s="1"/>
  <c r="D366" i="6"/>
  <c r="N366" i="6" s="1"/>
  <c r="D382" i="6"/>
  <c r="N382" i="6" s="1"/>
  <c r="D396" i="6"/>
  <c r="N396" i="6" s="1"/>
  <c r="D408" i="6"/>
  <c r="N408" i="6" s="1"/>
  <c r="D424" i="6"/>
  <c r="N424" i="6" s="1"/>
  <c r="D468" i="6"/>
  <c r="N468" i="6" s="1"/>
  <c r="D494" i="6"/>
  <c r="N494" i="6" s="1"/>
  <c r="D524" i="6"/>
  <c r="N524" i="6" s="1"/>
  <c r="D552" i="6"/>
  <c r="N552" i="6" s="1"/>
  <c r="D580" i="6"/>
  <c r="N580" i="6" s="1"/>
  <c r="D608" i="6"/>
  <c r="N608" i="6" s="1"/>
  <c r="D638" i="6"/>
  <c r="N638" i="6" s="1"/>
  <c r="D664" i="6"/>
  <c r="N664" i="6" s="1"/>
  <c r="D694" i="6"/>
  <c r="N694" i="6" s="1"/>
  <c r="D724" i="6"/>
  <c r="N724" i="6" s="1"/>
  <c r="D750" i="6"/>
  <c r="N750" i="6" s="1"/>
  <c r="D780" i="6"/>
  <c r="N780" i="6" s="1"/>
  <c r="D805" i="6"/>
  <c r="N805" i="6" s="1"/>
  <c r="D828" i="6"/>
  <c r="N828" i="6" s="1"/>
  <c r="D853" i="6"/>
  <c r="N853" i="6" s="1"/>
  <c r="D878" i="6"/>
  <c r="N878" i="6" s="1"/>
  <c r="D901" i="6"/>
  <c r="N901" i="6" s="1"/>
  <c r="D926" i="6"/>
  <c r="N926" i="6" s="1"/>
  <c r="D951" i="6"/>
  <c r="N951" i="6" s="1"/>
  <c r="D974" i="6"/>
  <c r="N974" i="6" s="1"/>
  <c r="D999" i="6"/>
  <c r="N999" i="6" s="1"/>
  <c r="D122" i="6"/>
  <c r="N122" i="6" s="1"/>
  <c r="D141" i="6"/>
  <c r="N141" i="6" s="1"/>
  <c r="D171" i="6"/>
  <c r="N171" i="6" s="1"/>
  <c r="D190" i="6"/>
  <c r="N190" i="6" s="1"/>
  <c r="D214" i="6"/>
  <c r="N214" i="6" s="1"/>
  <c r="D235" i="6"/>
  <c r="N235" i="6" s="1"/>
  <c r="D259" i="6"/>
  <c r="N259" i="6" s="1"/>
  <c r="D285" i="6"/>
  <c r="N285" i="6" s="1"/>
  <c r="D302" i="6"/>
  <c r="N302" i="6" s="1"/>
  <c r="D328" i="6"/>
  <c r="N328" i="6" s="1"/>
  <c r="D349" i="6"/>
  <c r="N349" i="6" s="1"/>
  <c r="D373" i="6"/>
  <c r="N373" i="6" s="1"/>
  <c r="D397" i="6"/>
  <c r="N397" i="6" s="1"/>
  <c r="D416" i="6"/>
  <c r="N416" i="6" s="1"/>
  <c r="D440" i="6"/>
  <c r="N440" i="6" s="1"/>
  <c r="D461" i="6"/>
  <c r="N461" i="6" s="1"/>
  <c r="D487" i="6"/>
  <c r="N487" i="6" s="1"/>
  <c r="D511" i="6"/>
  <c r="N511" i="6" s="1"/>
  <c r="D532" i="6"/>
  <c r="N532" i="6" s="1"/>
  <c r="D556" i="6"/>
  <c r="N556" i="6" s="1"/>
  <c r="D575" i="6"/>
  <c r="N575" i="6" s="1"/>
  <c r="D599" i="6"/>
  <c r="N599" i="6" s="1"/>
  <c r="D627" i="6"/>
  <c r="N627" i="6" s="1"/>
  <c r="D644" i="6"/>
  <c r="N644" i="6" s="1"/>
  <c r="D670" i="6"/>
  <c r="N670" i="6" s="1"/>
  <c r="D691" i="6"/>
  <c r="N691" i="6" s="1"/>
  <c r="D715" i="6"/>
  <c r="N715" i="6" s="1"/>
  <c r="D739" i="6"/>
  <c r="N739" i="6" s="1"/>
  <c r="D758" i="6"/>
  <c r="N758" i="6" s="1"/>
  <c r="D782" i="6"/>
  <c r="N782" i="6" s="1"/>
  <c r="D799" i="6"/>
  <c r="N799" i="6" s="1"/>
  <c r="D822" i="6"/>
  <c r="N822" i="6" s="1"/>
  <c r="D843" i="6"/>
  <c r="N843" i="6" s="1"/>
  <c r="D860" i="6"/>
  <c r="N860" i="6" s="1"/>
  <c r="D880" i="6"/>
  <c r="N880" i="6" s="1"/>
  <c r="D898" i="6"/>
  <c r="N898" i="6" s="1"/>
  <c r="D918" i="6"/>
  <c r="N918" i="6" s="1"/>
  <c r="D941" i="6"/>
  <c r="N941" i="6" s="1"/>
  <c r="D956" i="6"/>
  <c r="N956" i="6" s="1"/>
  <c r="D979" i="6"/>
  <c r="N979" i="6" s="1"/>
  <c r="D996" i="6"/>
  <c r="N996" i="6" s="1"/>
  <c r="D147" i="6"/>
  <c r="N147" i="6" s="1"/>
  <c r="D172" i="6"/>
  <c r="N172" i="6" s="1"/>
  <c r="D191" i="6"/>
  <c r="N191" i="6" s="1"/>
  <c r="D148" i="6"/>
  <c r="N148" i="6" s="1"/>
  <c r="D173" i="6"/>
  <c r="N173" i="6" s="1"/>
  <c r="D199" i="6"/>
  <c r="N199" i="6" s="1"/>
  <c r="D216" i="6"/>
  <c r="N216" i="6" s="1"/>
  <c r="D244" i="6"/>
  <c r="N244" i="6" s="1"/>
  <c r="D263" i="6"/>
  <c r="N263" i="6" s="1"/>
  <c r="D287" i="6"/>
  <c r="N287" i="6" s="1"/>
  <c r="D311" i="6"/>
  <c r="N311" i="6" s="1"/>
  <c r="D332" i="6"/>
  <c r="N332" i="6" s="1"/>
  <c r="D356" i="6"/>
  <c r="N356" i="6" s="1"/>
  <c r="D375" i="6"/>
  <c r="N375" i="6" s="1"/>
  <c r="D403" i="6"/>
  <c r="N403" i="6" s="1"/>
  <c r="D427" i="6"/>
  <c r="N427" i="6" s="1"/>
  <c r="D446" i="6"/>
  <c r="N446" i="6" s="1"/>
  <c r="D470" i="6"/>
  <c r="N470" i="6" s="1"/>
  <c r="D491" i="6"/>
  <c r="N491" i="6" s="1"/>
  <c r="D515" i="6"/>
  <c r="N515" i="6" s="1"/>
  <c r="D541" i="6"/>
  <c r="N541" i="6" s="1"/>
  <c r="D558" i="6"/>
  <c r="N558" i="6" s="1"/>
  <c r="D584" i="6"/>
  <c r="N584" i="6" s="1"/>
  <c r="D605" i="6"/>
  <c r="N605" i="6" s="1"/>
  <c r="D629" i="6"/>
  <c r="N629" i="6" s="1"/>
  <c r="D653" i="6"/>
  <c r="N653" i="6" s="1"/>
  <c r="D672" i="6"/>
  <c r="N672" i="6" s="1"/>
  <c r="D696" i="6"/>
  <c r="N696" i="6" s="1"/>
  <c r="D717" i="6"/>
  <c r="N717" i="6" s="1"/>
  <c r="D743" i="6"/>
  <c r="N743" i="6" s="1"/>
  <c r="D767" i="6"/>
  <c r="N767" i="6" s="1"/>
  <c r="D787" i="6"/>
  <c r="N787" i="6" s="1"/>
  <c r="D807" i="6"/>
  <c r="N807" i="6" s="1"/>
  <c r="D824" i="6"/>
  <c r="N824" i="6" s="1"/>
  <c r="D845" i="6"/>
  <c r="N845" i="6" s="1"/>
  <c r="D868" i="6"/>
  <c r="N868" i="6" s="1"/>
  <c r="D883" i="6"/>
  <c r="N883" i="6" s="1"/>
  <c r="D906" i="6"/>
  <c r="N906" i="6" s="1"/>
  <c r="D923" i="6"/>
  <c r="N923" i="6" s="1"/>
  <c r="D943" i="6"/>
  <c r="N943" i="6" s="1"/>
  <c r="D964" i="6"/>
  <c r="N964" i="6" s="1"/>
  <c r="D981" i="6"/>
  <c r="N981" i="6" s="1"/>
  <c r="D1001" i="6"/>
  <c r="N1001" i="6" s="1"/>
  <c r="D123" i="6"/>
  <c r="N123" i="6" s="1"/>
  <c r="D179" i="6"/>
  <c r="N179" i="6" s="1"/>
  <c r="D227" i="6"/>
  <c r="N227" i="6" s="1"/>
  <c r="D270" i="6"/>
  <c r="N270" i="6" s="1"/>
  <c r="D317" i="6"/>
  <c r="N317" i="6" s="1"/>
  <c r="D360" i="6"/>
  <c r="N360" i="6" s="1"/>
  <c r="D405" i="6"/>
  <c r="N405" i="6" s="1"/>
  <c r="D455" i="6"/>
  <c r="N455" i="6" s="1"/>
  <c r="D500" i="6"/>
  <c r="N500" i="6" s="1"/>
  <c r="D543" i="6"/>
  <c r="N543" i="6" s="1"/>
  <c r="D588" i="6"/>
  <c r="N588" i="6" s="1"/>
  <c r="D631" i="6"/>
  <c r="N631" i="6" s="1"/>
  <c r="D683" i="6"/>
  <c r="N683" i="6" s="1"/>
  <c r="D726" i="6"/>
  <c r="N726" i="6" s="1"/>
  <c r="D771" i="6"/>
  <c r="N771" i="6" s="1"/>
  <c r="D810" i="6"/>
  <c r="N810" i="6" s="1"/>
  <c r="D850" i="6"/>
  <c r="N850" i="6" s="1"/>
  <c r="D891" i="6"/>
  <c r="N891" i="6" s="1"/>
  <c r="D928" i="6"/>
  <c r="N928" i="6" s="1"/>
  <c r="D968" i="6"/>
  <c r="N968" i="6" s="1"/>
  <c r="D1005" i="6"/>
  <c r="N1005" i="6" s="1"/>
  <c r="D149" i="6"/>
  <c r="N149" i="6" s="1"/>
  <c r="D174" i="6"/>
  <c r="N174" i="6" s="1"/>
  <c r="D200" i="6"/>
  <c r="N200" i="6" s="1"/>
  <c r="D221" i="6"/>
  <c r="N221" i="6" s="1"/>
  <c r="D245" i="6"/>
  <c r="N245" i="6" s="1"/>
  <c r="D269" i="6"/>
  <c r="N269" i="6" s="1"/>
  <c r="D288" i="6"/>
  <c r="N288" i="6" s="1"/>
  <c r="D312" i="6"/>
  <c r="N312" i="6" s="1"/>
  <c r="D333" i="6"/>
  <c r="N333" i="6" s="1"/>
  <c r="D359" i="6"/>
  <c r="N359" i="6" s="1"/>
  <c r="D383" i="6"/>
  <c r="N383" i="6" s="1"/>
  <c r="D404" i="6"/>
  <c r="N404" i="6" s="1"/>
  <c r="D428" i="6"/>
  <c r="N428" i="6" s="1"/>
  <c r="D447" i="6"/>
  <c r="N447" i="6" s="1"/>
  <c r="D471" i="6"/>
  <c r="N471" i="6" s="1"/>
  <c r="D499" i="6"/>
  <c r="N499" i="6" s="1"/>
  <c r="D516" i="6"/>
  <c r="N516" i="6" s="1"/>
  <c r="D542" i="6"/>
  <c r="N542" i="6" s="1"/>
  <c r="D563" i="6"/>
  <c r="N563" i="6" s="1"/>
  <c r="D587" i="6"/>
  <c r="N587" i="6" s="1"/>
  <c r="D611" i="6"/>
  <c r="N611" i="6" s="1"/>
  <c r="D630" i="6"/>
  <c r="N630" i="6" s="1"/>
  <c r="D654" i="6"/>
  <c r="N654" i="6" s="1"/>
  <c r="D675" i="6"/>
  <c r="N675" i="6" s="1"/>
  <c r="D701" i="6"/>
  <c r="N701" i="6" s="1"/>
  <c r="D725" i="6"/>
  <c r="N725" i="6" s="1"/>
  <c r="D744" i="6"/>
  <c r="N744" i="6" s="1"/>
  <c r="D768" i="6"/>
  <c r="N768" i="6" s="1"/>
  <c r="D788" i="6"/>
  <c r="N788" i="6" s="1"/>
  <c r="D808" i="6"/>
  <c r="N808" i="6" s="1"/>
  <c r="D831" i="6"/>
  <c r="N831" i="6" s="1"/>
  <c r="D846" i="6"/>
  <c r="N846" i="6" s="1"/>
  <c r="D869" i="6"/>
  <c r="N869" i="6" s="1"/>
  <c r="D886" i="6"/>
  <c r="N886" i="6" s="1"/>
  <c r="D907" i="6"/>
  <c r="N907" i="6" s="1"/>
  <c r="D927" i="6"/>
  <c r="N927" i="6" s="1"/>
  <c r="D944" i="6"/>
  <c r="N944" i="6" s="1"/>
  <c r="D965" i="6"/>
  <c r="N965" i="6" s="1"/>
  <c r="D982" i="6"/>
  <c r="N982" i="6" s="1"/>
  <c r="D1004" i="6"/>
  <c r="N1004" i="6" s="1"/>
  <c r="D158" i="6"/>
  <c r="N158" i="6" s="1"/>
  <c r="D203" i="6"/>
  <c r="N203" i="6" s="1"/>
  <c r="D246" i="6"/>
  <c r="N246" i="6" s="1"/>
  <c r="D291" i="6"/>
  <c r="N291" i="6" s="1"/>
  <c r="D341" i="6"/>
  <c r="N341" i="6" s="1"/>
  <c r="D384" i="6"/>
  <c r="N384" i="6" s="1"/>
  <c r="D429" i="6"/>
  <c r="N429" i="6" s="1"/>
  <c r="D472" i="6"/>
  <c r="N472" i="6" s="1"/>
  <c r="D519" i="6"/>
  <c r="N519" i="6" s="1"/>
  <c r="D567" i="6"/>
  <c r="N567" i="6" s="1"/>
  <c r="D612" i="6"/>
  <c r="N612" i="6" s="1"/>
  <c r="D659" i="6"/>
  <c r="N659" i="6" s="1"/>
  <c r="D702" i="6"/>
  <c r="N702" i="6" s="1"/>
  <c r="D747" i="6"/>
  <c r="N747" i="6" s="1"/>
  <c r="D795" i="6"/>
  <c r="N795" i="6" s="1"/>
  <c r="D832" i="6"/>
  <c r="N832" i="6" s="1"/>
  <c r="D870" i="6"/>
  <c r="N870" i="6" s="1"/>
  <c r="D908" i="6"/>
  <c r="N908" i="6" s="1"/>
  <c r="D946" i="6"/>
  <c r="N946" i="6" s="1"/>
  <c r="D989" i="6"/>
  <c r="N989" i="6" s="1"/>
  <c r="D160" i="6"/>
  <c r="N160" i="6" s="1"/>
  <c r="D215" i="6"/>
  <c r="N215" i="6" s="1"/>
  <c r="D260" i="6"/>
  <c r="N260" i="6" s="1"/>
  <c r="D307" i="6"/>
  <c r="N307" i="6" s="1"/>
  <c r="D355" i="6"/>
  <c r="N355" i="6" s="1"/>
  <c r="D398" i="6"/>
  <c r="N398" i="6" s="1"/>
  <c r="D445" i="6"/>
  <c r="N445" i="6" s="1"/>
  <c r="D488" i="6"/>
  <c r="N488" i="6" s="1"/>
  <c r="D533" i="6"/>
  <c r="N533" i="6" s="1"/>
  <c r="D583" i="6"/>
  <c r="N583" i="6" s="1"/>
  <c r="D628" i="6"/>
  <c r="N628" i="6" s="1"/>
  <c r="D671" i="6"/>
  <c r="N671" i="6" s="1"/>
  <c r="D716" i="6"/>
  <c r="N716" i="6" s="1"/>
  <c r="D759" i="6"/>
  <c r="N759" i="6" s="1"/>
  <c r="D806" i="6"/>
  <c r="N806" i="6" s="1"/>
  <c r="D844" i="6"/>
  <c r="N844" i="6" s="1"/>
  <c r="D882" i="6"/>
  <c r="N882" i="6" s="1"/>
  <c r="D919" i="6"/>
  <c r="N919" i="6" s="1"/>
  <c r="D959" i="6"/>
  <c r="N959" i="6" s="1"/>
  <c r="D1000" i="6"/>
  <c r="N1000" i="6" s="1"/>
  <c r="D183" i="6"/>
  <c r="N183" i="6" s="1"/>
  <c r="D319" i="6"/>
  <c r="N319" i="6" s="1"/>
  <c r="D414" i="6"/>
  <c r="N414" i="6" s="1"/>
  <c r="D502" i="6"/>
  <c r="N502" i="6" s="1"/>
  <c r="D597" i="6"/>
  <c r="N597" i="6" s="1"/>
  <c r="D685" i="6"/>
  <c r="N685" i="6" s="1"/>
  <c r="D775" i="6"/>
  <c r="N775" i="6" s="1"/>
  <c r="D855" i="6"/>
  <c r="N855" i="6" s="1"/>
  <c r="D971" i="6"/>
  <c r="N971" i="6" s="1"/>
  <c r="D415" i="6"/>
  <c r="N415" i="6" s="1"/>
  <c r="D598" i="6"/>
  <c r="N598" i="6" s="1"/>
  <c r="D686" i="6"/>
  <c r="N686" i="6" s="1"/>
  <c r="D781" i="6"/>
  <c r="N781" i="6" s="1"/>
  <c r="D859" i="6"/>
  <c r="N859" i="6" s="1"/>
  <c r="D934" i="6"/>
  <c r="N934" i="6" s="1"/>
  <c r="D189" i="6"/>
  <c r="N189" i="6" s="1"/>
  <c r="D286" i="6"/>
  <c r="N286" i="6" s="1"/>
  <c r="D419" i="6"/>
  <c r="N419" i="6" s="1"/>
  <c r="D512" i="6"/>
  <c r="N512" i="6" s="1"/>
  <c r="D600" i="6"/>
  <c r="N600" i="6" s="1"/>
  <c r="D695" i="6"/>
  <c r="N695" i="6" s="1"/>
  <c r="D786" i="6"/>
  <c r="N786" i="6" s="1"/>
  <c r="D861" i="6"/>
  <c r="N861" i="6" s="1"/>
  <c r="D942" i="6"/>
  <c r="N942" i="6" s="1"/>
  <c r="D127" i="6"/>
  <c r="N127" i="6" s="1"/>
  <c r="D247" i="6"/>
  <c r="N247" i="6" s="1"/>
  <c r="D342" i="6"/>
  <c r="N342" i="6" s="1"/>
  <c r="D430" i="6"/>
  <c r="N430" i="6" s="1"/>
  <c r="D525" i="6"/>
  <c r="N525" i="6" s="1"/>
  <c r="D615" i="6"/>
  <c r="N615" i="6" s="1"/>
  <c r="D703" i="6"/>
  <c r="N703" i="6" s="1"/>
  <c r="D796" i="6"/>
  <c r="N796" i="6" s="1"/>
  <c r="D871" i="6"/>
  <c r="N871" i="6" s="1"/>
  <c r="D952" i="6"/>
  <c r="N952" i="6" s="1"/>
  <c r="D435" i="6"/>
  <c r="N435" i="6" s="1"/>
  <c r="D835" i="6"/>
  <c r="N835" i="6" s="1"/>
  <c r="D213" i="6"/>
  <c r="N213" i="6" s="1"/>
  <c r="D256" i="6"/>
  <c r="N256" i="6" s="1"/>
  <c r="D344" i="6"/>
  <c r="N344" i="6" s="1"/>
  <c r="D439" i="6"/>
  <c r="N439" i="6" s="1"/>
  <c r="D531" i="6"/>
  <c r="N531" i="6" s="1"/>
  <c r="D619" i="6"/>
  <c r="N619" i="6" s="1"/>
  <c r="D712" i="6"/>
  <c r="N712" i="6" s="1"/>
  <c r="D798" i="6"/>
  <c r="N798" i="6" s="1"/>
  <c r="D879" i="6"/>
  <c r="N879" i="6" s="1"/>
  <c r="D955" i="6"/>
  <c r="N955" i="6" s="1"/>
  <c r="D163" i="6"/>
  <c r="N163" i="6" s="1"/>
  <c r="D228" i="6"/>
  <c r="N228" i="6" s="1"/>
  <c r="D275" i="6"/>
  <c r="N275" i="6" s="1"/>
  <c r="D318" i="6"/>
  <c r="N318" i="6" s="1"/>
  <c r="D363" i="6"/>
  <c r="N363" i="6" s="1"/>
  <c r="D413" i="6"/>
  <c r="N413" i="6" s="1"/>
  <c r="D456" i="6"/>
  <c r="N456" i="6" s="1"/>
  <c r="D501" i="6"/>
  <c r="N501" i="6" s="1"/>
  <c r="D544" i="6"/>
  <c r="N544" i="6" s="1"/>
  <c r="D589" i="6"/>
  <c r="N589" i="6" s="1"/>
  <c r="D639" i="6"/>
  <c r="N639" i="6" s="1"/>
  <c r="D684" i="6"/>
  <c r="N684" i="6" s="1"/>
  <c r="D727" i="6"/>
  <c r="N727" i="6" s="1"/>
  <c r="D772" i="6"/>
  <c r="N772" i="6" s="1"/>
  <c r="D813" i="6"/>
  <c r="N813" i="6" s="1"/>
  <c r="D854" i="6"/>
  <c r="N854" i="6" s="1"/>
  <c r="D892" i="6"/>
  <c r="N892" i="6" s="1"/>
  <c r="D932" i="6"/>
  <c r="N932" i="6" s="1"/>
  <c r="D970" i="6"/>
  <c r="N970" i="6" s="1"/>
  <c r="D1006" i="6"/>
  <c r="N1006" i="6" s="1"/>
  <c r="D276" i="6"/>
  <c r="N276" i="6" s="1"/>
  <c r="D371" i="6"/>
  <c r="N371" i="6" s="1"/>
  <c r="D459" i="6"/>
  <c r="N459" i="6" s="1"/>
  <c r="D547" i="6"/>
  <c r="N547" i="6" s="1"/>
  <c r="D640" i="6"/>
  <c r="N640" i="6" s="1"/>
  <c r="D728" i="6"/>
  <c r="N728" i="6" s="1"/>
  <c r="D818" i="6"/>
  <c r="N818" i="6" s="1"/>
  <c r="D895" i="6"/>
  <c r="N895" i="6" s="1"/>
  <c r="D1012" i="6"/>
  <c r="N1012" i="6" s="1"/>
  <c r="D184" i="6"/>
  <c r="N184" i="6" s="1"/>
  <c r="D232" i="6"/>
  <c r="N232" i="6" s="1"/>
  <c r="D277" i="6"/>
  <c r="N277" i="6" s="1"/>
  <c r="D327" i="6"/>
  <c r="N327" i="6" s="1"/>
  <c r="D372" i="6"/>
  <c r="N372" i="6" s="1"/>
  <c r="D460" i="6"/>
  <c r="N460" i="6" s="1"/>
  <c r="D503" i="6"/>
  <c r="N503" i="6" s="1"/>
  <c r="D555" i="6"/>
  <c r="N555" i="6" s="1"/>
  <c r="D643" i="6"/>
  <c r="N643" i="6" s="1"/>
  <c r="D733" i="6"/>
  <c r="N733" i="6" s="1"/>
  <c r="D819" i="6"/>
  <c r="N819" i="6" s="1"/>
  <c r="D896" i="6"/>
  <c r="N896" i="6" s="1"/>
  <c r="D978" i="6"/>
  <c r="N978" i="6" s="1"/>
  <c r="D126" i="6"/>
  <c r="N126" i="6" s="1"/>
  <c r="D243" i="6"/>
  <c r="N243" i="6" s="1"/>
  <c r="D374" i="6"/>
  <c r="N374" i="6" s="1"/>
  <c r="D469" i="6"/>
  <c r="N469" i="6" s="1"/>
  <c r="D557" i="6"/>
  <c r="N557" i="6" s="1"/>
  <c r="D647" i="6"/>
  <c r="N647" i="6" s="1"/>
  <c r="D740" i="6"/>
  <c r="N740" i="6" s="1"/>
  <c r="D823" i="6"/>
  <c r="N823" i="6" s="1"/>
  <c r="D904" i="6"/>
  <c r="N904" i="6" s="1"/>
  <c r="D980" i="6"/>
  <c r="N980" i="6" s="1"/>
  <c r="D204" i="6"/>
  <c r="N204" i="6" s="1"/>
  <c r="D299" i="6"/>
  <c r="N299" i="6" s="1"/>
  <c r="D387" i="6"/>
  <c r="N387" i="6" s="1"/>
  <c r="D477" i="6"/>
  <c r="N477" i="6" s="1"/>
  <c r="D568" i="6"/>
  <c r="N568" i="6" s="1"/>
  <c r="D660" i="6"/>
  <c r="N660" i="6" s="1"/>
  <c r="D755" i="6"/>
  <c r="N755" i="6" s="1"/>
  <c r="D834" i="6"/>
  <c r="N834" i="6" s="1"/>
  <c r="D909" i="6"/>
  <c r="N909" i="6" s="1"/>
  <c r="D990" i="6"/>
  <c r="N990" i="6" s="1"/>
  <c r="D616" i="6"/>
  <c r="N616" i="6" s="1"/>
  <c r="D916" i="6"/>
  <c r="N916" i="6" s="1"/>
  <c r="D159" i="6"/>
  <c r="N159" i="6" s="1"/>
  <c r="D301" i="6"/>
  <c r="N301" i="6" s="1"/>
  <c r="D391" i="6"/>
  <c r="N391" i="6" s="1"/>
  <c r="D484" i="6"/>
  <c r="N484" i="6" s="1"/>
  <c r="D574" i="6"/>
  <c r="N574" i="6" s="1"/>
  <c r="D669" i="6"/>
  <c r="N669" i="6" s="1"/>
  <c r="D757" i="6"/>
  <c r="N757" i="6" s="1"/>
  <c r="D836" i="6"/>
  <c r="N836" i="6" s="1"/>
  <c r="D917" i="6"/>
  <c r="N917" i="6" s="1"/>
  <c r="D992" i="6"/>
  <c r="N992" i="6" s="1"/>
  <c r="D231" i="6"/>
  <c r="N231" i="6" s="1"/>
  <c r="D933" i="6"/>
  <c r="N933" i="6" s="1"/>
  <c r="D331" i="6"/>
  <c r="N331" i="6" s="1"/>
  <c r="D132" i="6"/>
  <c r="N132" i="6" s="1"/>
  <c r="D205" i="6"/>
  <c r="N205" i="6" s="1"/>
  <c r="D255" i="6"/>
  <c r="N255" i="6" s="1"/>
  <c r="D300" i="6"/>
  <c r="N300" i="6" s="1"/>
  <c r="D343" i="6"/>
  <c r="N343" i="6" s="1"/>
  <c r="D388" i="6"/>
  <c r="N388" i="6" s="1"/>
  <c r="D483" i="6"/>
  <c r="N483" i="6" s="1"/>
  <c r="D526" i="6"/>
  <c r="N526" i="6" s="1"/>
  <c r="D573" i="6"/>
  <c r="N573" i="6" s="1"/>
  <c r="D661" i="6"/>
  <c r="N661" i="6" s="1"/>
  <c r="D711" i="6"/>
  <c r="N711" i="6" s="1"/>
  <c r="D756" i="6"/>
  <c r="N756" i="6" s="1"/>
  <c r="D797" i="6"/>
  <c r="N797" i="6" s="1"/>
  <c r="D872" i="6"/>
  <c r="N872" i="6" s="1"/>
  <c r="D954" i="6"/>
  <c r="N954" i="6" s="1"/>
  <c r="D991" i="6"/>
  <c r="N991" i="6" s="1"/>
  <c r="C119" i="6"/>
  <c r="C127" i="6"/>
  <c r="C135" i="6"/>
  <c r="C143" i="6"/>
  <c r="C151" i="6"/>
  <c r="C159" i="6"/>
  <c r="C167" i="6"/>
  <c r="C175" i="6"/>
  <c r="C183" i="6"/>
  <c r="C191" i="6"/>
  <c r="C199" i="6"/>
  <c r="C207" i="6"/>
  <c r="C215" i="6"/>
  <c r="C223" i="6"/>
  <c r="C231" i="6"/>
  <c r="C239" i="6"/>
  <c r="C247" i="6"/>
  <c r="C255" i="6"/>
  <c r="C263" i="6"/>
  <c r="C271" i="6"/>
  <c r="C279" i="6"/>
  <c r="C287" i="6"/>
  <c r="C295" i="6"/>
  <c r="C303" i="6"/>
  <c r="C311" i="6"/>
  <c r="C319" i="6"/>
  <c r="C327" i="6"/>
  <c r="C335" i="6"/>
  <c r="C343" i="6"/>
  <c r="C351" i="6"/>
  <c r="C359" i="6"/>
  <c r="C367" i="6"/>
  <c r="C375" i="6"/>
  <c r="C383" i="6"/>
  <c r="C391" i="6"/>
  <c r="C399" i="6"/>
  <c r="C407" i="6"/>
  <c r="C415" i="6"/>
  <c r="C423" i="6"/>
  <c r="C431" i="6"/>
  <c r="C439" i="6"/>
  <c r="C447" i="6"/>
  <c r="C455" i="6"/>
  <c r="C463" i="6"/>
  <c r="C471" i="6"/>
  <c r="C479" i="6"/>
  <c r="C487" i="6"/>
  <c r="C495" i="6"/>
  <c r="C503" i="6"/>
  <c r="C115" i="6"/>
  <c r="C124" i="6"/>
  <c r="C133" i="6"/>
  <c r="C142" i="6"/>
  <c r="C152" i="6"/>
  <c r="C161" i="6"/>
  <c r="C170" i="6"/>
  <c r="C179" i="6"/>
  <c r="C188" i="6"/>
  <c r="C197" i="6"/>
  <c r="C206" i="6"/>
  <c r="C216" i="6"/>
  <c r="C225" i="6"/>
  <c r="C234" i="6"/>
  <c r="C243" i="6"/>
  <c r="C252" i="6"/>
  <c r="C261" i="6"/>
  <c r="C270" i="6"/>
  <c r="C280" i="6"/>
  <c r="C289" i="6"/>
  <c r="C298" i="6"/>
  <c r="C307" i="6"/>
  <c r="C316" i="6"/>
  <c r="C325" i="6"/>
  <c r="C334" i="6"/>
  <c r="C344" i="6"/>
  <c r="C353" i="6"/>
  <c r="C362" i="6"/>
  <c r="C371" i="6"/>
  <c r="C380" i="6"/>
  <c r="C389" i="6"/>
  <c r="C398" i="6"/>
  <c r="C408" i="6"/>
  <c r="C417" i="6"/>
  <c r="C426" i="6"/>
  <c r="C435" i="6"/>
  <c r="C444" i="6"/>
  <c r="C453" i="6"/>
  <c r="C462" i="6"/>
  <c r="C472" i="6"/>
  <c r="C481" i="6"/>
  <c r="C490" i="6"/>
  <c r="C499" i="6"/>
  <c r="C508" i="6"/>
  <c r="C516" i="6"/>
  <c r="C524" i="6"/>
  <c r="C532" i="6"/>
  <c r="C540" i="6"/>
  <c r="C548" i="6"/>
  <c r="C556" i="6"/>
  <c r="C564" i="6"/>
  <c r="C572" i="6"/>
  <c r="C580" i="6"/>
  <c r="C588" i="6"/>
  <c r="C116" i="6"/>
  <c r="C125" i="6"/>
  <c r="C134" i="6"/>
  <c r="C144" i="6"/>
  <c r="C153" i="6"/>
  <c r="C162" i="6"/>
  <c r="C171" i="6"/>
  <c r="C180" i="6"/>
  <c r="C189" i="6"/>
  <c r="C198" i="6"/>
  <c r="C208" i="6"/>
  <c r="C217" i="6"/>
  <c r="C226" i="6"/>
  <c r="C235" i="6"/>
  <c r="C244" i="6"/>
  <c r="C253" i="6"/>
  <c r="C262" i="6"/>
  <c r="C272" i="6"/>
  <c r="C281" i="6"/>
  <c r="C290" i="6"/>
  <c r="C299" i="6"/>
  <c r="C308" i="6"/>
  <c r="C317" i="6"/>
  <c r="C326" i="6"/>
  <c r="C336" i="6"/>
  <c r="C345" i="6"/>
  <c r="C354" i="6"/>
  <c r="C363" i="6"/>
  <c r="C372" i="6"/>
  <c r="C381" i="6"/>
  <c r="C390" i="6"/>
  <c r="C400" i="6"/>
  <c r="C409" i="6"/>
  <c r="C418" i="6"/>
  <c r="C427" i="6"/>
  <c r="C436" i="6"/>
  <c r="C445" i="6"/>
  <c r="C454" i="6"/>
  <c r="C464" i="6"/>
  <c r="C473" i="6"/>
  <c r="C482" i="6"/>
  <c r="C491" i="6"/>
  <c r="C500" i="6"/>
  <c r="C509" i="6"/>
  <c r="C517" i="6"/>
  <c r="C525" i="6"/>
  <c r="C533" i="6"/>
  <c r="C541" i="6"/>
  <c r="C549" i="6"/>
  <c r="C557" i="6"/>
  <c r="C565" i="6"/>
  <c r="C573" i="6"/>
  <c r="C581" i="6"/>
  <c r="C117" i="6"/>
  <c r="C129" i="6"/>
  <c r="C140" i="6"/>
  <c r="C154" i="6"/>
  <c r="C165" i="6"/>
  <c r="C177" i="6"/>
  <c r="C190" i="6"/>
  <c r="C202" i="6"/>
  <c r="C213" i="6"/>
  <c r="C227" i="6"/>
  <c r="C238" i="6"/>
  <c r="C250" i="6"/>
  <c r="C264" i="6"/>
  <c r="C275" i="6"/>
  <c r="C286" i="6"/>
  <c r="C300" i="6"/>
  <c r="C312" i="6"/>
  <c r="C323" i="6"/>
  <c r="C337" i="6"/>
  <c r="C348" i="6"/>
  <c r="C360" i="6"/>
  <c r="C373" i="6"/>
  <c r="C385" i="6"/>
  <c r="C396" i="6"/>
  <c r="C410" i="6"/>
  <c r="C421" i="6"/>
  <c r="C433" i="6"/>
  <c r="C446" i="6"/>
  <c r="C458" i="6"/>
  <c r="C469" i="6"/>
  <c r="C483" i="6"/>
  <c r="C494" i="6"/>
  <c r="C506" i="6"/>
  <c r="C518" i="6"/>
  <c r="C528" i="6"/>
  <c r="C538" i="6"/>
  <c r="C550" i="6"/>
  <c r="C560" i="6"/>
  <c r="C570" i="6"/>
  <c r="C582" i="6"/>
  <c r="C591" i="6"/>
  <c r="C599" i="6"/>
  <c r="C607" i="6"/>
  <c r="C615" i="6"/>
  <c r="C623" i="6"/>
  <c r="C631" i="6"/>
  <c r="C639" i="6"/>
  <c r="C647" i="6"/>
  <c r="C655" i="6"/>
  <c r="C663" i="6"/>
  <c r="C671" i="6"/>
  <c r="C679" i="6"/>
  <c r="C687" i="6"/>
  <c r="C695" i="6"/>
  <c r="C703" i="6"/>
  <c r="C711" i="6"/>
  <c r="C719" i="6"/>
  <c r="C727" i="6"/>
  <c r="C735" i="6"/>
  <c r="C743" i="6"/>
  <c r="C751" i="6"/>
  <c r="C759" i="6"/>
  <c r="C767" i="6"/>
  <c r="C775" i="6"/>
  <c r="C783" i="6"/>
  <c r="C791" i="6"/>
  <c r="C799" i="6"/>
  <c r="C807" i="6"/>
  <c r="C815" i="6"/>
  <c r="C823" i="6"/>
  <c r="C831" i="6"/>
  <c r="C839" i="6"/>
  <c r="C847" i="6"/>
  <c r="C855" i="6"/>
  <c r="C863" i="6"/>
  <c r="C871" i="6"/>
  <c r="C879" i="6"/>
  <c r="C887" i="6"/>
  <c r="C895" i="6"/>
  <c r="C903" i="6"/>
  <c r="C911" i="6"/>
  <c r="C919" i="6"/>
  <c r="C927" i="6"/>
  <c r="C935" i="6"/>
  <c r="C943" i="6"/>
  <c r="C951" i="6"/>
  <c r="C959" i="6"/>
  <c r="C967" i="6"/>
  <c r="C975" i="6"/>
  <c r="C983" i="6"/>
  <c r="C991" i="6"/>
  <c r="C999" i="6"/>
  <c r="C1007" i="6"/>
  <c r="C120" i="6"/>
  <c r="C131" i="6"/>
  <c r="C145" i="6"/>
  <c r="C156" i="6"/>
  <c r="C168" i="6"/>
  <c r="C181" i="6"/>
  <c r="C193" i="6"/>
  <c r="C204" i="6"/>
  <c r="C218" i="6"/>
  <c r="C229" i="6"/>
  <c r="C241" i="6"/>
  <c r="C254" i="6"/>
  <c r="C266" i="6"/>
  <c r="C277" i="6"/>
  <c r="C291" i="6"/>
  <c r="C302" i="6"/>
  <c r="C314" i="6"/>
  <c r="C328" i="6"/>
  <c r="C339" i="6"/>
  <c r="C350" i="6"/>
  <c r="C364" i="6"/>
  <c r="C376" i="6"/>
  <c r="C387" i="6"/>
  <c r="C401" i="6"/>
  <c r="C412" i="6"/>
  <c r="C424" i="6"/>
  <c r="C437" i="6"/>
  <c r="C449" i="6"/>
  <c r="C460" i="6"/>
  <c r="C474" i="6"/>
  <c r="C485" i="6"/>
  <c r="C497" i="6"/>
  <c r="C510" i="6"/>
  <c r="C520" i="6"/>
  <c r="C530" i="6"/>
  <c r="C542" i="6"/>
  <c r="C552" i="6"/>
  <c r="C562" i="6"/>
  <c r="C574" i="6"/>
  <c r="C584" i="6"/>
  <c r="C593" i="6"/>
  <c r="C601" i="6"/>
  <c r="C609" i="6"/>
  <c r="C617" i="6"/>
  <c r="C625" i="6"/>
  <c r="C633" i="6"/>
  <c r="C641" i="6"/>
  <c r="C649" i="6"/>
  <c r="C657" i="6"/>
  <c r="C665" i="6"/>
  <c r="C673" i="6"/>
  <c r="C681" i="6"/>
  <c r="C689" i="6"/>
  <c r="C697" i="6"/>
  <c r="C705" i="6"/>
  <c r="C713" i="6"/>
  <c r="C721" i="6"/>
  <c r="C729" i="6"/>
  <c r="C737" i="6"/>
  <c r="C745" i="6"/>
  <c r="C753" i="6"/>
  <c r="C761" i="6"/>
  <c r="C121" i="6"/>
  <c r="C132" i="6"/>
  <c r="C146" i="6"/>
  <c r="C157" i="6"/>
  <c r="C169" i="6"/>
  <c r="C182" i="6"/>
  <c r="C194" i="6"/>
  <c r="C205" i="6"/>
  <c r="C219" i="6"/>
  <c r="C230" i="6"/>
  <c r="C242" i="6"/>
  <c r="C256" i="6"/>
  <c r="C267" i="6"/>
  <c r="C278" i="6"/>
  <c r="C292" i="6"/>
  <c r="C304" i="6"/>
  <c r="C315" i="6"/>
  <c r="C329" i="6"/>
  <c r="C340" i="6"/>
  <c r="C352" i="6"/>
  <c r="C365" i="6"/>
  <c r="C377" i="6"/>
  <c r="C388" i="6"/>
  <c r="C402" i="6"/>
  <c r="C413" i="6"/>
  <c r="C425" i="6"/>
  <c r="C438" i="6"/>
  <c r="C450" i="6"/>
  <c r="C461" i="6"/>
  <c r="C475" i="6"/>
  <c r="C486" i="6"/>
  <c r="C498" i="6"/>
  <c r="C511" i="6"/>
  <c r="C521" i="6"/>
  <c r="C531" i="6"/>
  <c r="C543" i="6"/>
  <c r="C553" i="6"/>
  <c r="C563" i="6"/>
  <c r="C575" i="6"/>
  <c r="C585" i="6"/>
  <c r="C594" i="6"/>
  <c r="C602" i="6"/>
  <c r="C610" i="6"/>
  <c r="C618" i="6"/>
  <c r="C626" i="6"/>
  <c r="C634" i="6"/>
  <c r="C642" i="6"/>
  <c r="C650" i="6"/>
  <c r="C658" i="6"/>
  <c r="C666" i="6"/>
  <c r="C674" i="6"/>
  <c r="C682" i="6"/>
  <c r="C690" i="6"/>
  <c r="C698" i="6"/>
  <c r="C706" i="6"/>
  <c r="C714" i="6"/>
  <c r="C722" i="6"/>
  <c r="C730" i="6"/>
  <c r="C738" i="6"/>
  <c r="C746" i="6"/>
  <c r="C754" i="6"/>
  <c r="C762" i="6"/>
  <c r="C113" i="6"/>
  <c r="C136" i="6"/>
  <c r="C150" i="6"/>
  <c r="C173" i="6"/>
  <c r="C192" i="6"/>
  <c r="C211" i="6"/>
  <c r="C232" i="6"/>
  <c r="C249" i="6"/>
  <c r="C269" i="6"/>
  <c r="C288" i="6"/>
  <c r="C309" i="6"/>
  <c r="C330" i="6"/>
  <c r="C347" i="6"/>
  <c r="C368" i="6"/>
  <c r="C386" i="6"/>
  <c r="C405" i="6"/>
  <c r="C428" i="6"/>
  <c r="C443" i="6"/>
  <c r="C466" i="6"/>
  <c r="C484" i="6"/>
  <c r="C504" i="6"/>
  <c r="C522" i="6"/>
  <c r="C537" i="6"/>
  <c r="C555" i="6"/>
  <c r="C571" i="6"/>
  <c r="C589" i="6"/>
  <c r="C603" i="6"/>
  <c r="C614" i="6"/>
  <c r="C628" i="6"/>
  <c r="C640" i="6"/>
  <c r="C653" i="6"/>
  <c r="C667" i="6"/>
  <c r="C678" i="6"/>
  <c r="C692" i="6"/>
  <c r="C704" i="6"/>
  <c r="C717" i="6"/>
  <c r="C731" i="6"/>
  <c r="C742" i="6"/>
  <c r="C756" i="6"/>
  <c r="C768" i="6"/>
  <c r="C777" i="6"/>
  <c r="C786" i="6"/>
  <c r="C795" i="6"/>
  <c r="C804" i="6"/>
  <c r="C813" i="6"/>
  <c r="C822" i="6"/>
  <c r="C832" i="6"/>
  <c r="C841" i="6"/>
  <c r="C850" i="6"/>
  <c r="C859" i="6"/>
  <c r="C868" i="6"/>
  <c r="C877" i="6"/>
  <c r="C886" i="6"/>
  <c r="C896" i="6"/>
  <c r="C905" i="6"/>
  <c r="C914" i="6"/>
  <c r="C923" i="6"/>
  <c r="C932" i="6"/>
  <c r="C941" i="6"/>
  <c r="C950" i="6"/>
  <c r="C960" i="6"/>
  <c r="C969" i="6"/>
  <c r="C978" i="6"/>
  <c r="C987" i="6"/>
  <c r="C996" i="6"/>
  <c r="C1005" i="6"/>
  <c r="C114" i="6"/>
  <c r="C137" i="6"/>
  <c r="C155" i="6"/>
  <c r="C174" i="6"/>
  <c r="C195" i="6"/>
  <c r="C233" i="6"/>
  <c r="C251" i="6"/>
  <c r="C273" i="6"/>
  <c r="C293" i="6"/>
  <c r="C310" i="6"/>
  <c r="C331" i="6"/>
  <c r="C349" i="6"/>
  <c r="C369" i="6"/>
  <c r="C392" i="6"/>
  <c r="C406" i="6"/>
  <c r="C429" i="6"/>
  <c r="C448" i="6"/>
  <c r="C467" i="6"/>
  <c r="C488" i="6"/>
  <c r="C505" i="6"/>
  <c r="C523" i="6"/>
  <c r="C539" i="6"/>
  <c r="C558" i="6"/>
  <c r="C576" i="6"/>
  <c r="C590" i="6"/>
  <c r="C604" i="6"/>
  <c r="C616" i="6"/>
  <c r="C629" i="6"/>
  <c r="C643" i="6"/>
  <c r="C654" i="6"/>
  <c r="C668" i="6"/>
  <c r="C680" i="6"/>
  <c r="C693" i="6"/>
  <c r="C707" i="6"/>
  <c r="C718" i="6"/>
  <c r="C732" i="6"/>
  <c r="C744" i="6"/>
  <c r="C757" i="6"/>
  <c r="C769" i="6"/>
  <c r="C787" i="6"/>
  <c r="C796" i="6"/>
  <c r="C805" i="6"/>
  <c r="C814" i="6"/>
  <c r="C824" i="6"/>
  <c r="C833" i="6"/>
  <c r="C842" i="6"/>
  <c r="C851" i="6"/>
  <c r="C860" i="6"/>
  <c r="C869" i="6"/>
  <c r="C878" i="6"/>
  <c r="C888" i="6"/>
  <c r="C897" i="6"/>
  <c r="C906" i="6"/>
  <c r="C915" i="6"/>
  <c r="C924" i="6"/>
  <c r="C933" i="6"/>
  <c r="C942" i="6"/>
  <c r="C952" i="6"/>
  <c r="C961" i="6"/>
  <c r="C970" i="6"/>
  <c r="C979" i="6"/>
  <c r="C988" i="6"/>
  <c r="C997" i="6"/>
  <c r="C1006" i="6"/>
  <c r="C559" i="6"/>
  <c r="C619" i="6"/>
  <c r="C630" i="6"/>
  <c r="C656" i="6"/>
  <c r="C669" i="6"/>
  <c r="C683" i="6"/>
  <c r="C694" i="6"/>
  <c r="C708" i="6"/>
  <c r="C720" i="6"/>
  <c r="C747" i="6"/>
  <c r="C758" i="6"/>
  <c r="C770" i="6"/>
  <c r="C779" i="6"/>
  <c r="C788" i="6"/>
  <c r="C797" i="6"/>
  <c r="C806" i="6"/>
  <c r="C816" i="6"/>
  <c r="C825" i="6"/>
  <c r="C834" i="6"/>
  <c r="C843" i="6"/>
  <c r="C852" i="6"/>
  <c r="C861" i="6"/>
  <c r="C870" i="6"/>
  <c r="C880" i="6"/>
  <c r="C889" i="6"/>
  <c r="C212" i="6"/>
  <c r="C118" i="6"/>
  <c r="C138" i="6"/>
  <c r="C158" i="6"/>
  <c r="C176" i="6"/>
  <c r="C196" i="6"/>
  <c r="C214" i="6"/>
  <c r="C236" i="6"/>
  <c r="C257" i="6"/>
  <c r="C274" i="6"/>
  <c r="C294" i="6"/>
  <c r="C313" i="6"/>
  <c r="C332" i="6"/>
  <c r="C355" i="6"/>
  <c r="C370" i="6"/>
  <c r="C393" i="6"/>
  <c r="C411" i="6"/>
  <c r="C430" i="6"/>
  <c r="C451" i="6"/>
  <c r="C468" i="6"/>
  <c r="C489" i="6"/>
  <c r="C507" i="6"/>
  <c r="C526" i="6"/>
  <c r="C544" i="6"/>
  <c r="C577" i="6"/>
  <c r="C592" i="6"/>
  <c r="C605" i="6"/>
  <c r="C644" i="6"/>
  <c r="C733" i="6"/>
  <c r="C139" i="6"/>
  <c r="C166" i="6"/>
  <c r="C201" i="6"/>
  <c r="C228" i="6"/>
  <c r="C260" i="6"/>
  <c r="C296" i="6"/>
  <c r="C322" i="6"/>
  <c r="C357" i="6"/>
  <c r="C384" i="6"/>
  <c r="C419" i="6"/>
  <c r="C452" i="6"/>
  <c r="C478" i="6"/>
  <c r="C513" i="6"/>
  <c r="C536" i="6"/>
  <c r="C567" i="6"/>
  <c r="C595" i="6"/>
  <c r="C612" i="6"/>
  <c r="C635" i="6"/>
  <c r="C652" i="6"/>
  <c r="C675" i="6"/>
  <c r="C696" i="6"/>
  <c r="C715" i="6"/>
  <c r="C736" i="6"/>
  <c r="C755" i="6"/>
  <c r="C773" i="6"/>
  <c r="C785" i="6"/>
  <c r="C801" i="6"/>
  <c r="C817" i="6"/>
  <c r="C829" i="6"/>
  <c r="C845" i="6"/>
  <c r="C858" i="6"/>
  <c r="C874" i="6"/>
  <c r="C890" i="6"/>
  <c r="C901" i="6"/>
  <c r="C913" i="6"/>
  <c r="C926" i="6"/>
  <c r="C938" i="6"/>
  <c r="C949" i="6"/>
  <c r="C963" i="6"/>
  <c r="C974" i="6"/>
  <c r="C986" i="6"/>
  <c r="C1000" i="6"/>
  <c r="C1011" i="6"/>
  <c r="C141" i="6"/>
  <c r="C172" i="6"/>
  <c r="C203" i="6"/>
  <c r="C237" i="6"/>
  <c r="C265" i="6"/>
  <c r="C297" i="6"/>
  <c r="C324" i="6"/>
  <c r="C358" i="6"/>
  <c r="C394" i="6"/>
  <c r="C420" i="6"/>
  <c r="C456" i="6"/>
  <c r="C480" i="6"/>
  <c r="C514" i="6"/>
  <c r="C545" i="6"/>
  <c r="C568" i="6"/>
  <c r="C596" i="6"/>
  <c r="C613" i="6"/>
  <c r="C636" i="6"/>
  <c r="C659" i="6"/>
  <c r="C676" i="6"/>
  <c r="C699" i="6"/>
  <c r="C716" i="6"/>
  <c r="C739" i="6"/>
  <c r="C760" i="6"/>
  <c r="C774" i="6"/>
  <c r="C789" i="6"/>
  <c r="C802" i="6"/>
  <c r="C818" i="6"/>
  <c r="C830" i="6"/>
  <c r="C846" i="6"/>
  <c r="C862" i="6"/>
  <c r="C875" i="6"/>
  <c r="C891" i="6"/>
  <c r="C902" i="6"/>
  <c r="C916" i="6"/>
  <c r="C928" i="6"/>
  <c r="C939" i="6"/>
  <c r="C953" i="6"/>
  <c r="C964" i="6"/>
  <c r="C976" i="6"/>
  <c r="C989" i="6"/>
  <c r="C1001" i="6"/>
  <c r="C1012" i="6"/>
  <c r="C147" i="6"/>
  <c r="C178" i="6"/>
  <c r="C209" i="6"/>
  <c r="C240" i="6"/>
  <c r="C268" i="6"/>
  <c r="C301" i="6"/>
  <c r="C333" i="6"/>
  <c r="C361" i="6"/>
  <c r="C395" i="6"/>
  <c r="C422" i="6"/>
  <c r="C457" i="6"/>
  <c r="C492" i="6"/>
  <c r="C515" i="6"/>
  <c r="C546" i="6"/>
  <c r="C569" i="6"/>
  <c r="C597" i="6"/>
  <c r="C620" i="6"/>
  <c r="C637" i="6"/>
  <c r="C660" i="6"/>
  <c r="C677" i="6"/>
  <c r="C700" i="6"/>
  <c r="C723" i="6"/>
  <c r="C740" i="6"/>
  <c r="C763" i="6"/>
  <c r="C776" i="6"/>
  <c r="C790" i="6"/>
  <c r="C803" i="6"/>
  <c r="C819" i="6"/>
  <c r="C835" i="6"/>
  <c r="C848" i="6"/>
  <c r="C864" i="6"/>
  <c r="C876" i="6"/>
  <c r="C892" i="6"/>
  <c r="C904" i="6"/>
  <c r="C917" i="6"/>
  <c r="C929" i="6"/>
  <c r="C940" i="6"/>
  <c r="C954" i="6"/>
  <c r="C965" i="6"/>
  <c r="C977" i="6"/>
  <c r="C990" i="6"/>
  <c r="C1002" i="6"/>
  <c r="C149" i="6"/>
  <c r="C220" i="6"/>
  <c r="C282" i="6"/>
  <c r="C341" i="6"/>
  <c r="C403" i="6"/>
  <c r="C465" i="6"/>
  <c r="C527" i="6"/>
  <c r="C579" i="6"/>
  <c r="C622" i="6"/>
  <c r="C662" i="6"/>
  <c r="C702" i="6"/>
  <c r="C748" i="6"/>
  <c r="C780" i="6"/>
  <c r="C809" i="6"/>
  <c r="C837" i="6"/>
  <c r="C866" i="6"/>
  <c r="C894" i="6"/>
  <c r="C920" i="6"/>
  <c r="C945" i="6"/>
  <c r="C968" i="6"/>
  <c r="C993" i="6"/>
  <c r="C160" i="6"/>
  <c r="C221" i="6"/>
  <c r="C283" i="6"/>
  <c r="C122" i="6"/>
  <c r="C148" i="6"/>
  <c r="C184" i="6"/>
  <c r="C210" i="6"/>
  <c r="C245" i="6"/>
  <c r="C276" i="6"/>
  <c r="C305" i="6"/>
  <c r="C338" i="6"/>
  <c r="C366" i="6"/>
  <c r="C397" i="6"/>
  <c r="C432" i="6"/>
  <c r="C459" i="6"/>
  <c r="C493" i="6"/>
  <c r="C519" i="6"/>
  <c r="C547" i="6"/>
  <c r="C578" i="6"/>
  <c r="C598" i="6"/>
  <c r="C621" i="6"/>
  <c r="C638" i="6"/>
  <c r="C661" i="6"/>
  <c r="C684" i="6"/>
  <c r="C701" i="6"/>
  <c r="C724" i="6"/>
  <c r="C741" i="6"/>
  <c r="C764" i="6"/>
  <c r="C778" i="6"/>
  <c r="C792" i="6"/>
  <c r="C808" i="6"/>
  <c r="C820" i="6"/>
  <c r="C836" i="6"/>
  <c r="C849" i="6"/>
  <c r="C865" i="6"/>
  <c r="C881" i="6"/>
  <c r="C893" i="6"/>
  <c r="C907" i="6"/>
  <c r="C918" i="6"/>
  <c r="C930" i="6"/>
  <c r="C944" i="6"/>
  <c r="C955" i="6"/>
  <c r="C966" i="6"/>
  <c r="C980" i="6"/>
  <c r="C992" i="6"/>
  <c r="C1003" i="6"/>
  <c r="C123" i="6"/>
  <c r="C185" i="6"/>
  <c r="C246" i="6"/>
  <c r="C306" i="6"/>
  <c r="C374" i="6"/>
  <c r="C434" i="6"/>
  <c r="C496" i="6"/>
  <c r="C551" i="6"/>
  <c r="C600" i="6"/>
  <c r="C645" i="6"/>
  <c r="C685" i="6"/>
  <c r="C725" i="6"/>
  <c r="C765" i="6"/>
  <c r="C793" i="6"/>
  <c r="C821" i="6"/>
  <c r="C853" i="6"/>
  <c r="C882" i="6"/>
  <c r="C908" i="6"/>
  <c r="C931" i="6"/>
  <c r="C956" i="6"/>
  <c r="C981" i="6"/>
  <c r="C1004" i="6"/>
  <c r="C126" i="6"/>
  <c r="C186" i="6"/>
  <c r="C248" i="6"/>
  <c r="C164" i="6"/>
  <c r="C285" i="6"/>
  <c r="C379" i="6"/>
  <c r="C470" i="6"/>
  <c r="C535" i="6"/>
  <c r="C608" i="6"/>
  <c r="C664" i="6"/>
  <c r="C712" i="6"/>
  <c r="C771" i="6"/>
  <c r="C810" i="6"/>
  <c r="C844" i="6"/>
  <c r="C884" i="6"/>
  <c r="C921" i="6"/>
  <c r="C948" i="6"/>
  <c r="C984" i="6"/>
  <c r="C187" i="6"/>
  <c r="C318" i="6"/>
  <c r="C382" i="6"/>
  <c r="C476" i="6"/>
  <c r="C611" i="6"/>
  <c r="C670" i="6"/>
  <c r="C726" i="6"/>
  <c r="C772" i="6"/>
  <c r="C811" i="6"/>
  <c r="C854" i="6"/>
  <c r="C885" i="6"/>
  <c r="C922" i="6"/>
  <c r="C957" i="6"/>
  <c r="C985" i="6"/>
  <c r="C404" i="6"/>
  <c r="C561" i="6"/>
  <c r="C624" i="6"/>
  <c r="C672" i="6"/>
  <c r="C728" i="6"/>
  <c r="C812" i="6"/>
  <c r="C856" i="6"/>
  <c r="C898" i="6"/>
  <c r="C925" i="6"/>
  <c r="C958" i="6"/>
  <c r="C994" i="6"/>
  <c r="C222" i="6"/>
  <c r="C321" i="6"/>
  <c r="C414" i="6"/>
  <c r="C501" i="6"/>
  <c r="C566" i="6"/>
  <c r="C627" i="6"/>
  <c r="C686" i="6"/>
  <c r="C782" i="6"/>
  <c r="C826" i="6"/>
  <c r="C899" i="6"/>
  <c r="C934" i="6"/>
  <c r="C962" i="6"/>
  <c r="C995" i="6"/>
  <c r="C688" i="6"/>
  <c r="C128" i="6"/>
  <c r="C346" i="6"/>
  <c r="C440" i="6"/>
  <c r="C512" i="6"/>
  <c r="C586" i="6"/>
  <c r="C646" i="6"/>
  <c r="C691" i="6"/>
  <c r="C750" i="6"/>
  <c r="C794" i="6"/>
  <c r="C828" i="6"/>
  <c r="C872" i="6"/>
  <c r="C909" i="6"/>
  <c r="C937" i="6"/>
  <c r="C972" i="6"/>
  <c r="C1008" i="6"/>
  <c r="C130" i="6"/>
  <c r="C259" i="6"/>
  <c r="C356" i="6"/>
  <c r="C441" i="6"/>
  <c r="C529" i="6"/>
  <c r="C587" i="6"/>
  <c r="C648" i="6"/>
  <c r="C709" i="6"/>
  <c r="C752" i="6"/>
  <c r="C798" i="6"/>
  <c r="C838" i="6"/>
  <c r="C873" i="6"/>
  <c r="C910" i="6"/>
  <c r="C946" i="6"/>
  <c r="C973" i="6"/>
  <c r="C1009" i="6"/>
  <c r="C163" i="6"/>
  <c r="C284" i="6"/>
  <c r="C378" i="6"/>
  <c r="C442" i="6"/>
  <c r="C534" i="6"/>
  <c r="C606" i="6"/>
  <c r="C651" i="6"/>
  <c r="C710" i="6"/>
  <c r="C766" i="6"/>
  <c r="C800" i="6"/>
  <c r="C840" i="6"/>
  <c r="C883" i="6"/>
  <c r="C912" i="6"/>
  <c r="C947" i="6"/>
  <c r="C982" i="6"/>
  <c r="C1010" i="6"/>
  <c r="C554" i="6"/>
  <c r="C734" i="6"/>
  <c r="C224" i="6"/>
  <c r="C416" i="6"/>
  <c r="C583" i="6"/>
  <c r="C749" i="6"/>
  <c r="C827" i="6"/>
  <c r="C900" i="6"/>
  <c r="C971" i="6"/>
  <c r="C258" i="6"/>
  <c r="C200" i="6"/>
  <c r="C320" i="6"/>
  <c r="C477" i="6"/>
  <c r="C781" i="6"/>
  <c r="C857" i="6"/>
  <c r="C342" i="6"/>
  <c r="C502" i="6"/>
  <c r="C632" i="6"/>
  <c r="C784" i="6"/>
  <c r="C867" i="6"/>
  <c r="C936" i="6"/>
  <c r="C998" i="6"/>
  <c r="B3" i="6"/>
  <c r="B142" i="6" s="1"/>
  <c r="B118" i="6"/>
  <c r="B126" i="6"/>
  <c r="B214" i="6"/>
  <c r="B222" i="6"/>
  <c r="B230" i="6"/>
  <c r="B238" i="6"/>
  <c r="B246" i="6"/>
  <c r="B254" i="6"/>
  <c r="B262" i="6"/>
  <c r="B270" i="6"/>
  <c r="B278" i="6"/>
  <c r="B286" i="6"/>
  <c r="B294" i="6"/>
  <c r="B302" i="6"/>
  <c r="B310" i="6"/>
  <c r="B318" i="6"/>
  <c r="B326" i="6"/>
  <c r="B334" i="6"/>
  <c r="B342" i="6"/>
  <c r="B350" i="6"/>
  <c r="B358" i="6"/>
  <c r="B366" i="6"/>
  <c r="B374" i="6"/>
  <c r="B382" i="6"/>
  <c r="B390" i="6"/>
  <c r="B398" i="6"/>
  <c r="B406" i="6"/>
  <c r="B414" i="6"/>
  <c r="B422" i="6"/>
  <c r="B430" i="6"/>
  <c r="B438" i="6"/>
  <c r="B446" i="6"/>
  <c r="B454" i="6"/>
  <c r="B462" i="6"/>
  <c r="B470" i="6"/>
  <c r="B478" i="6"/>
  <c r="B486" i="6"/>
  <c r="B494" i="6"/>
  <c r="B502" i="6"/>
  <c r="B510" i="6"/>
  <c r="B518" i="6"/>
  <c r="B526" i="6"/>
  <c r="B534" i="6"/>
  <c r="B542" i="6"/>
  <c r="B550" i="6"/>
  <c r="B558" i="6"/>
  <c r="B566" i="6"/>
  <c r="B574" i="6"/>
  <c r="B582" i="6"/>
  <c r="B590" i="6"/>
  <c r="B598" i="6"/>
  <c r="B606" i="6"/>
  <c r="B614" i="6"/>
  <c r="B622" i="6"/>
  <c r="B630" i="6"/>
  <c r="B638" i="6"/>
  <c r="B646" i="6"/>
  <c r="B654" i="6"/>
  <c r="B662" i="6"/>
  <c r="B670" i="6"/>
  <c r="B678" i="6"/>
  <c r="B686" i="6"/>
  <c r="B694" i="6"/>
  <c r="B702" i="6"/>
  <c r="B710" i="6"/>
  <c r="B718" i="6"/>
  <c r="B726" i="6"/>
  <c r="B734" i="6"/>
  <c r="B742" i="6"/>
  <c r="B750" i="6"/>
  <c r="B758" i="6"/>
  <c r="B766" i="6"/>
  <c r="B774" i="6"/>
  <c r="B782" i="6"/>
  <c r="B790" i="6"/>
  <c r="B798" i="6"/>
  <c r="B806" i="6"/>
  <c r="B814" i="6"/>
  <c r="B822" i="6"/>
  <c r="B830" i="6"/>
  <c r="B838" i="6"/>
  <c r="B846" i="6"/>
  <c r="B854" i="6"/>
  <c r="B862" i="6"/>
  <c r="B870" i="6"/>
  <c r="B878" i="6"/>
  <c r="B886" i="6"/>
  <c r="B894" i="6"/>
  <c r="B902" i="6"/>
  <c r="B910" i="6"/>
  <c r="B918" i="6"/>
  <c r="B926" i="6"/>
  <c r="B934" i="6"/>
  <c r="B942" i="6"/>
  <c r="B950" i="6"/>
  <c r="B958" i="6"/>
  <c r="B966" i="6"/>
  <c r="B974" i="6"/>
  <c r="B982" i="6"/>
  <c r="B990" i="6"/>
  <c r="B998" i="6"/>
  <c r="B1006" i="6"/>
  <c r="B215" i="6"/>
  <c r="B223" i="6"/>
  <c r="B231" i="6"/>
  <c r="B239" i="6"/>
  <c r="B247" i="6"/>
  <c r="B255" i="6"/>
  <c r="B263" i="6"/>
  <c r="B271" i="6"/>
  <c r="B279" i="6"/>
  <c r="B287" i="6"/>
  <c r="B295" i="6"/>
  <c r="B303" i="6"/>
  <c r="B311" i="6"/>
  <c r="B319" i="6"/>
  <c r="B327" i="6"/>
  <c r="B335" i="6"/>
  <c r="B343" i="6"/>
  <c r="B351" i="6"/>
  <c r="B359" i="6"/>
  <c r="B367" i="6"/>
  <c r="B375" i="6"/>
  <c r="B383" i="6"/>
  <c r="B391" i="6"/>
  <c r="B399" i="6"/>
  <c r="B407" i="6"/>
  <c r="B415" i="6"/>
  <c r="B423" i="6"/>
  <c r="B431" i="6"/>
  <c r="B439" i="6"/>
  <c r="B447" i="6"/>
  <c r="B455" i="6"/>
  <c r="B463" i="6"/>
  <c r="B471" i="6"/>
  <c r="B479" i="6"/>
  <c r="B487" i="6"/>
  <c r="B495" i="6"/>
  <c r="B503" i="6"/>
  <c r="B511" i="6"/>
  <c r="B519" i="6"/>
  <c r="B527" i="6"/>
  <c r="B535" i="6"/>
  <c r="B543" i="6"/>
  <c r="B551" i="6"/>
  <c r="B559" i="6"/>
  <c r="B567" i="6"/>
  <c r="B575" i="6"/>
  <c r="B583" i="6"/>
  <c r="B591" i="6"/>
  <c r="B599" i="6"/>
  <c r="B607" i="6"/>
  <c r="B615" i="6"/>
  <c r="B623" i="6"/>
  <c r="B631" i="6"/>
  <c r="B639" i="6"/>
  <c r="B647" i="6"/>
  <c r="B655" i="6"/>
  <c r="B663" i="6"/>
  <c r="B671" i="6"/>
  <c r="B679" i="6"/>
  <c r="B687" i="6"/>
  <c r="B695" i="6"/>
  <c r="B703" i="6"/>
  <c r="B711" i="6"/>
  <c r="B719" i="6"/>
  <c r="B727" i="6"/>
  <c r="B735" i="6"/>
  <c r="B743" i="6"/>
  <c r="B751" i="6"/>
  <c r="B759" i="6"/>
  <c r="B767" i="6"/>
  <c r="B775" i="6"/>
  <c r="B783" i="6"/>
  <c r="B791" i="6"/>
  <c r="B799" i="6"/>
  <c r="B807" i="6"/>
  <c r="B815" i="6"/>
  <c r="B823" i="6"/>
  <c r="B831" i="6"/>
  <c r="B839" i="6"/>
  <c r="B847" i="6"/>
  <c r="B855" i="6"/>
  <c r="B863" i="6"/>
  <c r="B871" i="6"/>
  <c r="B879" i="6"/>
  <c r="B887" i="6"/>
  <c r="B895" i="6"/>
  <c r="B903" i="6"/>
  <c r="B911" i="6"/>
  <c r="B919" i="6"/>
  <c r="B927" i="6"/>
  <c r="B935" i="6"/>
  <c r="B943" i="6"/>
  <c r="B951" i="6"/>
  <c r="B959" i="6"/>
  <c r="B967" i="6"/>
  <c r="B975" i="6"/>
  <c r="B983" i="6"/>
  <c r="B991" i="6"/>
  <c r="B999" i="6"/>
  <c r="B1007" i="6"/>
  <c r="B224" i="6"/>
  <c r="B234" i="6"/>
  <c r="B244" i="6"/>
  <c r="B256" i="6"/>
  <c r="B266" i="6"/>
  <c r="B276" i="6"/>
  <c r="B288" i="6"/>
  <c r="B298" i="6"/>
  <c r="B308" i="6"/>
  <c r="B320" i="6"/>
  <c r="B330" i="6"/>
  <c r="B340" i="6"/>
  <c r="B352" i="6"/>
  <c r="B362" i="6"/>
  <c r="B372" i="6"/>
  <c r="B384" i="6"/>
  <c r="B394" i="6"/>
  <c r="B404" i="6"/>
  <c r="B416" i="6"/>
  <c r="B426" i="6"/>
  <c r="B436" i="6"/>
  <c r="B448" i="6"/>
  <c r="B458" i="6"/>
  <c r="B468" i="6"/>
  <c r="B480" i="6"/>
  <c r="B490" i="6"/>
  <c r="B500" i="6"/>
  <c r="B512" i="6"/>
  <c r="B522" i="6"/>
  <c r="B532" i="6"/>
  <c r="B544" i="6"/>
  <c r="B554" i="6"/>
  <c r="B564" i="6"/>
  <c r="B576" i="6"/>
  <c r="B586" i="6"/>
  <c r="B596" i="6"/>
  <c r="B608" i="6"/>
  <c r="B618" i="6"/>
  <c r="B628" i="6"/>
  <c r="B640" i="6"/>
  <c r="B650" i="6"/>
  <c r="B660" i="6"/>
  <c r="B672" i="6"/>
  <c r="B682" i="6"/>
  <c r="B692" i="6"/>
  <c r="B704" i="6"/>
  <c r="B714" i="6"/>
  <c r="B724" i="6"/>
  <c r="B736" i="6"/>
  <c r="B746" i="6"/>
  <c r="B756" i="6"/>
  <c r="B768" i="6"/>
  <c r="B778" i="6"/>
  <c r="B788" i="6"/>
  <c r="B800" i="6"/>
  <c r="B810" i="6"/>
  <c r="B820" i="6"/>
  <c r="B832" i="6"/>
  <c r="B842" i="6"/>
  <c r="B852" i="6"/>
  <c r="B864" i="6"/>
  <c r="B874" i="6"/>
  <c r="B884" i="6"/>
  <c r="B896" i="6"/>
  <c r="B906" i="6"/>
  <c r="B916" i="6"/>
  <c r="B928" i="6"/>
  <c r="B938" i="6"/>
  <c r="B948" i="6"/>
  <c r="B960" i="6"/>
  <c r="B970" i="6"/>
  <c r="B980" i="6"/>
  <c r="B992" i="6"/>
  <c r="B1002" i="6"/>
  <c r="B1012" i="6"/>
  <c r="B221" i="6"/>
  <c r="B235" i="6"/>
  <c r="B248" i="6"/>
  <c r="B259" i="6"/>
  <c r="B272" i="6"/>
  <c r="B283" i="6"/>
  <c r="B296" i="6"/>
  <c r="B307" i="6"/>
  <c r="B321" i="6"/>
  <c r="B332" i="6"/>
  <c r="B345" i="6"/>
  <c r="B356" i="6"/>
  <c r="B369" i="6"/>
  <c r="B380" i="6"/>
  <c r="B393" i="6"/>
  <c r="B405" i="6"/>
  <c r="B418" i="6"/>
  <c r="B429" i="6"/>
  <c r="B442" i="6"/>
  <c r="B453" i="6"/>
  <c r="B466" i="6"/>
  <c r="B477" i="6"/>
  <c r="B491" i="6"/>
  <c r="B504" i="6"/>
  <c r="B515" i="6"/>
  <c r="B528" i="6"/>
  <c r="B539" i="6"/>
  <c r="B552" i="6"/>
  <c r="B563" i="6"/>
  <c r="B577" i="6"/>
  <c r="B588" i="6"/>
  <c r="B601" i="6"/>
  <c r="B612" i="6"/>
  <c r="B625" i="6"/>
  <c r="B636" i="6"/>
  <c r="B649" i="6"/>
  <c r="B661" i="6"/>
  <c r="B674" i="6"/>
  <c r="B685" i="6"/>
  <c r="B698" i="6"/>
  <c r="B709" i="6"/>
  <c r="B722" i="6"/>
  <c r="B733" i="6"/>
  <c r="B747" i="6"/>
  <c r="B760" i="6"/>
  <c r="B771" i="6"/>
  <c r="B784" i="6"/>
  <c r="B795" i="6"/>
  <c r="B808" i="6"/>
  <c r="B819" i="6"/>
  <c r="B833" i="6"/>
  <c r="B844" i="6"/>
  <c r="B857" i="6"/>
  <c r="B868" i="6"/>
  <c r="B881" i="6"/>
  <c r="B892" i="6"/>
  <c r="B905" i="6"/>
  <c r="B917" i="6"/>
  <c r="B930" i="6"/>
  <c r="B941" i="6"/>
  <c r="B954" i="6"/>
  <c r="B965" i="6"/>
  <c r="B978" i="6"/>
  <c r="B989" i="6"/>
  <c r="B1003" i="6"/>
  <c r="B225" i="6"/>
  <c r="B236" i="6"/>
  <c r="B249" i="6"/>
  <c r="B260" i="6"/>
  <c r="B273" i="6"/>
  <c r="B284" i="6"/>
  <c r="B297" i="6"/>
  <c r="B309" i="6"/>
  <c r="B322" i="6"/>
  <c r="B333" i="6"/>
  <c r="B346" i="6"/>
  <c r="B357" i="6"/>
  <c r="B370" i="6"/>
  <c r="B381" i="6"/>
  <c r="B395" i="6"/>
  <c r="B408" i="6"/>
  <c r="B419" i="6"/>
  <c r="B432" i="6"/>
  <c r="B443" i="6"/>
  <c r="B456" i="6"/>
  <c r="B467" i="6"/>
  <c r="B481" i="6"/>
  <c r="B492" i="6"/>
  <c r="B505" i="6"/>
  <c r="B516" i="6"/>
  <c r="B529" i="6"/>
  <c r="B540" i="6"/>
  <c r="B553" i="6"/>
  <c r="B565" i="6"/>
  <c r="B578" i="6"/>
  <c r="B589" i="6"/>
  <c r="B602" i="6"/>
  <c r="B613" i="6"/>
  <c r="B626" i="6"/>
  <c r="B637" i="6"/>
  <c r="B651" i="6"/>
  <c r="B664" i="6"/>
  <c r="B675" i="6"/>
  <c r="B688" i="6"/>
  <c r="B699" i="6"/>
  <c r="B712" i="6"/>
  <c r="B723" i="6"/>
  <c r="B737" i="6"/>
  <c r="B748" i="6"/>
  <c r="B761" i="6"/>
  <c r="B772" i="6"/>
  <c r="B785" i="6"/>
  <c r="B796" i="6"/>
  <c r="B809" i="6"/>
  <c r="B821" i="6"/>
  <c r="B834" i="6"/>
  <c r="B845" i="6"/>
  <c r="B858" i="6"/>
  <c r="B869" i="6"/>
  <c r="B882" i="6"/>
  <c r="B893" i="6"/>
  <c r="B907" i="6"/>
  <c r="B920" i="6"/>
  <c r="B931" i="6"/>
  <c r="B944" i="6"/>
  <c r="B955" i="6"/>
  <c r="B968" i="6"/>
  <c r="B979" i="6"/>
  <c r="B993" i="6"/>
  <c r="B1004" i="6"/>
  <c r="B115" i="6"/>
  <c r="B213" i="6"/>
  <c r="B226" i="6"/>
  <c r="B237" i="6"/>
  <c r="B250" i="6"/>
  <c r="B261" i="6"/>
  <c r="B274" i="6"/>
  <c r="B285" i="6"/>
  <c r="B299" i="6"/>
  <c r="B312" i="6"/>
  <c r="B323" i="6"/>
  <c r="B336" i="6"/>
  <c r="B347" i="6"/>
  <c r="B360" i="6"/>
  <c r="B371" i="6"/>
  <c r="B385" i="6"/>
  <c r="B396" i="6"/>
  <c r="B409" i="6"/>
  <c r="B420" i="6"/>
  <c r="B433" i="6"/>
  <c r="B444" i="6"/>
  <c r="B457" i="6"/>
  <c r="B469" i="6"/>
  <c r="B482" i="6"/>
  <c r="B493" i="6"/>
  <c r="B506" i="6"/>
  <c r="B517" i="6"/>
  <c r="B530" i="6"/>
  <c r="B541" i="6"/>
  <c r="B555" i="6"/>
  <c r="B568" i="6"/>
  <c r="B579" i="6"/>
  <c r="B592" i="6"/>
  <c r="B603" i="6"/>
  <c r="B616" i="6"/>
  <c r="B627" i="6"/>
  <c r="B641" i="6"/>
  <c r="B652" i="6"/>
  <c r="B665" i="6"/>
  <c r="B676" i="6"/>
  <c r="B689" i="6"/>
  <c r="B700" i="6"/>
  <c r="B713" i="6"/>
  <c r="B725" i="6"/>
  <c r="B738" i="6"/>
  <c r="B749" i="6"/>
  <c r="B762" i="6"/>
  <c r="B773" i="6"/>
  <c r="B786" i="6"/>
  <c r="B797" i="6"/>
  <c r="B811" i="6"/>
  <c r="B824" i="6"/>
  <c r="B835" i="6"/>
  <c r="B848" i="6"/>
  <c r="B859" i="6"/>
  <c r="B872" i="6"/>
  <c r="B883" i="6"/>
  <c r="B897" i="6"/>
  <c r="B908" i="6"/>
  <c r="B921" i="6"/>
  <c r="B932" i="6"/>
  <c r="B945" i="6"/>
  <c r="B956" i="6"/>
  <c r="B969" i="6"/>
  <c r="B981" i="6"/>
  <c r="B994" i="6"/>
  <c r="B1005" i="6"/>
  <c r="B229" i="6"/>
  <c r="B251" i="6"/>
  <c r="B268" i="6"/>
  <c r="B290" i="6"/>
  <c r="B306" i="6"/>
  <c r="B328" i="6"/>
  <c r="B348" i="6"/>
  <c r="B365" i="6"/>
  <c r="B387" i="6"/>
  <c r="B403" i="6"/>
  <c r="B425" i="6"/>
  <c r="B445" i="6"/>
  <c r="B464" i="6"/>
  <c r="B484" i="6"/>
  <c r="B501" i="6"/>
  <c r="B523" i="6"/>
  <c r="B545" i="6"/>
  <c r="B561" i="6"/>
  <c r="B581" i="6"/>
  <c r="B600" i="6"/>
  <c r="B620" i="6"/>
  <c r="B642" i="6"/>
  <c r="B658" i="6"/>
  <c r="B680" i="6"/>
  <c r="B697" i="6"/>
  <c r="B717" i="6"/>
  <c r="B739" i="6"/>
  <c r="B755" i="6"/>
  <c r="B777" i="6"/>
  <c r="B794" i="6"/>
  <c r="B816" i="6"/>
  <c r="B836" i="6"/>
  <c r="B853" i="6"/>
  <c r="B875" i="6"/>
  <c r="B891" i="6"/>
  <c r="B913" i="6"/>
  <c r="B933" i="6"/>
  <c r="B952" i="6"/>
  <c r="B972" i="6"/>
  <c r="B988" i="6"/>
  <c r="B1010" i="6"/>
  <c r="B546" i="6"/>
  <c r="B690" i="6"/>
  <c r="B216" i="6"/>
  <c r="B232" i="6"/>
  <c r="B252" i="6"/>
  <c r="B269" i="6"/>
  <c r="B291" i="6"/>
  <c r="B313" i="6"/>
  <c r="B329" i="6"/>
  <c r="B349" i="6"/>
  <c r="B368" i="6"/>
  <c r="B388" i="6"/>
  <c r="B410" i="6"/>
  <c r="B427" i="6"/>
  <c r="B449" i="6"/>
  <c r="B465" i="6"/>
  <c r="B485" i="6"/>
  <c r="B507" i="6"/>
  <c r="B524" i="6"/>
  <c r="B562" i="6"/>
  <c r="B584" i="6"/>
  <c r="B604" i="6"/>
  <c r="B621" i="6"/>
  <c r="B643" i="6"/>
  <c r="B659" i="6"/>
  <c r="B681" i="6"/>
  <c r="B701" i="6"/>
  <c r="B720" i="6"/>
  <c r="B740" i="6"/>
  <c r="B757" i="6"/>
  <c r="B779" i="6"/>
  <c r="B801" i="6"/>
  <c r="B817" i="6"/>
  <c r="B837" i="6"/>
  <c r="B856" i="6"/>
  <c r="B876" i="6"/>
  <c r="B898" i="6"/>
  <c r="B914" i="6"/>
  <c r="B936" i="6"/>
  <c r="B953" i="6"/>
  <c r="B973" i="6"/>
  <c r="B995" i="6"/>
  <c r="B1011" i="6"/>
  <c r="B217" i="6"/>
  <c r="B233" i="6"/>
  <c r="B253" i="6"/>
  <c r="B275" i="6"/>
  <c r="B292" i="6"/>
  <c r="B314" i="6"/>
  <c r="B331" i="6"/>
  <c r="B353" i="6"/>
  <c r="B373" i="6"/>
  <c r="B389" i="6"/>
  <c r="B411" i="6"/>
  <c r="B428" i="6"/>
  <c r="B450" i="6"/>
  <c r="B472" i="6"/>
  <c r="B488" i="6"/>
  <c r="B508" i="6"/>
  <c r="B525" i="6"/>
  <c r="B547" i="6"/>
  <c r="B569" i="6"/>
  <c r="B585" i="6"/>
  <c r="B605" i="6"/>
  <c r="B624" i="6"/>
  <c r="B644" i="6"/>
  <c r="B666" i="6"/>
  <c r="B683" i="6"/>
  <c r="B705" i="6"/>
  <c r="B721" i="6"/>
  <c r="B741" i="6"/>
  <c r="B763" i="6"/>
  <c r="B780" i="6"/>
  <c r="B802" i="6"/>
  <c r="B818" i="6"/>
  <c r="B840" i="6"/>
  <c r="B860" i="6"/>
  <c r="B877" i="6"/>
  <c r="B899" i="6"/>
  <c r="B915" i="6"/>
  <c r="B937" i="6"/>
  <c r="B957" i="6"/>
  <c r="B976" i="6"/>
  <c r="B996" i="6"/>
  <c r="B121" i="6"/>
  <c r="B141" i="6"/>
  <c r="B218" i="6"/>
  <c r="B240" i="6"/>
  <c r="B257" i="6"/>
  <c r="B277" i="6"/>
  <c r="B293" i="6"/>
  <c r="B315" i="6"/>
  <c r="B337" i="6"/>
  <c r="B354" i="6"/>
  <c r="B376" i="6"/>
  <c r="B392" i="6"/>
  <c r="B412" i="6"/>
  <c r="B434" i="6"/>
  <c r="B451" i="6"/>
  <c r="B473" i="6"/>
  <c r="B489" i="6"/>
  <c r="B509" i="6"/>
  <c r="B531" i="6"/>
  <c r="B548" i="6"/>
  <c r="B570" i="6"/>
  <c r="B587" i="6"/>
  <c r="B609" i="6"/>
  <c r="B629" i="6"/>
  <c r="B645" i="6"/>
  <c r="B667" i="6"/>
  <c r="B684" i="6"/>
  <c r="B706" i="6"/>
  <c r="B728" i="6"/>
  <c r="B744" i="6"/>
  <c r="B764" i="6"/>
  <c r="B781" i="6"/>
  <c r="B803" i="6"/>
  <c r="B825" i="6"/>
  <c r="B841" i="6"/>
  <c r="B861" i="6"/>
  <c r="B880" i="6"/>
  <c r="B900" i="6"/>
  <c r="B922" i="6"/>
  <c r="B939" i="6"/>
  <c r="B961" i="6"/>
  <c r="B977" i="6"/>
  <c r="B997" i="6"/>
  <c r="B219" i="6"/>
  <c r="B241" i="6"/>
  <c r="B258" i="6"/>
  <c r="B280" i="6"/>
  <c r="B300" i="6"/>
  <c r="B316" i="6"/>
  <c r="B338" i="6"/>
  <c r="B355" i="6"/>
  <c r="B377" i="6"/>
  <c r="B397" i="6"/>
  <c r="B413" i="6"/>
  <c r="B435" i="6"/>
  <c r="B452" i="6"/>
  <c r="B474" i="6"/>
  <c r="B496" i="6"/>
  <c r="B513" i="6"/>
  <c r="B533" i="6"/>
  <c r="B549" i="6"/>
  <c r="B571" i="6"/>
  <c r="B593" i="6"/>
  <c r="B610" i="6"/>
  <c r="B632" i="6"/>
  <c r="B648" i="6"/>
  <c r="B668" i="6"/>
  <c r="B707" i="6"/>
  <c r="B729" i="6"/>
  <c r="B745" i="6"/>
  <c r="B765" i="6"/>
  <c r="B787" i="6"/>
  <c r="B804" i="6"/>
  <c r="B826" i="6"/>
  <c r="B843" i="6"/>
  <c r="B865" i="6"/>
  <c r="B885" i="6"/>
  <c r="B901" i="6"/>
  <c r="B923" i="6"/>
  <c r="B940" i="6"/>
  <c r="B962" i="6"/>
  <c r="B984" i="6"/>
  <c r="B1000" i="6"/>
  <c r="B220" i="6"/>
  <c r="B242" i="6"/>
  <c r="B264" i="6"/>
  <c r="B281" i="6"/>
  <c r="B301" i="6"/>
  <c r="B317" i="6"/>
  <c r="B339" i="6"/>
  <c r="B361" i="6"/>
  <c r="B378" i="6"/>
  <c r="B400" i="6"/>
  <c r="B417" i="6"/>
  <c r="B437" i="6"/>
  <c r="B459" i="6"/>
  <c r="B475" i="6"/>
  <c r="B497" i="6"/>
  <c r="B514" i="6"/>
  <c r="B536" i="6"/>
  <c r="B556" i="6"/>
  <c r="B572" i="6"/>
  <c r="B594" i="6"/>
  <c r="B611" i="6"/>
  <c r="B633" i="6"/>
  <c r="B653" i="6"/>
  <c r="B669" i="6"/>
  <c r="B691" i="6"/>
  <c r="B708" i="6"/>
  <c r="B730" i="6"/>
  <c r="B752" i="6"/>
  <c r="B769" i="6"/>
  <c r="B789" i="6"/>
  <c r="B805" i="6"/>
  <c r="B827" i="6"/>
  <c r="B849" i="6"/>
  <c r="B866" i="6"/>
  <c r="B888" i="6"/>
  <c r="B904" i="6"/>
  <c r="B924" i="6"/>
  <c r="B946" i="6"/>
  <c r="B963" i="6"/>
  <c r="B985" i="6"/>
  <c r="B1001" i="6"/>
  <c r="B267" i="6"/>
  <c r="B344" i="6"/>
  <c r="B424" i="6"/>
  <c r="B499" i="6"/>
  <c r="B580" i="6"/>
  <c r="B657" i="6"/>
  <c r="B732" i="6"/>
  <c r="B813" i="6"/>
  <c r="B890" i="6"/>
  <c r="B971" i="6"/>
  <c r="B421" i="6"/>
  <c r="B282" i="6"/>
  <c r="B363" i="6"/>
  <c r="B440" i="6"/>
  <c r="B520" i="6"/>
  <c r="B595" i="6"/>
  <c r="B673" i="6"/>
  <c r="B753" i="6"/>
  <c r="B828" i="6"/>
  <c r="B909" i="6"/>
  <c r="B986" i="6"/>
  <c r="B289" i="6"/>
  <c r="B364" i="6"/>
  <c r="B441" i="6"/>
  <c r="B521" i="6"/>
  <c r="B597" i="6"/>
  <c r="B677" i="6"/>
  <c r="B754" i="6"/>
  <c r="B829" i="6"/>
  <c r="B912" i="6"/>
  <c r="B987" i="6"/>
  <c r="B227" i="6"/>
  <c r="B304" i="6"/>
  <c r="B379" i="6"/>
  <c r="B460" i="6"/>
  <c r="B537" i="6"/>
  <c r="B617" i="6"/>
  <c r="B693" i="6"/>
  <c r="B770" i="6"/>
  <c r="B850" i="6"/>
  <c r="B925" i="6"/>
  <c r="B1008" i="6"/>
  <c r="B228" i="6"/>
  <c r="B305" i="6"/>
  <c r="B386" i="6"/>
  <c r="B461" i="6"/>
  <c r="B538" i="6"/>
  <c r="B619" i="6"/>
  <c r="B696" i="6"/>
  <c r="B776" i="6"/>
  <c r="B851" i="6"/>
  <c r="B929" i="6"/>
  <c r="B1009" i="6"/>
  <c r="B243" i="6"/>
  <c r="B324" i="6"/>
  <c r="B401" i="6"/>
  <c r="B476" i="6"/>
  <c r="B557" i="6"/>
  <c r="B634" i="6"/>
  <c r="B715" i="6"/>
  <c r="B792" i="6"/>
  <c r="B867" i="6"/>
  <c r="B947" i="6"/>
  <c r="B245" i="6"/>
  <c r="B325" i="6"/>
  <c r="B402" i="6"/>
  <c r="B483" i="6"/>
  <c r="B560" i="6"/>
  <c r="B635" i="6"/>
  <c r="B716" i="6"/>
  <c r="B793" i="6"/>
  <c r="B873" i="6"/>
  <c r="B949" i="6"/>
  <c r="B265" i="6"/>
  <c r="B341" i="6"/>
  <c r="B498" i="6"/>
  <c r="B573" i="6"/>
  <c r="B656" i="6"/>
  <c r="B731" i="6"/>
  <c r="B812" i="6"/>
  <c r="B889" i="6"/>
  <c r="B964" i="6"/>
  <c r="L5" i="6"/>
  <c r="L6" i="6"/>
  <c r="B199" i="6" l="1"/>
  <c r="B149" i="6"/>
  <c r="B211" i="6"/>
  <c r="B202" i="6"/>
  <c r="B191" i="6"/>
  <c r="B192" i="6"/>
  <c r="B131" i="6"/>
  <c r="B203" i="6"/>
  <c r="B173" i="6"/>
  <c r="B138" i="6"/>
  <c r="B208" i="6"/>
  <c r="B123" i="6"/>
  <c r="B185" i="6"/>
  <c r="B147" i="6"/>
  <c r="B209" i="6"/>
  <c r="B162" i="6"/>
  <c r="B181" i="6"/>
  <c r="B136" i="6"/>
  <c r="B152" i="6"/>
  <c r="B137" i="6"/>
  <c r="B128" i="6"/>
  <c r="B183" i="6"/>
  <c r="B169" i="6"/>
  <c r="B161" i="6"/>
  <c r="B120" i="6"/>
  <c r="B139" i="6"/>
  <c r="B116" i="6"/>
  <c r="B175" i="6"/>
  <c r="B198" i="6"/>
  <c r="B201" i="6"/>
  <c r="B125" i="6"/>
  <c r="B135" i="6"/>
  <c r="B190" i="6"/>
  <c r="B179" i="6"/>
  <c r="B194" i="6"/>
  <c r="B188" i="6"/>
  <c r="B114" i="6"/>
  <c r="B127" i="6"/>
  <c r="B182" i="6"/>
  <c r="B189" i="6"/>
  <c r="B157" i="6"/>
  <c r="B129" i="6"/>
  <c r="B212" i="6"/>
  <c r="B119" i="6"/>
  <c r="B134" i="6"/>
  <c r="B174" i="6"/>
  <c r="B177" i="6"/>
  <c r="B200" i="6"/>
  <c r="B124" i="6"/>
  <c r="B184" i="6"/>
  <c r="B195" i="6"/>
  <c r="B155" i="6"/>
  <c r="B171" i="6"/>
  <c r="B210" i="6"/>
  <c r="B170" i="6"/>
  <c r="B130" i="6"/>
  <c r="B178" i="6"/>
  <c r="B133" i="6"/>
  <c r="B154" i="6"/>
  <c r="B153" i="6"/>
  <c r="B176" i="6"/>
  <c r="B197" i="6"/>
  <c r="B160" i="6"/>
  <c r="B151" i="6"/>
  <c r="B150" i="6"/>
  <c r="B204" i="6"/>
  <c r="B144" i="6"/>
  <c r="B172" i="6"/>
  <c r="B193" i="6"/>
  <c r="B180" i="6"/>
  <c r="B167" i="6"/>
  <c r="B166" i="6"/>
  <c r="B205" i="6"/>
  <c r="B122" i="6"/>
  <c r="B164" i="6"/>
  <c r="B187" i="6"/>
  <c r="B113" i="6"/>
  <c r="B159" i="6"/>
  <c r="B158" i="6"/>
  <c r="B168" i="6"/>
  <c r="B146" i="6"/>
  <c r="B165" i="6"/>
  <c r="B145" i="6"/>
  <c r="B196" i="6"/>
  <c r="B156" i="6"/>
  <c r="B117" i="6"/>
  <c r="B132" i="6"/>
  <c r="B140" i="6"/>
  <c r="B163" i="6"/>
  <c r="B186" i="6"/>
  <c r="B148" i="6"/>
  <c r="B207" i="6"/>
  <c r="B143" i="6"/>
  <c r="B206" i="6"/>
  <c r="H4" i="6"/>
  <c r="H3" i="6"/>
  <c r="S617" i="6" s="1"/>
  <c r="W617" i="6" s="1"/>
  <c r="H2" i="6"/>
  <c r="T557" i="6" s="1"/>
  <c r="V557" i="6" s="1"/>
  <c r="T241" i="6" l="1"/>
  <c r="V241" i="6" s="1"/>
  <c r="O857" i="6"/>
  <c r="T151" i="6"/>
  <c r="V151" i="6" s="1"/>
  <c r="O705" i="6"/>
  <c r="T890" i="6"/>
  <c r="V890" i="6" s="1"/>
  <c r="T815" i="6"/>
  <c r="V815" i="6" s="1"/>
  <c r="T439" i="6"/>
  <c r="V439" i="6" s="1"/>
  <c r="O181" i="6"/>
  <c r="T365" i="6"/>
  <c r="V365" i="6" s="1"/>
  <c r="T779" i="6"/>
  <c r="V779" i="6" s="1"/>
  <c r="T267" i="6"/>
  <c r="V267" i="6" s="1"/>
  <c r="T170" i="6"/>
  <c r="V170" i="6" s="1"/>
  <c r="T131" i="6"/>
  <c r="V131" i="6" s="1"/>
  <c r="S316" i="6"/>
  <c r="W316" i="6" s="1"/>
  <c r="T848" i="6"/>
  <c r="V848" i="6" s="1"/>
  <c r="T782" i="6"/>
  <c r="V782" i="6" s="1"/>
  <c r="T899" i="6"/>
  <c r="V899" i="6" s="1"/>
  <c r="T512" i="6"/>
  <c r="V512" i="6" s="1"/>
  <c r="T437" i="6"/>
  <c r="V437" i="6" s="1"/>
  <c r="T524" i="6"/>
  <c r="V524" i="6" s="1"/>
  <c r="T736" i="6"/>
  <c r="V736" i="6" s="1"/>
  <c r="T523" i="6"/>
  <c r="V523" i="6" s="1"/>
  <c r="T398" i="6"/>
  <c r="V398" i="6" s="1"/>
  <c r="S204" i="6"/>
  <c r="W204" i="6" s="1"/>
  <c r="T462" i="6"/>
  <c r="V462" i="6" s="1"/>
  <c r="O822" i="6"/>
  <c r="T656" i="6"/>
  <c r="V656" i="6" s="1"/>
  <c r="T773" i="6"/>
  <c r="V773" i="6" s="1"/>
  <c r="T526" i="6"/>
  <c r="V526" i="6" s="1"/>
  <c r="O720" i="6"/>
  <c r="T424" i="6"/>
  <c r="V424" i="6" s="1"/>
  <c r="T345" i="6"/>
  <c r="V345" i="6" s="1"/>
  <c r="T431" i="6"/>
  <c r="V431" i="6" s="1"/>
  <c r="T751" i="6"/>
  <c r="V751" i="6" s="1"/>
  <c r="T478" i="6"/>
  <c r="V478" i="6" s="1"/>
  <c r="T928" i="6"/>
  <c r="V928" i="6" s="1"/>
  <c r="O933" i="6"/>
  <c r="T964" i="6"/>
  <c r="V964" i="6" s="1"/>
  <c r="T487" i="6"/>
  <c r="V487" i="6" s="1"/>
  <c r="T503" i="6"/>
  <c r="V503" i="6" s="1"/>
  <c r="T490" i="6"/>
  <c r="V490" i="6" s="1"/>
  <c r="T752" i="6"/>
  <c r="V752" i="6" s="1"/>
  <c r="O745" i="6"/>
  <c r="T563" i="6"/>
  <c r="V563" i="6" s="1"/>
  <c r="T481" i="6"/>
  <c r="V481" i="6" s="1"/>
  <c r="T679" i="6"/>
  <c r="V679" i="6" s="1"/>
  <c r="T392" i="6"/>
  <c r="V392" i="6" s="1"/>
  <c r="T746" i="6"/>
  <c r="V746" i="6" s="1"/>
  <c r="T629" i="6"/>
  <c r="V629" i="6" s="1"/>
  <c r="S830" i="6"/>
  <c r="W830" i="6" s="1"/>
  <c r="T857" i="6"/>
  <c r="V857" i="6" s="1"/>
  <c r="T231" i="6"/>
  <c r="V231" i="6" s="1"/>
  <c r="T493" i="6"/>
  <c r="V493" i="6" s="1"/>
  <c r="T348" i="6"/>
  <c r="V348" i="6" s="1"/>
  <c r="T832" i="6"/>
  <c r="V832" i="6" s="1"/>
  <c r="T216" i="6"/>
  <c r="V216" i="6" s="1"/>
  <c r="S304" i="6"/>
  <c r="W304" i="6" s="1"/>
  <c r="T977" i="6"/>
  <c r="V977" i="6" s="1"/>
  <c r="T359" i="6"/>
  <c r="V359" i="6" s="1"/>
  <c r="T229" i="6"/>
  <c r="V229" i="6" s="1"/>
  <c r="O611" i="6"/>
  <c r="S402" i="6"/>
  <c r="W402" i="6" s="1"/>
  <c r="O396" i="6"/>
  <c r="S247" i="6"/>
  <c r="W247" i="6" s="1"/>
  <c r="O830" i="6"/>
  <c r="O642" i="6"/>
  <c r="O209" i="6"/>
  <c r="O913" i="6"/>
  <c r="O290" i="6"/>
  <c r="S986" i="6"/>
  <c r="W986" i="6" s="1"/>
  <c r="O157" i="6"/>
  <c r="S744" i="6"/>
  <c r="W744" i="6" s="1"/>
  <c r="S235" i="6"/>
  <c r="W235" i="6" s="1"/>
  <c r="O243" i="6"/>
  <c r="O220" i="6"/>
  <c r="S157" i="6"/>
  <c r="W157" i="6" s="1"/>
  <c r="O233" i="6"/>
  <c r="O235" i="6"/>
  <c r="O374" i="6"/>
  <c r="S695" i="6"/>
  <c r="W695" i="6" s="1"/>
  <c r="S370" i="6"/>
  <c r="W370" i="6" s="1"/>
  <c r="O161" i="6"/>
  <c r="S793" i="6"/>
  <c r="W793" i="6" s="1"/>
  <c r="S404" i="6"/>
  <c r="W404" i="6" s="1"/>
  <c r="O703" i="6"/>
  <c r="S904" i="6"/>
  <c r="W904" i="6" s="1"/>
  <c r="S532" i="6"/>
  <c r="W532" i="6" s="1"/>
  <c r="O961" i="6"/>
  <c r="O922" i="6"/>
  <c r="O929" i="6"/>
  <c r="S854" i="6"/>
  <c r="W854" i="6" s="1"/>
  <c r="O957" i="6"/>
  <c r="S415" i="6"/>
  <c r="W415" i="6" s="1"/>
  <c r="S425" i="6"/>
  <c r="W425" i="6" s="1"/>
  <c r="O477" i="6"/>
  <c r="S470" i="6"/>
  <c r="W470" i="6" s="1"/>
  <c r="O711" i="6"/>
  <c r="O345" i="6"/>
  <c r="S983" i="6"/>
  <c r="W983" i="6" s="1"/>
  <c r="O935" i="6"/>
  <c r="O840" i="6"/>
  <c r="S720" i="6"/>
  <c r="W720" i="6" s="1"/>
  <c r="S745" i="6"/>
  <c r="W745" i="6" s="1"/>
  <c r="O450" i="6"/>
  <c r="O393" i="6"/>
  <c r="S941" i="6"/>
  <c r="W941" i="6" s="1"/>
  <c r="O311" i="6"/>
  <c r="S804" i="6"/>
  <c r="W804" i="6" s="1"/>
  <c r="S894" i="6"/>
  <c r="W894" i="6" s="1"/>
  <c r="O911" i="6"/>
  <c r="O125" i="6"/>
  <c r="S526" i="6"/>
  <c r="W526" i="6" s="1"/>
  <c r="O804" i="6"/>
  <c r="S383" i="6"/>
  <c r="W383" i="6" s="1"/>
  <c r="O154" i="6"/>
  <c r="S606" i="6"/>
  <c r="W606" i="6" s="1"/>
  <c r="O342" i="6"/>
  <c r="O630" i="6"/>
  <c r="O695" i="6"/>
  <c r="S421" i="6"/>
  <c r="W421" i="6" s="1"/>
  <c r="O313" i="6"/>
  <c r="O418" i="6"/>
  <c r="S835" i="6"/>
  <c r="W835" i="6" s="1"/>
  <c r="S767" i="6"/>
  <c r="W767" i="6" s="1"/>
  <c r="O177" i="6"/>
  <c r="O349" i="6"/>
  <c r="S961" i="6"/>
  <c r="W961" i="6" s="1"/>
  <c r="S922" i="6"/>
  <c r="W922" i="6" s="1"/>
  <c r="S405" i="6"/>
  <c r="W405" i="6" s="1"/>
  <c r="O982" i="6"/>
  <c r="S957" i="6"/>
  <c r="W957" i="6" s="1"/>
  <c r="O543" i="6"/>
  <c r="O811" i="6"/>
  <c r="O426" i="6"/>
  <c r="S665" i="6"/>
  <c r="W665" i="6" s="1"/>
  <c r="S967" i="6"/>
  <c r="W967" i="6" s="1"/>
  <c r="O893" i="6"/>
  <c r="S296" i="6"/>
  <c r="W296" i="6" s="1"/>
  <c r="O816" i="6"/>
  <c r="O204" i="6"/>
  <c r="O744" i="6"/>
  <c r="O341" i="6"/>
  <c r="O354" i="6"/>
  <c r="S395" i="6"/>
  <c r="W395" i="6" s="1"/>
  <c r="O339" i="6"/>
  <c r="O706" i="6"/>
  <c r="S411" i="6"/>
  <c r="W411" i="6" s="1"/>
  <c r="S567" i="6"/>
  <c r="W567" i="6" s="1"/>
  <c r="S588" i="6"/>
  <c r="W588" i="6" s="1"/>
  <c r="S525" i="6"/>
  <c r="W525" i="6" s="1"/>
  <c r="S706" i="6"/>
  <c r="W706" i="6" s="1"/>
  <c r="O263" i="6"/>
  <c r="S694" i="6"/>
  <c r="W694" i="6" s="1"/>
  <c r="S759" i="6"/>
  <c r="W759" i="6" s="1"/>
  <c r="S507" i="6"/>
  <c r="W507" i="6" s="1"/>
  <c r="S297" i="6"/>
  <c r="W297" i="6" s="1"/>
  <c r="O451" i="6"/>
  <c r="O382" i="6"/>
  <c r="S895" i="6"/>
  <c r="W895" i="6" s="1"/>
  <c r="O689" i="6"/>
  <c r="O723" i="6"/>
  <c r="S332" i="6"/>
  <c r="W332" i="6" s="1"/>
  <c r="O1008" i="6"/>
  <c r="O627" i="6"/>
  <c r="O919" i="6"/>
  <c r="S460" i="6"/>
  <c r="W460" i="6" s="1"/>
  <c r="O858" i="6"/>
  <c r="S294" i="6"/>
  <c r="W294" i="6" s="1"/>
  <c r="O794" i="6"/>
  <c r="O871" i="6"/>
  <c r="S529" i="6"/>
  <c r="W529" i="6" s="1"/>
  <c r="S893" i="6"/>
  <c r="W893" i="6" s="1"/>
  <c r="O441" i="6"/>
  <c r="O553" i="6"/>
  <c r="O628" i="6"/>
  <c r="S691" i="6"/>
  <c r="W691" i="6" s="1"/>
  <c r="O828" i="6"/>
  <c r="O116" i="6"/>
  <c r="O501" i="6"/>
  <c r="O845" i="6"/>
  <c r="S180" i="6"/>
  <c r="W180" i="6" s="1"/>
  <c r="O573" i="6"/>
  <c r="O414" i="6"/>
  <c r="O781" i="6"/>
  <c r="S310" i="6"/>
  <c r="W310" i="6" s="1"/>
  <c r="O793" i="6"/>
  <c r="O532" i="6"/>
  <c r="O317" i="6"/>
  <c r="S125" i="6"/>
  <c r="W125" i="6" s="1"/>
  <c r="O590" i="6"/>
  <c r="S822" i="6"/>
  <c r="W822" i="6" s="1"/>
  <c r="S122" i="6"/>
  <c r="W122" i="6" s="1"/>
  <c r="O593" i="6"/>
  <c r="S429" i="6"/>
  <c r="W429" i="6" s="1"/>
  <c r="O523" i="6"/>
  <c r="O510" i="6"/>
  <c r="O895" i="6"/>
  <c r="O773" i="6"/>
  <c r="S723" i="6"/>
  <c r="W723" i="6" s="1"/>
  <c r="O546" i="6"/>
  <c r="O539" i="6"/>
  <c r="S627" i="6"/>
  <c r="W627" i="6" s="1"/>
  <c r="S919" i="6"/>
  <c r="W919" i="6" s="1"/>
  <c r="O170" i="6"/>
  <c r="O136" i="6"/>
  <c r="O358" i="6"/>
  <c r="O880" i="6"/>
  <c r="S840" i="6"/>
  <c r="W840" i="6" s="1"/>
  <c r="S338" i="6"/>
  <c r="W338" i="6" s="1"/>
  <c r="O818" i="6"/>
  <c r="T465" i="6"/>
  <c r="V465" i="6" s="1"/>
  <c r="T442" i="6"/>
  <c r="V442" i="6" s="1"/>
  <c r="T958" i="6"/>
  <c r="V958" i="6" s="1"/>
  <c r="T149" i="6"/>
  <c r="V149" i="6" s="1"/>
  <c r="T479" i="6"/>
  <c r="V479" i="6" s="1"/>
  <c r="T729" i="6"/>
  <c r="V729" i="6" s="1"/>
  <c r="T456" i="6"/>
  <c r="V456" i="6" s="1"/>
  <c r="T1006" i="6"/>
  <c r="V1006" i="6" s="1"/>
  <c r="T128" i="6"/>
  <c r="V128" i="6" s="1"/>
  <c r="T664" i="6"/>
  <c r="V664" i="6" s="1"/>
  <c r="T516" i="6"/>
  <c r="V516" i="6" s="1"/>
  <c r="T838" i="6"/>
  <c r="V838" i="6" s="1"/>
  <c r="T863" i="6"/>
  <c r="V863" i="6" s="1"/>
  <c r="T851" i="6"/>
  <c r="V851" i="6" s="1"/>
  <c r="T987" i="6"/>
  <c r="V987" i="6" s="1"/>
  <c r="T956" i="6"/>
  <c r="V956" i="6" s="1"/>
  <c r="T594" i="6"/>
  <c r="V594" i="6" s="1"/>
  <c r="T763" i="6"/>
  <c r="V763" i="6" s="1"/>
  <c r="T978" i="6"/>
  <c r="V978" i="6" s="1"/>
  <c r="T553" i="6"/>
  <c r="V553" i="6" s="1"/>
  <c r="T706" i="6"/>
  <c r="V706" i="6" s="1"/>
  <c r="T817" i="6"/>
  <c r="V817" i="6" s="1"/>
  <c r="T900" i="6"/>
  <c r="V900" i="6" s="1"/>
  <c r="T592" i="6"/>
  <c r="V592" i="6" s="1"/>
  <c r="T687" i="6"/>
  <c r="V687" i="6" s="1"/>
  <c r="T384" i="6"/>
  <c r="V384" i="6" s="1"/>
  <c r="T207" i="6"/>
  <c r="V207" i="6" s="1"/>
  <c r="T196" i="6"/>
  <c r="V196" i="6" s="1"/>
  <c r="T155" i="6"/>
  <c r="V155" i="6" s="1"/>
  <c r="T137" i="6"/>
  <c r="V137" i="6" s="1"/>
  <c r="T202" i="6"/>
  <c r="V202" i="6" s="1"/>
  <c r="T916" i="6"/>
  <c r="V916" i="6" s="1"/>
  <c r="T908" i="6"/>
  <c r="V908" i="6" s="1"/>
  <c r="T436" i="6"/>
  <c r="V436" i="6" s="1"/>
  <c r="T298" i="6"/>
  <c r="V298" i="6" s="1"/>
  <c r="T185" i="6"/>
  <c r="V185" i="6" s="1"/>
  <c r="T597" i="6"/>
  <c r="V597" i="6" s="1"/>
  <c r="T1000" i="6"/>
  <c r="V1000" i="6" s="1"/>
  <c r="T902" i="6"/>
  <c r="V902" i="6" s="1"/>
  <c r="T927" i="6"/>
  <c r="V927" i="6" s="1"/>
  <c r="T672" i="6"/>
  <c r="V672" i="6" s="1"/>
  <c r="T617" i="6"/>
  <c r="V617" i="6" s="1"/>
  <c r="T753" i="6"/>
  <c r="V753" i="6" s="1"/>
  <c r="T889" i="6"/>
  <c r="V889" i="6" s="1"/>
  <c r="T273" i="6"/>
  <c r="V273" i="6" s="1"/>
  <c r="T651" i="6"/>
  <c r="V651" i="6" s="1"/>
  <c r="T280" i="6"/>
  <c r="V280" i="6" s="1"/>
  <c r="T973" i="6"/>
  <c r="V973" i="6" s="1"/>
  <c r="T804" i="6"/>
  <c r="V804" i="6" s="1"/>
  <c r="T609" i="6"/>
  <c r="V609" i="6" s="1"/>
  <c r="T362" i="6"/>
  <c r="V362" i="6" s="1"/>
  <c r="T897" i="6"/>
  <c r="V897" i="6" s="1"/>
  <c r="T145" i="6"/>
  <c r="V145" i="6" s="1"/>
  <c r="T212" i="6"/>
  <c r="V212" i="6" s="1"/>
  <c r="T194" i="6"/>
  <c r="V194" i="6" s="1"/>
  <c r="T357" i="6"/>
  <c r="V357" i="6" s="1"/>
  <c r="T874" i="6"/>
  <c r="V874" i="6" s="1"/>
  <c r="T206" i="6"/>
  <c r="V206" i="6" s="1"/>
  <c r="T225" i="6"/>
  <c r="V225" i="6" s="1"/>
  <c r="T364" i="6"/>
  <c r="V364" i="6" s="1"/>
  <c r="T919" i="6"/>
  <c r="V919" i="6" s="1"/>
  <c r="T625" i="6"/>
  <c r="V625" i="6" s="1"/>
  <c r="T143" i="6"/>
  <c r="V143" i="6" s="1"/>
  <c r="T528" i="6"/>
  <c r="V528" i="6" s="1"/>
  <c r="T311" i="6"/>
  <c r="V311" i="6" s="1"/>
  <c r="T417" i="6"/>
  <c r="V417" i="6" s="1"/>
  <c r="T966" i="6"/>
  <c r="V966" i="6" s="1"/>
  <c r="T507" i="6"/>
  <c r="V507" i="6" s="1"/>
  <c r="T756" i="6"/>
  <c r="V756" i="6" s="1"/>
  <c r="T698" i="6"/>
  <c r="V698" i="6" s="1"/>
  <c r="T693" i="6"/>
  <c r="V693" i="6" s="1"/>
  <c r="T391" i="6"/>
  <c r="V391" i="6" s="1"/>
  <c r="T336" i="6"/>
  <c r="V336" i="6" s="1"/>
  <c r="T347" i="6"/>
  <c r="V347" i="6" s="1"/>
  <c r="T824" i="6"/>
  <c r="V824" i="6" s="1"/>
  <c r="T593" i="6"/>
  <c r="V593" i="6" s="1"/>
  <c r="T880" i="6"/>
  <c r="V880" i="6" s="1"/>
  <c r="T378" i="6"/>
  <c r="V378" i="6" s="1"/>
  <c r="T475" i="6"/>
  <c r="V475" i="6" s="1"/>
  <c r="T285" i="6"/>
  <c r="V285" i="6" s="1"/>
  <c r="T403" i="6"/>
  <c r="V403" i="6" s="1"/>
  <c r="T204" i="6"/>
  <c r="V204" i="6" s="1"/>
  <c r="T136" i="6"/>
  <c r="V136" i="6" s="1"/>
  <c r="T423" i="6"/>
  <c r="V423" i="6" s="1"/>
  <c r="T814" i="6"/>
  <c r="V814" i="6" s="1"/>
  <c r="T197" i="6"/>
  <c r="V197" i="6" s="1"/>
  <c r="T326" i="6"/>
  <c r="V326" i="6" s="1"/>
  <c r="T920" i="6"/>
  <c r="V920" i="6" s="1"/>
  <c r="T801" i="6"/>
  <c r="V801" i="6" s="1"/>
  <c r="T907" i="6"/>
  <c r="V907" i="6" s="1"/>
  <c r="T193" i="6"/>
  <c r="V193" i="6" s="1"/>
  <c r="T482" i="6"/>
  <c r="V482" i="6" s="1"/>
  <c r="T375" i="6"/>
  <c r="V375" i="6" s="1"/>
  <c r="T612" i="6"/>
  <c r="V612" i="6" s="1"/>
  <c r="T855" i="6"/>
  <c r="V855" i="6" s="1"/>
  <c r="T657" i="6"/>
  <c r="V657" i="6" s="1"/>
  <c r="T842" i="6"/>
  <c r="V842" i="6" s="1"/>
  <c r="T1011" i="6"/>
  <c r="V1011" i="6" s="1"/>
  <c r="T443" i="6"/>
  <c r="V443" i="6" s="1"/>
  <c r="T650" i="6"/>
  <c r="V650" i="6" s="1"/>
  <c r="T667" i="6"/>
  <c r="V667" i="6" s="1"/>
  <c r="T449" i="6"/>
  <c r="V449" i="6" s="1"/>
  <c r="T560" i="6"/>
  <c r="V560" i="6" s="1"/>
  <c r="T934" i="6"/>
  <c r="V934" i="6" s="1"/>
  <c r="T716" i="6"/>
  <c r="V716" i="6" s="1"/>
  <c r="T536" i="6"/>
  <c r="V536" i="6" s="1"/>
  <c r="T295" i="6"/>
  <c r="V295" i="6" s="1"/>
  <c r="T458" i="6"/>
  <c r="V458" i="6" s="1"/>
  <c r="T720" i="6"/>
  <c r="V720" i="6" s="1"/>
  <c r="T146" i="6"/>
  <c r="V146" i="6" s="1"/>
  <c r="T190" i="6"/>
  <c r="V190" i="6" s="1"/>
  <c r="M258" i="6"/>
  <c r="M875" i="6"/>
  <c r="M658" i="6"/>
  <c r="M316" i="6"/>
  <c r="M794" i="6"/>
  <c r="M835" i="6"/>
  <c r="M869" i="6"/>
  <c r="M315" i="6"/>
  <c r="M154" i="6"/>
  <c r="M175" i="6"/>
  <c r="M608" i="6"/>
  <c r="M492" i="6"/>
  <c r="M370" i="6"/>
  <c r="M798" i="6"/>
  <c r="M940" i="6"/>
  <c r="M816" i="6"/>
  <c r="M594" i="6"/>
  <c r="M538" i="6"/>
  <c r="M303" i="6"/>
  <c r="M126" i="6"/>
  <c r="M240" i="6"/>
  <c r="M429" i="6"/>
  <c r="M304" i="6"/>
  <c r="M528" i="6"/>
  <c r="M234" i="6"/>
  <c r="M691" i="6"/>
  <c r="M122" i="6"/>
  <c r="M773" i="6"/>
  <c r="M406" i="6"/>
  <c r="M292" i="6"/>
  <c r="M599" i="6"/>
  <c r="M298" i="6"/>
  <c r="M646" i="6"/>
  <c r="M283" i="6"/>
  <c r="M755" i="6"/>
  <c r="M392" i="6"/>
  <c r="M278" i="6"/>
  <c r="M655" i="6"/>
  <c r="M362" i="6"/>
  <c r="M749" i="6"/>
  <c r="M414" i="6"/>
  <c r="M306" i="6"/>
  <c r="M527" i="6"/>
  <c r="M585" i="6"/>
  <c r="M735" i="6"/>
  <c r="M453" i="6"/>
  <c r="M1008" i="6"/>
  <c r="M366" i="6"/>
  <c r="M890" i="6"/>
  <c r="M558" i="6"/>
  <c r="M388" i="6"/>
  <c r="M663" i="6"/>
  <c r="M371" i="6"/>
  <c r="M972" i="6"/>
  <c r="M338" i="6"/>
  <c r="M874" i="6"/>
  <c r="M539" i="6"/>
  <c r="M377" i="6"/>
  <c r="M591" i="6"/>
  <c r="M289" i="6"/>
  <c r="M534" i="6"/>
  <c r="M885" i="6"/>
  <c r="M836" i="6"/>
  <c r="M867" i="6"/>
  <c r="M440" i="6"/>
  <c r="M908" i="6"/>
  <c r="M993" i="6"/>
  <c r="M1001" i="6"/>
  <c r="M696" i="6"/>
  <c r="M758" i="6"/>
  <c r="M331" i="6"/>
  <c r="M347" i="6"/>
  <c r="M242" i="6"/>
  <c r="M218" i="6"/>
  <c r="M560" i="6"/>
  <c r="M354" i="6"/>
  <c r="M261" i="6"/>
  <c r="M127" i="6"/>
  <c r="M828" i="6"/>
  <c r="M248" i="6"/>
  <c r="M210" i="6"/>
  <c r="M301" i="6"/>
  <c r="M817" i="6"/>
  <c r="M825" i="6"/>
  <c r="M467" i="6"/>
  <c r="M484" i="6"/>
  <c r="M329" i="6"/>
  <c r="M302" i="6"/>
  <c r="M892" i="6"/>
  <c r="M480" i="6"/>
  <c r="M468" i="6"/>
  <c r="M833" i="6"/>
  <c r="M832" i="6"/>
  <c r="M626" i="6"/>
  <c r="M609" i="6"/>
  <c r="M839" i="6"/>
  <c r="M202" i="6"/>
  <c r="M564" i="6"/>
  <c r="M399" i="6"/>
  <c r="M361" i="6"/>
  <c r="M845" i="6"/>
  <c r="M843" i="6"/>
  <c r="M505" i="6"/>
  <c r="M522" i="6"/>
  <c r="M352" i="6"/>
  <c r="M328" i="6"/>
  <c r="M639" i="6"/>
  <c r="M436" i="6"/>
  <c r="M344" i="6"/>
  <c r="M199" i="6"/>
  <c r="M557" i="6"/>
  <c r="M472" i="6"/>
  <c r="M311" i="6"/>
  <c r="M259" i="6"/>
  <c r="M913" i="6"/>
  <c r="M219" i="6"/>
  <c r="M367" i="6"/>
  <c r="M686" i="6"/>
  <c r="M268" i="6"/>
  <c r="M590" i="6"/>
  <c r="M705" i="6"/>
  <c r="M409" i="6"/>
  <c r="M502" i="6"/>
  <c r="M821" i="6"/>
  <c r="M964" i="6"/>
  <c r="M214" i="6"/>
  <c r="M128" i="6"/>
  <c r="M700" i="6"/>
  <c r="M942" i="6"/>
  <c r="M413" i="6"/>
  <c r="M250" i="6"/>
  <c r="M971" i="6"/>
  <c r="M496" i="6"/>
  <c r="M862" i="6"/>
  <c r="M1005" i="6"/>
  <c r="M761" i="6"/>
  <c r="M337" i="6"/>
  <c r="M487" i="6"/>
  <c r="M566" i="6"/>
  <c r="M622" i="6"/>
  <c r="M384" i="6"/>
  <c r="M996" i="6"/>
  <c r="M753" i="6"/>
  <c r="M421" i="6"/>
  <c r="M152" i="6"/>
  <c r="M501" i="6"/>
  <c r="M579" i="6"/>
  <c r="M357" i="6"/>
  <c r="M987" i="6"/>
  <c r="M745" i="6"/>
  <c r="M506" i="6"/>
  <c r="M216" i="6"/>
  <c r="M947" i="6"/>
  <c r="M812" i="6"/>
  <c r="M955" i="6"/>
  <c r="M990" i="6"/>
  <c r="M402" i="6"/>
  <c r="M607" i="6"/>
  <c r="M307" i="6"/>
  <c r="M995" i="6"/>
  <c r="M894" i="6"/>
  <c r="M612" i="6"/>
  <c r="M251" i="6"/>
  <c r="M194" i="6"/>
  <c r="M518" i="6"/>
  <c r="M225" i="6"/>
  <c r="M962" i="6"/>
  <c r="M866" i="6"/>
  <c r="M595" i="6"/>
  <c r="M233" i="6"/>
  <c r="M182" i="6"/>
  <c r="M410" i="6"/>
  <c r="M142" i="6"/>
  <c r="M910" i="6"/>
  <c r="M382" i="6"/>
  <c r="M701" i="6"/>
  <c r="M320" i="6"/>
  <c r="M826" i="6"/>
  <c r="M645" i="6"/>
  <c r="M780" i="6"/>
  <c r="M902" i="6"/>
  <c r="M513" i="6"/>
  <c r="M630" i="6"/>
  <c r="M155" i="6"/>
  <c r="M192" i="6"/>
  <c r="M146" i="6"/>
  <c r="M120" i="6"/>
  <c r="M469" i="6"/>
  <c r="M281" i="6"/>
  <c r="M188" i="6"/>
  <c r="M784" i="6"/>
  <c r="M346" i="6"/>
  <c r="M882" i="6"/>
  <c r="M968" i="6"/>
  <c r="M989" i="6"/>
  <c r="M675" i="6"/>
  <c r="M747" i="6"/>
  <c r="M310" i="6"/>
  <c r="M330" i="6"/>
  <c r="M230" i="6"/>
  <c r="M204" i="6"/>
  <c r="M776" i="6"/>
  <c r="M237" i="6"/>
  <c r="M313" i="6"/>
  <c r="M744" i="6"/>
  <c r="M756" i="6"/>
  <c r="M553" i="6"/>
  <c r="M530" i="6"/>
  <c r="M775" i="6"/>
  <c r="M581" i="6"/>
  <c r="M499" i="6"/>
  <c r="M335" i="6"/>
  <c r="M1012" i="6"/>
  <c r="M715" i="6"/>
  <c r="M770" i="6"/>
  <c r="M349" i="6"/>
  <c r="M368" i="6"/>
  <c r="M256" i="6"/>
  <c r="M229" i="6"/>
  <c r="M570" i="6"/>
  <c r="M363" i="6"/>
  <c r="M270" i="6"/>
  <c r="M135" i="6"/>
  <c r="M491" i="6"/>
  <c r="M398" i="6"/>
  <c r="M247" i="6"/>
  <c r="M958" i="6"/>
  <c r="M452" i="6"/>
  <c r="M574" i="6"/>
  <c r="M933" i="6"/>
  <c r="M772" i="6"/>
  <c r="M760" i="6"/>
  <c r="M293" i="6"/>
  <c r="M485" i="6"/>
  <c r="M262" i="6"/>
  <c r="M554" i="6"/>
  <c r="M992" i="6"/>
  <c r="M739" i="6"/>
  <c r="M806" i="6"/>
  <c r="M561" i="6"/>
  <c r="M976" i="6"/>
  <c r="M693" i="6"/>
  <c r="M121" i="6"/>
  <c r="M549" i="6"/>
  <c r="M766" i="6"/>
  <c r="M893" i="6"/>
  <c r="M568" i="6"/>
  <c r="M859" i="6"/>
  <c r="M633" i="6"/>
  <c r="M140" i="6"/>
  <c r="M359" i="6"/>
  <c r="M985" i="6"/>
  <c r="M917" i="6"/>
  <c r="M507" i="6"/>
  <c r="M850" i="6"/>
  <c r="M625" i="6"/>
  <c r="M227" i="6"/>
  <c r="M415" i="6"/>
  <c r="M957" i="6"/>
  <c r="M904" i="6"/>
  <c r="M489" i="6"/>
  <c r="M841" i="6"/>
  <c r="M617" i="6"/>
  <c r="M312" i="6"/>
  <c r="M471" i="6"/>
  <c r="M606" i="6"/>
  <c r="M922" i="6"/>
  <c r="M849" i="6"/>
  <c r="M273" i="6"/>
  <c r="M205" i="6"/>
  <c r="M433" i="6"/>
  <c r="M161" i="6"/>
  <c r="M898" i="6"/>
  <c r="M149" i="6"/>
  <c r="M139" i="6"/>
  <c r="M923" i="6"/>
  <c r="M689" i="6"/>
  <c r="M323" i="6"/>
  <c r="M479" i="6"/>
  <c r="M856" i="6"/>
  <c r="M1002" i="6"/>
  <c r="M733" i="6"/>
  <c r="M914" i="6"/>
  <c r="M681" i="6"/>
  <c r="M213" i="6"/>
  <c r="M407" i="6"/>
  <c r="M529" i="6"/>
  <c r="M810" i="6"/>
  <c r="M519" i="6"/>
  <c r="M416" i="6"/>
  <c r="M222" i="6"/>
  <c r="M185" i="6"/>
  <c r="M403" i="6"/>
  <c r="M789" i="6"/>
  <c r="M260" i="6"/>
  <c r="M961" i="6"/>
  <c r="M960" i="6"/>
  <c r="M738" i="6"/>
  <c r="M721" i="6"/>
  <c r="M951" i="6"/>
  <c r="M373" i="6"/>
  <c r="M208" i="6"/>
  <c r="M115" i="6"/>
  <c r="M200" i="6"/>
  <c r="M782" i="6"/>
  <c r="M600" i="6"/>
  <c r="M748" i="6"/>
  <c r="M891" i="6"/>
  <c r="M478" i="6"/>
  <c r="M619" i="6"/>
  <c r="M137" i="6"/>
  <c r="M173" i="6"/>
  <c r="M132" i="6"/>
  <c r="M1007" i="6"/>
  <c r="M620" i="6"/>
  <c r="M963" i="6"/>
  <c r="M158" i="6"/>
  <c r="M643" i="6"/>
  <c r="M653" i="6"/>
  <c r="M461" i="6"/>
  <c r="M437" i="6"/>
  <c r="M711" i="6"/>
  <c r="M517" i="6"/>
  <c r="M426" i="6"/>
  <c r="M271" i="6"/>
  <c r="M916" i="6"/>
  <c r="M536" i="6"/>
  <c r="M656" i="6"/>
  <c r="M174" i="6"/>
  <c r="M211" i="6"/>
  <c r="M157" i="6"/>
  <c r="M131" i="6"/>
  <c r="M483" i="6"/>
  <c r="M290" i="6"/>
  <c r="M197" i="6"/>
  <c r="M623" i="6"/>
  <c r="M418" i="6"/>
  <c r="M325" i="6"/>
  <c r="M183" i="6"/>
  <c r="M272" i="6"/>
  <c r="M217" i="6"/>
  <c r="M896" i="6"/>
  <c r="M802" i="6"/>
  <c r="M241" i="6"/>
  <c r="M523" i="6"/>
  <c r="M687" i="6"/>
  <c r="M952" i="6"/>
  <c r="M459" i="6"/>
  <c r="M759" i="6"/>
  <c r="M813" i="6"/>
  <c r="M684" i="6"/>
  <c r="M160" i="6"/>
  <c r="M975" i="6"/>
  <c r="M422" i="6"/>
  <c r="M269" i="6"/>
  <c r="M535" i="6"/>
  <c r="M305" i="6"/>
  <c r="M215" i="6"/>
  <c r="M667" i="6"/>
  <c r="M648" i="6"/>
  <c r="M642" i="6"/>
  <c r="M196" i="6"/>
  <c r="M380" i="6"/>
  <c r="M880" i="6"/>
  <c r="M462" i="6"/>
  <c r="M1011" i="6"/>
  <c r="M324" i="6"/>
  <c r="M704" i="6"/>
  <c r="M1006" i="6"/>
  <c r="M439" i="6"/>
  <c r="M391" i="6"/>
  <c r="M543" i="6"/>
  <c r="M451" i="6"/>
  <c r="M280" i="6"/>
  <c r="M339" i="6"/>
  <c r="M736" i="6"/>
  <c r="M713" i="6"/>
  <c r="M613" i="6"/>
  <c r="M319" i="6"/>
  <c r="M823" i="6"/>
  <c r="M274" i="6"/>
  <c r="M820" i="6"/>
  <c r="M899" i="6"/>
  <c r="M350" i="6"/>
  <c r="M790" i="6"/>
  <c r="M716" i="6"/>
  <c r="M400" i="6"/>
  <c r="M547" i="6"/>
  <c r="M343" i="6"/>
  <c r="M654" i="6"/>
  <c r="M651" i="6"/>
  <c r="M113" i="6"/>
  <c r="M1004" i="6"/>
  <c r="M474" i="6"/>
  <c r="M948" i="6"/>
  <c r="M466" i="6"/>
  <c r="M860" i="6"/>
  <c r="M130" i="6"/>
  <c r="M615" i="6"/>
  <c r="M189" i="6"/>
  <c r="M165" i="6"/>
  <c r="M573" i="6"/>
  <c r="M629" i="6"/>
  <c r="M353" i="6"/>
  <c r="M673" i="6"/>
  <c r="M858" i="6"/>
  <c r="M425" i="6"/>
  <c r="M257" i="6"/>
  <c r="M808" i="6"/>
  <c r="M500" i="6"/>
  <c r="M488" i="6"/>
  <c r="M569" i="6"/>
  <c r="M944" i="6"/>
  <c r="M542" i="6"/>
  <c r="M741" i="6"/>
  <c r="M777" i="6"/>
  <c r="M1009" i="6"/>
  <c r="M937" i="6"/>
  <c r="M254" i="6"/>
  <c r="M637" i="6"/>
  <c r="M727" i="6"/>
  <c r="M545" i="6"/>
  <c r="M180" i="6"/>
  <c r="M785" i="6"/>
  <c r="M336" i="6"/>
  <c r="M945" i="6"/>
  <c r="M220" i="6"/>
  <c r="M743" i="6"/>
  <c r="M393" i="6"/>
  <c r="M179" i="6"/>
  <c r="M124" i="6"/>
  <c r="M424" i="6"/>
  <c r="M732" i="6"/>
  <c r="M876" i="6"/>
  <c r="M737" i="6"/>
  <c r="M669" i="6"/>
  <c r="M879" i="6"/>
  <c r="M950" i="6"/>
  <c r="M546" i="6"/>
  <c r="M838" i="6"/>
  <c r="M565" i="6"/>
  <c r="M610" i="6"/>
  <c r="M592" i="6"/>
  <c r="M164" i="6"/>
  <c r="M246" i="6"/>
  <c r="M235" i="6"/>
  <c r="M861" i="6"/>
  <c r="M351" i="6"/>
  <c r="M769" i="6"/>
  <c r="M1010" i="6"/>
  <c r="M589" i="6"/>
  <c r="M587" i="6"/>
  <c r="M449" i="6"/>
  <c r="M578" i="6"/>
  <c r="M855" i="6"/>
  <c r="M846" i="6"/>
  <c r="M326" i="6"/>
  <c r="M1000" i="6"/>
  <c r="M679" i="6"/>
  <c r="M638" i="6"/>
  <c r="M920" i="6"/>
  <c r="M935" i="6"/>
  <c r="M515" i="6"/>
  <c r="M360" i="6"/>
  <c r="M417" i="6"/>
  <c r="M286" i="6"/>
  <c r="M520" i="6"/>
  <c r="M746" i="6"/>
  <c r="M824" i="6"/>
  <c r="M949" i="6"/>
  <c r="M143" i="6"/>
  <c r="M226" i="6"/>
  <c r="M647" i="6"/>
  <c r="M169" i="6"/>
  <c r="M905" i="6"/>
  <c r="M779" i="6"/>
  <c r="M943" i="6"/>
  <c r="M602" i="6"/>
  <c r="M604" i="6"/>
  <c r="M577" i="6"/>
  <c r="M723" i="6"/>
  <c r="M123" i="6"/>
  <c r="M378" i="6"/>
  <c r="M334" i="6"/>
  <c r="M177" i="6"/>
  <c r="M412" i="6"/>
  <c r="M674" i="6"/>
  <c r="M718" i="6"/>
  <c r="M829" i="6"/>
  <c r="M864" i="6"/>
  <c r="M771" i="6"/>
  <c r="M883" i="6"/>
  <c r="M685" i="6"/>
  <c r="M912" i="6"/>
  <c r="M381" i="6"/>
  <c r="M698" i="6"/>
  <c r="M332" i="6"/>
  <c r="M765" i="6"/>
  <c r="M516" i="6"/>
  <c r="M364" i="6"/>
  <c r="M924" i="6"/>
  <c r="M803" i="6"/>
  <c r="M342" i="6"/>
  <c r="M863" i="6"/>
  <c r="M786" i="6"/>
  <c r="M956" i="6"/>
  <c r="M946" i="6"/>
  <c r="M308" i="6"/>
  <c r="M475" i="6"/>
  <c r="M788" i="6"/>
  <c r="M865" i="6"/>
  <c r="M287" i="6"/>
  <c r="M983" i="6"/>
  <c r="M668" i="6"/>
  <c r="M209" i="6"/>
  <c r="M710" i="6"/>
  <c r="M473" i="6"/>
  <c r="M136" i="6"/>
  <c r="M677" i="6"/>
  <c r="M750" i="6"/>
  <c r="M871" i="6"/>
  <c r="M448" i="6"/>
  <c r="M907" i="6"/>
  <c r="M526" i="6"/>
  <c r="M397" i="6"/>
  <c r="M431" i="6"/>
  <c r="M291" i="6"/>
  <c r="M544" i="6"/>
  <c r="M284" i="6"/>
  <c r="M807" i="6"/>
  <c r="M282" i="6"/>
  <c r="T222" i="6"/>
  <c r="V222" i="6" s="1"/>
  <c r="T886" i="6"/>
  <c r="V886" i="6" s="1"/>
  <c r="T739" i="6"/>
  <c r="V739" i="6" s="1"/>
  <c r="T641" i="6"/>
  <c r="V641" i="6" s="1"/>
  <c r="T337" i="6"/>
  <c r="V337" i="6" s="1"/>
  <c r="T663" i="6"/>
  <c r="V663" i="6" s="1"/>
  <c r="T159" i="6"/>
  <c r="V159" i="6" s="1"/>
  <c r="T377" i="6"/>
  <c r="V377" i="6" s="1"/>
  <c r="T611" i="6"/>
  <c r="V611" i="6" s="1"/>
  <c r="T555" i="6"/>
  <c r="V555" i="6" s="1"/>
  <c r="T210" i="6"/>
  <c r="V210" i="6" s="1"/>
  <c r="T529" i="6"/>
  <c r="V529" i="6" s="1"/>
  <c r="T972" i="6"/>
  <c r="V972" i="6" s="1"/>
  <c r="O310" i="6"/>
  <c r="S183" i="6"/>
  <c r="W183" i="6" s="1"/>
  <c r="O122" i="6"/>
  <c r="O882" i="6"/>
  <c r="S290" i="6"/>
  <c r="W290" i="6" s="1"/>
  <c r="S705" i="6"/>
  <c r="W705" i="6" s="1"/>
  <c r="S885" i="6"/>
  <c r="W885" i="6" s="1"/>
  <c r="O835" i="6"/>
  <c r="S127" i="6"/>
  <c r="W127" i="6" s="1"/>
  <c r="S388" i="6"/>
  <c r="W388" i="6" s="1"/>
  <c r="S689" i="6"/>
  <c r="W689" i="6" s="1"/>
  <c r="O669" i="6"/>
  <c r="O787" i="6"/>
  <c r="S181" i="6"/>
  <c r="W181" i="6" s="1"/>
  <c r="S1008" i="6"/>
  <c r="W1008" i="6" s="1"/>
  <c r="O211" i="6"/>
  <c r="S339" i="6"/>
  <c r="W339" i="6" s="1"/>
  <c r="O983" i="6"/>
  <c r="S930" i="6"/>
  <c r="W930" i="6" s="1"/>
  <c r="S543" i="6"/>
  <c r="W543" i="6" s="1"/>
  <c r="O237" i="6"/>
  <c r="O528" i="6"/>
  <c r="S794" i="6"/>
  <c r="W794" i="6" s="1"/>
  <c r="O470" i="6"/>
  <c r="S770" i="6"/>
  <c r="W770" i="6" s="1"/>
  <c r="S845" i="6"/>
  <c r="W845" i="6" s="1"/>
  <c r="T519" i="6"/>
  <c r="V519" i="6" s="1"/>
  <c r="T268" i="6"/>
  <c r="V268" i="6" s="1"/>
  <c r="T627" i="6"/>
  <c r="V627" i="6" s="1"/>
  <c r="T278" i="6"/>
  <c r="V278" i="6" s="1"/>
  <c r="T738" i="6"/>
  <c r="V738" i="6" s="1"/>
  <c r="T271" i="6"/>
  <c r="V271" i="6" s="1"/>
  <c r="T413" i="6"/>
  <c r="V413" i="6" s="1"/>
  <c r="T578" i="6"/>
  <c r="V578" i="6" s="1"/>
  <c r="T765" i="6"/>
  <c r="V765" i="6" s="1"/>
  <c r="T948" i="6"/>
  <c r="V948" i="6" s="1"/>
  <c r="T573" i="6"/>
  <c r="V573" i="6" s="1"/>
  <c r="T917" i="6"/>
  <c r="V917" i="6" s="1"/>
  <c r="T246" i="6"/>
  <c r="V246" i="6" s="1"/>
  <c r="T764" i="6"/>
  <c r="V764" i="6" s="1"/>
  <c r="T522" i="6"/>
  <c r="V522" i="6" s="1"/>
  <c r="T389" i="6"/>
  <c r="V389" i="6" s="1"/>
  <c r="T318" i="6"/>
  <c r="V318" i="6" s="1"/>
  <c r="T162" i="6"/>
  <c r="V162" i="6" s="1"/>
  <c r="T829" i="6"/>
  <c r="V829" i="6" s="1"/>
  <c r="M540" i="6"/>
  <c r="M458" i="6"/>
  <c r="M490" i="6"/>
  <c r="M385" i="6"/>
  <c r="M601" i="6"/>
  <c r="M640" i="6"/>
  <c r="M897" i="6"/>
  <c r="M203" i="6"/>
  <c r="M207" i="6"/>
  <c r="M299" i="6"/>
  <c r="M903" i="6"/>
  <c r="M267" i="6"/>
  <c r="M978" i="6"/>
  <c r="M852" i="6"/>
  <c r="M928" i="6"/>
  <c r="M401" i="6"/>
  <c r="M666" i="6"/>
  <c r="M707" i="6"/>
  <c r="M228" i="6"/>
  <c r="M848" i="6"/>
  <c r="M712" i="6"/>
  <c r="M840" i="6"/>
  <c r="M408" i="6"/>
  <c r="M275" i="6"/>
  <c r="M510" i="6"/>
  <c r="M504" i="6"/>
  <c r="M814" i="6"/>
  <c r="M938" i="6"/>
  <c r="M965" i="6"/>
  <c r="M318" i="6"/>
  <c r="M977" i="6"/>
  <c r="M931" i="6"/>
  <c r="M583" i="6"/>
  <c r="M525" i="6"/>
  <c r="M249" i="6"/>
  <c r="M265" i="6"/>
  <c r="M470" i="6"/>
  <c r="M171" i="6"/>
  <c r="M552" i="6"/>
  <c r="M694" i="6"/>
  <c r="M764" i="6"/>
  <c r="M295" i="6"/>
  <c r="M991" i="6"/>
  <c r="M932" i="6"/>
  <c r="M379" i="6"/>
  <c r="M781" i="6"/>
  <c r="M454" i="6"/>
  <c r="M634" i="6"/>
  <c r="M176" i="6"/>
  <c r="M374" i="6"/>
  <c r="M444" i="6"/>
  <c r="M266" i="6"/>
  <c r="M851" i="6"/>
  <c r="M660" i="6"/>
  <c r="M900" i="6"/>
  <c r="M671" i="6"/>
  <c r="M443" i="6"/>
  <c r="M929" i="6"/>
  <c r="M752" i="6"/>
  <c r="M193" i="6"/>
  <c r="M236" i="6"/>
  <c r="M853" i="6"/>
  <c r="M166" i="6"/>
  <c r="M778" i="6"/>
  <c r="M170" i="6"/>
  <c r="M511" i="6"/>
  <c r="M801" i="6"/>
  <c r="M734" i="6"/>
  <c r="M999" i="6"/>
  <c r="M432" i="6"/>
  <c r="M831" i="6"/>
  <c r="M300" i="6"/>
  <c r="M567" i="6"/>
  <c r="M717" i="6"/>
  <c r="M255" i="6"/>
  <c r="M118" i="6"/>
  <c r="M321" i="6"/>
  <c r="M982" i="6"/>
  <c r="M697" i="6"/>
  <c r="M184" i="6"/>
  <c r="M509" i="6"/>
  <c r="M597" i="6"/>
  <c r="M906" i="6"/>
  <c r="M804" i="6"/>
  <c r="M994" i="6"/>
  <c r="M886" i="6"/>
  <c r="M276" i="6"/>
  <c r="M791" i="6"/>
  <c r="M792" i="6"/>
  <c r="M503" i="6"/>
  <c r="M959" i="6"/>
  <c r="M605" i="6"/>
  <c r="M386" i="6"/>
  <c r="M774" i="6"/>
  <c r="M383" i="6"/>
  <c r="M531" i="6"/>
  <c r="M873" i="6"/>
  <c r="M572" i="6"/>
  <c r="M223" i="6"/>
  <c r="M288" i="6"/>
  <c r="M842" i="6"/>
  <c r="M551" i="6"/>
  <c r="M582" i="6"/>
  <c r="M186" i="6"/>
  <c r="T869" i="6"/>
  <c r="V869" i="6" s="1"/>
  <c r="T188" i="6"/>
  <c r="V188" i="6" s="1"/>
  <c r="T628" i="6"/>
  <c r="V628" i="6" s="1"/>
  <c r="T922" i="6"/>
  <c r="V922" i="6" s="1"/>
  <c r="T310" i="6"/>
  <c r="V310" i="6" s="1"/>
  <c r="T382" i="6"/>
  <c r="V382" i="6" s="1"/>
  <c r="T700" i="6"/>
  <c r="V700" i="6" s="1"/>
  <c r="M125" i="6"/>
  <c r="M550" i="6"/>
  <c r="M556" i="6"/>
  <c r="M703" i="6"/>
  <c r="M665" i="6"/>
  <c r="M742" i="6"/>
  <c r="M970" i="6"/>
  <c r="M456" i="6"/>
  <c r="M463" i="6"/>
  <c r="M372" i="6"/>
  <c r="M967" i="6"/>
  <c r="M365" i="6"/>
  <c r="M195" i="6"/>
  <c r="M644" i="6"/>
  <c r="M147" i="6"/>
  <c r="M497" i="6"/>
  <c r="M730" i="6"/>
  <c r="M805" i="6"/>
  <c r="M926" i="6"/>
  <c r="M954" i="6"/>
  <c r="M187" i="6"/>
  <c r="M224" i="6"/>
  <c r="M481" i="6"/>
  <c r="M631" i="6"/>
  <c r="M593" i="6"/>
  <c r="M628" i="6"/>
  <c r="M888" i="6"/>
  <c r="M172" i="6"/>
  <c r="M245" i="6"/>
  <c r="M854" i="6"/>
  <c r="M465" i="6"/>
  <c r="M285" i="6"/>
  <c r="M477" i="6"/>
  <c r="M719" i="6"/>
  <c r="M555" i="6"/>
  <c r="M699" i="6"/>
  <c r="M611" i="6"/>
  <c r="M317" i="6"/>
  <c r="M575" i="6"/>
  <c r="M870" i="6"/>
  <c r="M980" i="6"/>
  <c r="M423" i="6"/>
  <c r="M277" i="6"/>
  <c r="M837" i="6"/>
  <c r="M844" i="6"/>
  <c r="M998" i="6"/>
  <c r="M117" i="6"/>
  <c r="M762" i="6"/>
  <c r="M974" i="6"/>
  <c r="M981" i="6"/>
  <c r="M580" i="6"/>
  <c r="M460" i="6"/>
  <c r="M997" i="6"/>
  <c r="M598" i="6"/>
  <c r="M167" i="6"/>
  <c r="M799" i="6"/>
  <c r="M692" i="6"/>
  <c r="M662" i="6"/>
  <c r="M495" i="6"/>
  <c r="M387" i="6"/>
  <c r="M201" i="6"/>
  <c r="M984" i="6"/>
  <c r="M635" i="6"/>
  <c r="M726" i="6"/>
  <c r="M389" i="6"/>
  <c r="M722" i="6"/>
  <c r="M358" i="6"/>
  <c r="M680" i="6"/>
  <c r="M603" i="6"/>
  <c r="M1003" i="6"/>
  <c r="M375" i="6"/>
  <c r="M327" i="6"/>
  <c r="M450" i="6"/>
  <c r="M294" i="6"/>
  <c r="M206" i="6"/>
  <c r="M754" i="6"/>
  <c r="M649" i="6"/>
  <c r="M394" i="6"/>
  <c r="M624" i="6"/>
  <c r="M134" i="6"/>
  <c r="M340" i="6"/>
  <c r="M636" i="6"/>
  <c r="M872" i="6"/>
  <c r="M279" i="6"/>
  <c r="M757" i="6"/>
  <c r="M129" i="6"/>
  <c r="M297" i="6"/>
  <c r="M253" i="6"/>
  <c r="M934" i="6"/>
  <c r="M911" i="6"/>
  <c r="M830" i="6"/>
  <c r="M390" i="6"/>
  <c r="M434" i="6"/>
  <c r="M181" i="6"/>
  <c r="M621" i="6"/>
  <c r="M150" i="6"/>
  <c r="M632" i="6"/>
  <c r="M688" i="6"/>
  <c r="M348" i="6"/>
  <c r="M796" i="6"/>
  <c r="M345" i="6"/>
  <c r="M895" i="6"/>
  <c r="M969" i="6"/>
  <c r="M396" i="6"/>
  <c r="M232" i="6"/>
  <c r="M751" i="6"/>
  <c r="M212" i="6"/>
  <c r="M661" i="6"/>
  <c r="M427" i="6"/>
  <c r="M438" i="6"/>
  <c r="M333" i="6"/>
  <c r="M441" i="6"/>
  <c r="M435" i="6"/>
  <c r="M915" i="6"/>
  <c r="M857" i="6"/>
  <c r="M571" i="6"/>
  <c r="M670" i="6"/>
  <c r="M714" i="6"/>
  <c r="M586" i="6"/>
  <c r="M156" i="6"/>
  <c r="M178" i="6"/>
  <c r="M533" i="6"/>
  <c r="M986" i="6"/>
  <c r="M524" i="6"/>
  <c r="M419" i="6"/>
  <c r="M116" i="6"/>
  <c r="M596" i="6"/>
  <c r="M819" i="6"/>
  <c r="M868" i="6"/>
  <c r="M559" i="6"/>
  <c r="M455" i="6"/>
  <c r="M618" i="6"/>
  <c r="M763" i="6"/>
  <c r="M494" i="6"/>
  <c r="M979" i="6"/>
  <c r="M815" i="6"/>
  <c r="M877" i="6"/>
  <c r="M356" i="6"/>
  <c r="M887" i="6"/>
  <c r="M430" i="6"/>
  <c r="M930" i="6"/>
  <c r="M512" i="6"/>
  <c r="M683" i="6"/>
  <c r="M919" i="6"/>
  <c r="M953" i="6"/>
  <c r="M541" i="6"/>
  <c r="M724" i="6"/>
  <c r="M508" i="6"/>
  <c r="M827" i="6"/>
  <c r="M428" i="6"/>
  <c r="M921" i="6"/>
  <c r="M498" i="6"/>
  <c r="M404" i="6"/>
  <c r="M795" i="6"/>
  <c r="M576" i="6"/>
  <c r="M163" i="6"/>
  <c r="M720" i="6"/>
  <c r="M482" i="6"/>
  <c r="M264" i="6"/>
  <c r="M190" i="6"/>
  <c r="M682" i="6"/>
  <c r="M296" i="6"/>
  <c r="M153" i="6"/>
  <c r="M537" i="6"/>
  <c r="M676" i="6"/>
  <c r="M521" i="6"/>
  <c r="M411" i="6"/>
  <c r="M918" i="6"/>
  <c r="M447" i="6"/>
  <c r="M314" i="6"/>
  <c r="M616" i="6"/>
  <c r="M740" i="6"/>
  <c r="M442" i="6"/>
  <c r="M909" i="6"/>
  <c r="M563" i="6"/>
  <c r="M966" i="6"/>
  <c r="M168" i="6"/>
  <c r="M457" i="6"/>
  <c r="M238" i="6"/>
  <c r="M725" i="6"/>
  <c r="M162" i="6"/>
  <c r="M988" i="6"/>
  <c r="M159" i="6"/>
  <c r="M678" i="6"/>
  <c r="M709" i="6"/>
  <c r="M650" i="6"/>
  <c r="M627" i="6"/>
  <c r="M941" i="6"/>
  <c r="M708" i="6"/>
  <c r="M239" i="6"/>
  <c r="M889" i="6"/>
  <c r="M446" i="6"/>
  <c r="M252" i="6"/>
  <c r="M818" i="6"/>
  <c r="T812" i="6"/>
  <c r="V812" i="6" s="1"/>
  <c r="T355" i="6"/>
  <c r="V355" i="6" s="1"/>
  <c r="T747" i="6"/>
  <c r="V747" i="6" s="1"/>
  <c r="T447" i="6"/>
  <c r="V447" i="6" s="1"/>
  <c r="T451" i="6"/>
  <c r="V451" i="6" s="1"/>
  <c r="T744" i="6"/>
  <c r="V744" i="6" s="1"/>
  <c r="T361" i="6"/>
  <c r="V361" i="6" s="1"/>
  <c r="T168" i="6"/>
  <c r="V168" i="6" s="1"/>
  <c r="T883" i="6"/>
  <c r="V883" i="6" s="1"/>
  <c r="T630" i="6"/>
  <c r="V630" i="6" s="1"/>
  <c r="T872" i="6"/>
  <c r="V872" i="6" s="1"/>
  <c r="T879" i="6"/>
  <c r="V879" i="6" s="1"/>
  <c r="T514" i="6"/>
  <c r="V514" i="6" s="1"/>
  <c r="T395" i="6"/>
  <c r="V395" i="6" s="1"/>
  <c r="T166" i="6"/>
  <c r="V166" i="6" s="1"/>
  <c r="T953" i="6"/>
  <c r="V953" i="6" s="1"/>
  <c r="T596" i="6"/>
  <c r="V596" i="6" s="1"/>
  <c r="T571" i="6"/>
  <c r="V571" i="6" s="1"/>
  <c r="T283" i="6"/>
  <c r="V283" i="6" s="1"/>
  <c r="T331" i="6"/>
  <c r="V331" i="6" s="1"/>
  <c r="T370" i="6"/>
  <c r="V370" i="6" s="1"/>
  <c r="T342" i="6"/>
  <c r="V342" i="6" s="1"/>
  <c r="T156" i="6"/>
  <c r="V156" i="6" s="1"/>
  <c r="T123" i="6"/>
  <c r="V123" i="6" s="1"/>
  <c r="T637" i="6"/>
  <c r="V637" i="6" s="1"/>
  <c r="T583" i="6"/>
  <c r="V583" i="6" s="1"/>
  <c r="T203" i="6"/>
  <c r="V203" i="6" s="1"/>
  <c r="T649" i="6"/>
  <c r="V649" i="6" s="1"/>
  <c r="T319" i="6"/>
  <c r="V319" i="6" s="1"/>
  <c r="T781" i="6"/>
  <c r="V781" i="6" s="1"/>
  <c r="T453" i="6"/>
  <c r="V453" i="6" s="1"/>
  <c r="T127" i="6"/>
  <c r="V127" i="6" s="1"/>
  <c r="T786" i="6"/>
  <c r="V786" i="6" s="1"/>
  <c r="T676" i="6"/>
  <c r="V676" i="6" s="1"/>
  <c r="T144" i="6"/>
  <c r="V144" i="6" s="1"/>
  <c r="T476" i="6"/>
  <c r="V476" i="6" s="1"/>
  <c r="T1004" i="6"/>
  <c r="V1004" i="6" s="1"/>
  <c r="T118" i="6"/>
  <c r="V118" i="6" s="1"/>
  <c r="T385" i="6"/>
  <c r="V385" i="6" s="1"/>
  <c r="T623" i="6"/>
  <c r="V623" i="6" s="1"/>
  <c r="T787" i="6"/>
  <c r="V787" i="6" s="1"/>
  <c r="T608" i="6"/>
  <c r="V608" i="6" s="1"/>
  <c r="T538" i="6"/>
  <c r="V538" i="6" s="1"/>
  <c r="T643" i="6"/>
  <c r="V643" i="6" s="1"/>
  <c r="T426" i="6"/>
  <c r="V426" i="6" s="1"/>
  <c r="T684" i="6"/>
  <c r="V684" i="6" s="1"/>
  <c r="T847" i="6"/>
  <c r="V847" i="6" s="1"/>
  <c r="T621" i="6"/>
  <c r="V621" i="6" s="1"/>
  <c r="T176" i="6"/>
  <c r="V176" i="6" s="1"/>
  <c r="T214" i="6"/>
  <c r="V214" i="6" s="1"/>
  <c r="T604" i="6"/>
  <c r="V604" i="6" s="1"/>
  <c r="T292" i="6"/>
  <c r="V292" i="6" s="1"/>
  <c r="T760" i="6"/>
  <c r="V760" i="6" s="1"/>
  <c r="T455" i="6"/>
  <c r="V455" i="6" s="1"/>
  <c r="T286" i="6"/>
  <c r="V286" i="6" s="1"/>
  <c r="T577" i="6"/>
  <c r="V577" i="6" s="1"/>
  <c r="T644" i="6"/>
  <c r="V644" i="6" s="1"/>
  <c r="T124" i="6"/>
  <c r="V124" i="6" s="1"/>
  <c r="T198" i="6"/>
  <c r="V198" i="6" s="1"/>
  <c r="T727" i="6"/>
  <c r="V727" i="6" s="1"/>
  <c r="T223" i="6"/>
  <c r="V223" i="6" s="1"/>
  <c r="T533" i="6"/>
  <c r="V533" i="6" s="1"/>
  <c r="T924" i="6"/>
  <c r="V924" i="6" s="1"/>
  <c r="T652" i="6"/>
  <c r="V652" i="6" s="1"/>
  <c r="T307" i="6"/>
  <c r="V307" i="6" s="1"/>
  <c r="T723" i="6"/>
  <c r="V723" i="6" s="1"/>
  <c r="T315" i="6"/>
  <c r="V315" i="6" s="1"/>
  <c r="T224" i="6"/>
  <c r="V224" i="6" s="1"/>
  <c r="T425" i="6"/>
  <c r="V425" i="6" s="1"/>
  <c r="T913" i="6"/>
  <c r="V913" i="6" s="1"/>
  <c r="T854" i="6"/>
  <c r="V854" i="6" s="1"/>
  <c r="T932" i="6"/>
  <c r="V932" i="6" s="1"/>
  <c r="T783" i="6"/>
  <c r="V783" i="6" s="1"/>
  <c r="T130" i="6"/>
  <c r="V130" i="6" s="1"/>
  <c r="T850" i="6"/>
  <c r="V850" i="6" s="1"/>
  <c r="T485" i="6"/>
  <c r="V485" i="6" s="1"/>
  <c r="T238" i="6"/>
  <c r="V238" i="6" s="1"/>
  <c r="T840" i="6"/>
  <c r="V840" i="6" s="1"/>
  <c r="O690" i="6"/>
  <c r="S789" i="6"/>
  <c r="W789" i="6" s="1"/>
  <c r="S846" i="6"/>
  <c r="W846" i="6" s="1"/>
  <c r="O189" i="6"/>
  <c r="O403" i="6"/>
  <c r="S927" i="6"/>
  <c r="W927" i="6" s="1"/>
  <c r="O941" i="6"/>
  <c r="S426" i="6"/>
  <c r="W426" i="6" s="1"/>
  <c r="S528" i="6"/>
  <c r="W528" i="6" s="1"/>
  <c r="O491" i="6"/>
  <c r="S136" i="6"/>
  <c r="W136" i="6" s="1"/>
  <c r="O606" i="6"/>
  <c r="S661" i="6"/>
  <c r="W661" i="6" s="1"/>
  <c r="O549" i="6"/>
  <c r="S982" i="6"/>
  <c r="W982" i="6" s="1"/>
  <c r="S116" i="6"/>
  <c r="W116" i="6" s="1"/>
  <c r="S211" i="6"/>
  <c r="W211" i="6" s="1"/>
  <c r="S625" i="6"/>
  <c r="W625" i="6" s="1"/>
  <c r="S154" i="6"/>
  <c r="W154" i="6" s="1"/>
  <c r="S546" i="6"/>
  <c r="W546" i="6" s="1"/>
  <c r="S787" i="6"/>
  <c r="W787" i="6" s="1"/>
  <c r="S173" i="6"/>
  <c r="W173" i="6" s="1"/>
  <c r="S828" i="6"/>
  <c r="W828" i="6" s="1"/>
  <c r="O347" i="6"/>
  <c r="O474" i="6"/>
  <c r="O447" i="6"/>
  <c r="S574" i="6"/>
  <c r="W574" i="6" s="1"/>
  <c r="O588" i="6"/>
  <c r="O888" i="6"/>
  <c r="O322" i="6"/>
  <c r="S313" i="6"/>
  <c r="W313" i="6" s="1"/>
  <c r="O466" i="6"/>
  <c r="S882" i="6"/>
  <c r="W882" i="6" s="1"/>
  <c r="O378" i="6"/>
  <c r="O987" i="6"/>
  <c r="S590" i="6"/>
  <c r="W590" i="6" s="1"/>
  <c r="O338" i="6"/>
  <c r="O770" i="6"/>
  <c r="O351" i="6"/>
  <c r="S553" i="6"/>
  <c r="W553" i="6" s="1"/>
  <c r="S477" i="6"/>
  <c r="W477" i="6" s="1"/>
  <c r="S442" i="6"/>
  <c r="W442" i="6" s="1"/>
  <c r="S233" i="6"/>
  <c r="W233" i="6" s="1"/>
  <c r="S858" i="6"/>
  <c r="W858" i="6" s="1"/>
  <c r="S478" i="6"/>
  <c r="W478" i="6" s="1"/>
  <c r="O930" i="6"/>
  <c r="O379" i="6"/>
  <c r="O854" i="6"/>
  <c r="S611" i="6"/>
  <c r="W611" i="6" s="1"/>
  <c r="S929" i="6"/>
  <c r="W929" i="6" s="1"/>
  <c r="S539" i="6"/>
  <c r="W539" i="6" s="1"/>
  <c r="S911" i="6"/>
  <c r="W911" i="6" s="1"/>
  <c r="O332" i="6"/>
  <c r="S573" i="6"/>
  <c r="W573" i="6" s="1"/>
  <c r="O861" i="6"/>
  <c r="S488" i="6"/>
  <c r="W488" i="6" s="1"/>
  <c r="O904" i="6"/>
  <c r="O388" i="6"/>
  <c r="O383" i="6"/>
  <c r="S510" i="6"/>
  <c r="W510" i="6" s="1"/>
  <c r="O610" i="6"/>
  <c r="S451" i="6"/>
  <c r="W451" i="6" s="1"/>
  <c r="O971" i="6"/>
  <c r="S161" i="6"/>
  <c r="W161" i="6" s="1"/>
  <c r="O296" i="6"/>
  <c r="O540" i="6"/>
  <c r="T414" i="6"/>
  <c r="V414" i="6" s="1"/>
  <c r="T965" i="6"/>
  <c r="V965" i="6" s="1"/>
  <c r="T802" i="6"/>
  <c r="V802" i="6" s="1"/>
  <c r="T321" i="6"/>
  <c r="V321" i="6" s="1"/>
  <c r="T262" i="6"/>
  <c r="V262" i="6" s="1"/>
  <c r="T791" i="6"/>
  <c r="V791" i="6" s="1"/>
  <c r="T287" i="6"/>
  <c r="V287" i="6" s="1"/>
  <c r="T865" i="6"/>
  <c r="V865" i="6" s="1"/>
  <c r="T228" i="6"/>
  <c r="V228" i="6" s="1"/>
  <c r="T749" i="6"/>
  <c r="V749" i="6" s="1"/>
  <c r="T405" i="6"/>
  <c r="V405" i="6" s="1"/>
  <c r="T821" i="6"/>
  <c r="V821" i="6" s="1"/>
  <c r="T473" i="6"/>
  <c r="V473" i="6" s="1"/>
  <c r="S374" i="6"/>
  <c r="W374" i="6" s="1"/>
  <c r="O247" i="6"/>
  <c r="O208" i="6"/>
  <c r="O507" i="6"/>
  <c r="O514" i="6"/>
  <c r="S971" i="6"/>
  <c r="W971" i="6" s="1"/>
  <c r="S523" i="6"/>
  <c r="W523" i="6" s="1"/>
  <c r="O126" i="6"/>
  <c r="S447" i="6"/>
  <c r="W447" i="6" s="1"/>
  <c r="O986" i="6"/>
  <c r="S773" i="6"/>
  <c r="W773" i="6" s="1"/>
  <c r="S861" i="6"/>
  <c r="W861" i="6" s="1"/>
  <c r="O525" i="6"/>
  <c r="S642" i="6"/>
  <c r="W642" i="6" s="1"/>
  <c r="O625" i="6"/>
  <c r="O405" i="6"/>
  <c r="S317" i="6"/>
  <c r="W317" i="6" s="1"/>
  <c r="S379" i="6"/>
  <c r="W379" i="6" s="1"/>
  <c r="S170" i="6"/>
  <c r="W170" i="6" s="1"/>
  <c r="O607" i="6"/>
  <c r="S459" i="6"/>
  <c r="W459" i="6" s="1"/>
  <c r="S501" i="6"/>
  <c r="W501" i="6" s="1"/>
  <c r="S155" i="6"/>
  <c r="W155" i="6" s="1"/>
  <c r="S351" i="6"/>
  <c r="W351" i="6" s="1"/>
  <c r="S519" i="6"/>
  <c r="W519" i="6" s="1"/>
  <c r="O1004" i="6"/>
  <c r="O789" i="6"/>
  <c r="T480" i="6"/>
  <c r="V480" i="6" s="1"/>
  <c r="T581" i="6"/>
  <c r="V581" i="6" s="1"/>
  <c r="T914" i="6"/>
  <c r="V914" i="6" s="1"/>
  <c r="T918" i="6"/>
  <c r="V918" i="6" s="1"/>
  <c r="T154" i="6"/>
  <c r="V154" i="6" s="1"/>
  <c r="T660" i="6"/>
  <c r="V660" i="6" s="1"/>
  <c r="T441" i="6"/>
  <c r="V441" i="6" s="1"/>
  <c r="T945" i="6"/>
  <c r="V945" i="6" s="1"/>
  <c r="T243" i="6"/>
  <c r="V243" i="6" s="1"/>
  <c r="T659" i="6"/>
  <c r="V659" i="6" s="1"/>
  <c r="T558" i="6"/>
  <c r="V558" i="6" s="1"/>
  <c r="T579" i="6"/>
  <c r="V579" i="6" s="1"/>
  <c r="T884" i="6"/>
  <c r="V884" i="6" s="1"/>
  <c r="T338" i="6"/>
  <c r="V338" i="6" s="1"/>
  <c r="T610" i="6"/>
  <c r="V610" i="6" s="1"/>
  <c r="T758" i="6"/>
  <c r="V758" i="6" s="1"/>
  <c r="T446" i="6"/>
  <c r="V446" i="6" s="1"/>
  <c r="T797" i="6"/>
  <c r="V797" i="6" s="1"/>
  <c r="M119" i="6"/>
  <c r="M198" i="6"/>
  <c r="M263" i="6"/>
  <c r="M144" i="6"/>
  <c r="M767" i="6"/>
  <c r="M729" i="6"/>
  <c r="M822" i="6"/>
  <c r="M138" i="6"/>
  <c r="M659" i="6"/>
  <c r="M133" i="6"/>
  <c r="M445" i="6"/>
  <c r="M145" i="6"/>
  <c r="M690" i="6"/>
  <c r="M369" i="6"/>
  <c r="M322" i="6"/>
  <c r="M395" i="6"/>
  <c r="M584" i="6"/>
  <c r="M614" i="6"/>
  <c r="M878" i="6"/>
  <c r="M141" i="6"/>
  <c r="M341" i="6"/>
  <c r="M811" i="6"/>
  <c r="M191" i="6"/>
  <c r="M548" i="6"/>
  <c r="M695" i="6"/>
  <c r="M657" i="6"/>
  <c r="M731" i="6"/>
  <c r="M834" i="6"/>
  <c r="M420" i="6"/>
  <c r="M493" i="6"/>
  <c r="M672" i="6"/>
  <c r="M809" i="6"/>
  <c r="M728" i="6"/>
  <c r="M936" i="6"/>
  <c r="M847" i="6"/>
  <c r="M768" i="6"/>
  <c r="M939" i="6"/>
  <c r="M973" i="6"/>
  <c r="M464" i="6"/>
  <c r="M706" i="6"/>
  <c r="M355" i="6"/>
  <c r="M793" i="6"/>
  <c r="M588" i="6"/>
  <c r="M562" i="6"/>
  <c r="M221" i="6"/>
  <c r="M476" i="6"/>
  <c r="M151" i="6"/>
  <c r="M783" i="6"/>
  <c r="M405" i="6"/>
  <c r="M514" i="6"/>
  <c r="M884" i="6"/>
  <c r="M244" i="6"/>
  <c r="M486" i="6"/>
  <c r="M797" i="6"/>
  <c r="M881" i="6"/>
  <c r="M231" i="6"/>
  <c r="M927" i="6"/>
  <c r="M376" i="6"/>
  <c r="M148" i="6"/>
  <c r="M243" i="6"/>
  <c r="M641" i="6"/>
  <c r="M652" i="6"/>
  <c r="M800" i="6"/>
  <c r="M901" i="6"/>
  <c r="M925" i="6"/>
  <c r="M532" i="6"/>
  <c r="M309" i="6"/>
  <c r="M702" i="6"/>
  <c r="M787" i="6"/>
  <c r="M114" i="6"/>
  <c r="M664" i="6"/>
  <c r="L4" i="6"/>
  <c r="S886" i="6"/>
  <c r="W886" i="6" s="1"/>
  <c r="O759" i="6"/>
  <c r="O890" i="6"/>
  <c r="O763" i="6"/>
  <c r="S514" i="6"/>
  <c r="W514" i="6" s="1"/>
  <c r="O842" i="6"/>
  <c r="O761" i="6"/>
  <c r="S888" i="6"/>
  <c r="W888" i="6" s="1"/>
  <c r="O1005" i="6"/>
  <c r="O574" i="6"/>
  <c r="S511" i="6"/>
  <c r="W511" i="6" s="1"/>
  <c r="S644" i="6"/>
  <c r="W644" i="6" s="1"/>
  <c r="S347" i="6"/>
  <c r="W347" i="6" s="1"/>
  <c r="S171" i="6"/>
  <c r="W171" i="6" s="1"/>
  <c r="O173" i="6"/>
  <c r="O597" i="6"/>
  <c r="O333" i="6"/>
  <c r="O496" i="6"/>
  <c r="O965" i="6"/>
  <c r="S756" i="6"/>
  <c r="W756" i="6" s="1"/>
  <c r="S131" i="6"/>
  <c r="W131" i="6" s="1"/>
  <c r="O407" i="6"/>
  <c r="O380" i="6"/>
  <c r="O217" i="6"/>
  <c r="O749" i="6"/>
  <c r="S991" i="6"/>
  <c r="W991" i="6" s="1"/>
  <c r="S245" i="6"/>
  <c r="W245" i="6" s="1"/>
  <c r="S742" i="6"/>
  <c r="W742" i="6" s="1"/>
  <c r="S921" i="6"/>
  <c r="W921" i="6" s="1"/>
  <c r="O616" i="6"/>
  <c r="O676" i="6"/>
  <c r="S780" i="6"/>
  <c r="W780" i="6" s="1"/>
  <c r="O740" i="6"/>
  <c r="S577" i="6"/>
  <c r="W577" i="6" s="1"/>
  <c r="S471" i="6"/>
  <c r="W471" i="6" s="1"/>
  <c r="O624" i="6"/>
  <c r="S118" i="6"/>
  <c r="W118" i="6" s="1"/>
  <c r="S566" i="6"/>
  <c r="W566" i="6" s="1"/>
  <c r="O886" i="6"/>
  <c r="O439" i="6"/>
  <c r="S823" i="6"/>
  <c r="W823" i="6" s="1"/>
  <c r="O464" i="6"/>
  <c r="S200" i="6"/>
  <c r="W200" i="6" s="1"/>
  <c r="S165" i="6"/>
  <c r="W165" i="6" s="1"/>
  <c r="S763" i="6"/>
  <c r="W763" i="6" s="1"/>
  <c r="O636" i="6"/>
  <c r="O651" i="6"/>
  <c r="S160" i="6"/>
  <c r="W160" i="6" s="1"/>
  <c r="S842" i="6"/>
  <c r="W842" i="6" s="1"/>
  <c r="S761" i="6"/>
  <c r="W761" i="6" s="1"/>
  <c r="O883" i="6"/>
  <c r="O541" i="6"/>
  <c r="O632" i="6"/>
  <c r="S1005" i="6"/>
  <c r="W1005" i="6" s="1"/>
  <c r="S254" i="6"/>
  <c r="W254" i="6" s="1"/>
  <c r="S638" i="6"/>
  <c r="W638" i="6" s="1"/>
  <c r="S191" i="6"/>
  <c r="W191" i="6" s="1"/>
  <c r="S639" i="6"/>
  <c r="W639" i="6" s="1"/>
  <c r="O959" i="6"/>
  <c r="O644" i="6"/>
  <c r="S392" i="6"/>
  <c r="W392" i="6" s="1"/>
  <c r="O433" i="6"/>
  <c r="O146" i="6"/>
  <c r="O171" i="6"/>
  <c r="S939" i="6"/>
  <c r="W939" i="6" s="1"/>
  <c r="S312" i="6"/>
  <c r="W312" i="6" s="1"/>
  <c r="O724" i="6"/>
  <c r="S597" i="6"/>
  <c r="W597" i="6" s="1"/>
  <c r="S509" i="6"/>
  <c r="W509" i="6" s="1"/>
  <c r="S333" i="6"/>
  <c r="W333" i="6" s="1"/>
  <c r="O1010" i="6"/>
  <c r="S496" i="6"/>
  <c r="W496" i="6" s="1"/>
  <c r="S113" i="6"/>
  <c r="W113" i="6" s="1"/>
  <c r="S965" i="6"/>
  <c r="W965" i="6" s="1"/>
  <c r="S704" i="6"/>
  <c r="W704" i="6" s="1"/>
  <c r="O756" i="6"/>
  <c r="S659" i="6"/>
  <c r="W659" i="6" s="1"/>
  <c r="O131" i="6"/>
  <c r="S185" i="6"/>
  <c r="W185" i="6" s="1"/>
  <c r="S407" i="6"/>
  <c r="W407" i="6" s="1"/>
  <c r="O762" i="6"/>
  <c r="S380" i="6"/>
  <c r="W380" i="6" s="1"/>
  <c r="O536" i="6"/>
  <c r="O321" i="6"/>
  <c r="S749" i="6"/>
  <c r="W749" i="6" s="1"/>
  <c r="S926" i="6"/>
  <c r="W926" i="6" s="1"/>
  <c r="O991" i="6"/>
  <c r="O389" i="6"/>
  <c r="O244" i="6"/>
  <c r="O728" i="6"/>
  <c r="O870" i="6"/>
  <c r="O571" i="6"/>
  <c r="S300" i="6"/>
  <c r="W300" i="6" s="1"/>
  <c r="O495" i="6"/>
  <c r="O786" i="6"/>
  <c r="O489" i="6"/>
  <c r="O114" i="6"/>
  <c r="O652" i="6"/>
  <c r="O729" i="6"/>
  <c r="O390" i="6"/>
  <c r="O826" i="6"/>
  <c r="S364" i="6"/>
  <c r="W364" i="6" s="1"/>
  <c r="S797" i="6"/>
  <c r="W797" i="6" s="1"/>
  <c r="S783" i="6"/>
  <c r="W783" i="6" s="1"/>
  <c r="O471" i="6"/>
  <c r="S806" i="6"/>
  <c r="W806" i="6" s="1"/>
  <c r="S624" i="6"/>
  <c r="W624" i="6" s="1"/>
  <c r="S438" i="6"/>
  <c r="W438" i="6" s="1"/>
  <c r="S439" i="6"/>
  <c r="W439" i="6" s="1"/>
  <c r="S378" i="6"/>
  <c r="W378" i="6" s="1"/>
  <c r="O165" i="6"/>
  <c r="S466" i="6"/>
  <c r="W466" i="6" s="1"/>
  <c r="S587" i="6"/>
  <c r="W587" i="6" s="1"/>
  <c r="S418" i="6"/>
  <c r="W418" i="6" s="1"/>
  <c r="O952" i="6"/>
  <c r="O254" i="6"/>
  <c r="O127" i="6"/>
  <c r="S959" i="6"/>
  <c r="W959" i="6" s="1"/>
  <c r="S220" i="6"/>
  <c r="W220" i="6" s="1"/>
  <c r="O859" i="6"/>
  <c r="O939" i="6"/>
  <c r="S450" i="6"/>
  <c r="W450" i="6" s="1"/>
  <c r="O509" i="6"/>
  <c r="S1010" i="6"/>
  <c r="W1010" i="6" s="1"/>
  <c r="O113" i="6"/>
  <c r="O704" i="6"/>
  <c r="O659" i="6"/>
  <c r="O185" i="6"/>
  <c r="S592" i="6"/>
  <c r="W592" i="6" s="1"/>
  <c r="S141" i="6"/>
  <c r="W141" i="6" s="1"/>
  <c r="O862" i="6"/>
  <c r="S219" i="6"/>
  <c r="W219" i="6" s="1"/>
  <c r="S728" i="6"/>
  <c r="W728" i="6" s="1"/>
  <c r="S315" i="6"/>
  <c r="W315" i="6" s="1"/>
  <c r="S1006" i="6"/>
  <c r="W1006" i="6" s="1"/>
  <c r="S834" i="6"/>
  <c r="W834" i="6" s="1"/>
  <c r="S737" i="6"/>
  <c r="W737" i="6" s="1"/>
  <c r="S326" i="6"/>
  <c r="W326" i="6" s="1"/>
  <c r="S194" i="6"/>
  <c r="W194" i="6" s="1"/>
  <c r="S463" i="6"/>
  <c r="W463" i="6" s="1"/>
  <c r="O806" i="6"/>
  <c r="O118" i="6"/>
  <c r="O566" i="6"/>
  <c r="S950" i="6"/>
  <c r="W950" i="6" s="1"/>
  <c r="S503" i="6"/>
  <c r="W503" i="6" s="1"/>
  <c r="S951" i="6"/>
  <c r="W951" i="6" s="1"/>
  <c r="S464" i="6"/>
  <c r="W464" i="6" s="1"/>
  <c r="O200" i="6"/>
  <c r="O251" i="6"/>
  <c r="O849" i="6"/>
  <c r="O153" i="6"/>
  <c r="S651" i="6"/>
  <c r="W651" i="6" s="1"/>
  <c r="O160" i="6"/>
  <c r="O970" i="6"/>
  <c r="O972" i="6"/>
  <c r="O915" i="6"/>
  <c r="S541" i="6"/>
  <c r="W541" i="6" s="1"/>
  <c r="S632" i="6"/>
  <c r="W632" i="6" s="1"/>
  <c r="O537" i="6"/>
  <c r="O318" i="6"/>
  <c r="S766" i="6"/>
  <c r="W766" i="6" s="1"/>
  <c r="O191" i="6"/>
  <c r="O639" i="6"/>
  <c r="O132" i="6"/>
  <c r="O730" i="6"/>
  <c r="O732" i="6"/>
  <c r="S433" i="6"/>
  <c r="W433" i="6" s="1"/>
  <c r="S146" i="6"/>
  <c r="W146" i="6" s="1"/>
  <c r="O121" i="6"/>
  <c r="O179" i="6"/>
  <c r="O586" i="6"/>
  <c r="S724" i="6"/>
  <c r="W724" i="6" s="1"/>
  <c r="O819" i="6"/>
  <c r="O946" i="6"/>
  <c r="O692" i="6"/>
  <c r="O458" i="6"/>
  <c r="O580" i="6"/>
  <c r="O197" i="6"/>
  <c r="S360" i="6"/>
  <c r="W360" i="6" s="1"/>
  <c r="O969" i="6"/>
  <c r="O1012" i="6"/>
  <c r="O609" i="6"/>
  <c r="O608" i="6"/>
  <c r="O564" i="6"/>
  <c r="S599" i="6"/>
  <c r="W599" i="6" s="1"/>
  <c r="S932" i="6"/>
  <c r="W932" i="6" s="1"/>
  <c r="O722" i="6"/>
  <c r="S436" i="6"/>
  <c r="W436" i="6" s="1"/>
  <c r="S321" i="6"/>
  <c r="W321" i="6" s="1"/>
  <c r="S221" i="6"/>
  <c r="W221" i="6" s="1"/>
  <c r="O926" i="6"/>
  <c r="O176" i="6"/>
  <c r="O645" i="6"/>
  <c r="S244" i="6"/>
  <c r="W244" i="6" s="1"/>
  <c r="S202" i="6"/>
  <c r="W202" i="6" s="1"/>
  <c r="S870" i="6"/>
  <c r="W870" i="6" s="1"/>
  <c r="S571" i="6"/>
  <c r="W571" i="6" s="1"/>
  <c r="S340" i="6"/>
  <c r="W340" i="6" s="1"/>
  <c r="S495" i="6"/>
  <c r="W495" i="6" s="1"/>
  <c r="S786" i="6"/>
  <c r="W786" i="6" s="1"/>
  <c r="S489" i="6"/>
  <c r="W489" i="6" s="1"/>
  <c r="S114" i="6"/>
  <c r="W114" i="6" s="1"/>
  <c r="O373" i="6"/>
  <c r="O686" i="6"/>
  <c r="S582" i="6"/>
  <c r="W582" i="6" s="1"/>
  <c r="S242" i="6"/>
  <c r="W242" i="6" s="1"/>
  <c r="S193" i="6"/>
  <c r="W193" i="6" s="1"/>
  <c r="O249" i="6"/>
  <c r="O975" i="6"/>
  <c r="O164" i="6"/>
  <c r="O551" i="6"/>
  <c r="O12" i="6"/>
  <c r="S917" i="6"/>
  <c r="W917" i="6" s="1"/>
  <c r="S833" i="6"/>
  <c r="W833" i="6" s="1"/>
  <c r="S956" i="6"/>
  <c r="W956" i="6" s="1"/>
  <c r="S138" i="6"/>
  <c r="W138" i="6" s="1"/>
  <c r="S690" i="6"/>
  <c r="W690" i="6" s="1"/>
  <c r="S815" i="6"/>
  <c r="W815" i="6" s="1"/>
  <c r="O622" i="6"/>
  <c r="S937" i="6"/>
  <c r="W937" i="6" s="1"/>
  <c r="S365" i="6"/>
  <c r="W365" i="6" s="1"/>
  <c r="S396" i="6"/>
  <c r="W396" i="6" s="1"/>
  <c r="S424" i="6"/>
  <c r="W424" i="6" s="1"/>
  <c r="S954" i="6"/>
  <c r="W954" i="6" s="1"/>
  <c r="S551" i="6"/>
  <c r="W551" i="6" s="1"/>
  <c r="S230" i="6"/>
  <c r="W230" i="6" s="1"/>
  <c r="S877" i="6"/>
  <c r="W877" i="6" s="1"/>
  <c r="S898" i="6"/>
  <c r="W898" i="6" s="1"/>
  <c r="S995" i="6"/>
  <c r="W995" i="6" s="1"/>
  <c r="S818" i="6"/>
  <c r="W818" i="6" s="1"/>
  <c r="S585" i="6"/>
  <c r="W585" i="6" s="1"/>
  <c r="S293" i="6"/>
  <c r="W293" i="6" s="1"/>
  <c r="S164" i="6"/>
  <c r="W164" i="6" s="1"/>
  <c r="O918" i="6"/>
  <c r="O150" i="6"/>
  <c r="S137" i="6"/>
  <c r="W137" i="6" s="1"/>
  <c r="S899" i="6"/>
  <c r="W899" i="6" s="1"/>
  <c r="S345" i="6"/>
  <c r="W345" i="6" s="1"/>
  <c r="S700" i="6"/>
  <c r="W700" i="6" s="1"/>
  <c r="O776" i="6"/>
  <c r="S975" i="6"/>
  <c r="W975" i="6" s="1"/>
  <c r="S655" i="6"/>
  <c r="W655" i="6" s="1"/>
  <c r="S399" i="6"/>
  <c r="W399" i="6" s="1"/>
  <c r="S143" i="6"/>
  <c r="W143" i="6" s="1"/>
  <c r="O782" i="6"/>
  <c r="O526" i="6"/>
  <c r="O270" i="6"/>
  <c r="O117" i="6"/>
  <c r="S249" i="6"/>
  <c r="W249" i="6" s="1"/>
  <c r="S361" i="6"/>
  <c r="W361" i="6" s="1"/>
  <c r="O355" i="6"/>
  <c r="O563" i="6"/>
  <c r="S579" i="6"/>
  <c r="W579" i="6" s="1"/>
  <c r="S628" i="6"/>
  <c r="W628" i="6" s="1"/>
  <c r="S596" i="6"/>
  <c r="W596" i="6" s="1"/>
  <c r="S483" i="6"/>
  <c r="W483" i="6" s="1"/>
  <c r="S601" i="6"/>
  <c r="W601" i="6" s="1"/>
  <c r="S896" i="6"/>
  <c r="W896" i="6" s="1"/>
  <c r="S953" i="6"/>
  <c r="W953" i="6" s="1"/>
  <c r="S413" i="6"/>
  <c r="W413" i="6" s="1"/>
  <c r="S850" i="6"/>
  <c r="W850" i="6" s="1"/>
  <c r="S168" i="6"/>
  <c r="W168" i="6" s="1"/>
  <c r="S699" i="6"/>
  <c r="W699" i="6" s="1"/>
  <c r="S357" i="6"/>
  <c r="W357" i="6" s="1"/>
  <c r="S754" i="6"/>
  <c r="W754" i="6" s="1"/>
  <c r="S996" i="6"/>
  <c r="W996" i="6" s="1"/>
  <c r="S656" i="6"/>
  <c r="W656" i="6" s="1"/>
  <c r="S314" i="6"/>
  <c r="W314" i="6" s="1"/>
  <c r="O903" i="6"/>
  <c r="O647" i="6"/>
  <c r="S391" i="6"/>
  <c r="W391" i="6" s="1"/>
  <c r="S135" i="6"/>
  <c r="W135" i="6" s="1"/>
  <c r="S774" i="6"/>
  <c r="W774" i="6" s="1"/>
  <c r="S518" i="6"/>
  <c r="W518" i="6" s="1"/>
  <c r="S262" i="6"/>
  <c r="W262" i="6" s="1"/>
  <c r="S980" i="6"/>
  <c r="W980" i="6" s="1"/>
  <c r="S829" i="6"/>
  <c r="W829" i="6" s="1"/>
  <c r="O416" i="6"/>
  <c r="S444" i="6"/>
  <c r="W444" i="6" s="1"/>
  <c r="S178" i="6"/>
  <c r="W178" i="6" s="1"/>
  <c r="S623" i="6"/>
  <c r="W623" i="6" s="1"/>
  <c r="O430" i="6"/>
  <c r="S524" i="6"/>
  <c r="W524" i="6" s="1"/>
  <c r="S736" i="6"/>
  <c r="W736" i="6" s="1"/>
  <c r="S777" i="6"/>
  <c r="W777" i="6" s="1"/>
  <c r="S913" i="6"/>
  <c r="W913" i="6" s="1"/>
  <c r="S698" i="6"/>
  <c r="W698" i="6" s="1"/>
  <c r="S295" i="6"/>
  <c r="W295" i="6" s="1"/>
  <c r="S864" i="6"/>
  <c r="W864" i="6" s="1"/>
  <c r="S747" i="6"/>
  <c r="W747" i="6" s="1"/>
  <c r="S652" i="6"/>
  <c r="W652" i="6" s="1"/>
  <c r="S572" i="6"/>
  <c r="W572" i="6" s="1"/>
  <c r="S476" i="6"/>
  <c r="W476" i="6" s="1"/>
  <c r="O927" i="6"/>
  <c r="O371" i="6"/>
  <c r="S843" i="6"/>
  <c r="W843" i="6" s="1"/>
  <c r="S717" i="6"/>
  <c r="W717" i="6" s="1"/>
  <c r="S531" i="6"/>
  <c r="W531" i="6" s="1"/>
  <c r="S419" i="6"/>
  <c r="W419" i="6" s="1"/>
  <c r="O277" i="6"/>
  <c r="S274" i="6"/>
  <c r="W274" i="6" s="1"/>
  <c r="S964" i="6"/>
  <c r="W964" i="6" s="1"/>
  <c r="S559" i="6"/>
  <c r="W559" i="6" s="1"/>
  <c r="S366" i="6"/>
  <c r="W366" i="6" s="1"/>
  <c r="O236" i="6"/>
  <c r="S522" i="6"/>
  <c r="W522" i="6" s="1"/>
  <c r="S265" i="6"/>
  <c r="W265" i="6" s="1"/>
  <c r="S741" i="6"/>
  <c r="W741" i="6" s="1"/>
  <c r="O612" i="6"/>
  <c r="S231" i="6"/>
  <c r="W231" i="6" s="1"/>
  <c r="O675" i="6"/>
  <c r="O812" i="6"/>
  <c r="S876" i="6"/>
  <c r="W876" i="6" s="1"/>
  <c r="S461" i="6"/>
  <c r="W461" i="6" s="1"/>
  <c r="S286" i="6"/>
  <c r="W286" i="6" s="1"/>
  <c r="S224" i="6"/>
  <c r="W224" i="6" s="1"/>
  <c r="S626" i="6"/>
  <c r="W626" i="6" s="1"/>
  <c r="O727" i="6"/>
  <c r="O662" i="6"/>
  <c r="O992" i="6"/>
  <c r="S386" i="6"/>
  <c r="W386" i="6" s="1"/>
  <c r="S844" i="6"/>
  <c r="W844" i="6" s="1"/>
  <c r="O397" i="6"/>
  <c r="S188" i="6"/>
  <c r="W188" i="6" s="1"/>
  <c r="O264" i="6"/>
  <c r="S847" i="6"/>
  <c r="W847" i="6" s="1"/>
  <c r="S591" i="6"/>
  <c r="W591" i="6" s="1"/>
  <c r="S335" i="6"/>
  <c r="W335" i="6" s="1"/>
  <c r="S974" i="6"/>
  <c r="W974" i="6" s="1"/>
  <c r="O718" i="6"/>
  <c r="O462" i="6"/>
  <c r="S142" i="6"/>
  <c r="W142" i="6" s="1"/>
  <c r="O643" i="6"/>
  <c r="S716" i="6"/>
  <c r="W716" i="6" s="1"/>
  <c r="S1002" i="6"/>
  <c r="W1002" i="6" s="1"/>
  <c r="S873" i="6"/>
  <c r="W873" i="6" s="1"/>
  <c r="O988" i="6"/>
  <c r="O979" i="6"/>
  <c r="S408" i="6"/>
  <c r="W408" i="6" s="1"/>
  <c r="S376" i="6"/>
  <c r="W376" i="6" s="1"/>
  <c r="O1000" i="6"/>
  <c r="S467" i="6"/>
  <c r="W467" i="6" s="1"/>
  <c r="O640" i="6"/>
  <c r="S821" i="6"/>
  <c r="W821" i="6" s="1"/>
  <c r="S276" i="6"/>
  <c r="W276" i="6" s="1"/>
  <c r="S680" i="6"/>
  <c r="W680" i="6" s="1"/>
  <c r="S955" i="6"/>
  <c r="W955" i="6" s="1"/>
  <c r="S613" i="6"/>
  <c r="W613" i="6" s="1"/>
  <c r="S273" i="6"/>
  <c r="W273" i="6" s="1"/>
  <c r="O584" i="6"/>
  <c r="S912" i="6"/>
  <c r="W912" i="6" s="1"/>
  <c r="S570" i="6"/>
  <c r="W570" i="6" s="1"/>
  <c r="O228" i="6"/>
  <c r="O839" i="6"/>
  <c r="O583" i="6"/>
  <c r="S327" i="6"/>
  <c r="W327" i="6" s="1"/>
  <c r="S966" i="6"/>
  <c r="W966" i="6" s="1"/>
  <c r="S710" i="6"/>
  <c r="W710" i="6" s="1"/>
  <c r="S454" i="6"/>
  <c r="W454" i="6" s="1"/>
  <c r="S198" i="6"/>
  <c r="W198" i="6" s="1"/>
  <c r="S931" i="6"/>
  <c r="W931" i="6" s="1"/>
  <c r="S323" i="6"/>
  <c r="W323" i="6" s="1"/>
  <c r="S554" i="6"/>
  <c r="W554" i="6" s="1"/>
  <c r="S837" i="6"/>
  <c r="W837" i="6" s="1"/>
  <c r="S708" i="6"/>
  <c r="W708" i="6" s="1"/>
  <c r="S367" i="6"/>
  <c r="W367" i="6" s="1"/>
  <c r="S174" i="6"/>
  <c r="W174" i="6" s="1"/>
  <c r="O683" i="6"/>
  <c r="S707" i="6"/>
  <c r="W707" i="6" s="1"/>
  <c r="S755" i="6"/>
  <c r="W755" i="6" s="1"/>
  <c r="S485" i="6"/>
  <c r="W485" i="6" s="1"/>
  <c r="O356" i="6"/>
  <c r="S934" i="6"/>
  <c r="W934" i="6" s="1"/>
  <c r="S906" i="6"/>
  <c r="W906" i="6" s="1"/>
  <c r="S713" i="6"/>
  <c r="W713" i="6" s="1"/>
  <c r="S739" i="6"/>
  <c r="W739" i="6" s="1"/>
  <c r="S901" i="6"/>
  <c r="W901" i="6" s="1"/>
  <c r="S944" i="6"/>
  <c r="W944" i="6" s="1"/>
  <c r="O671" i="6"/>
  <c r="S629" i="6"/>
  <c r="W629" i="6" s="1"/>
  <c r="S771" i="6"/>
  <c r="W771" i="6" s="1"/>
  <c r="O172" i="6"/>
  <c r="O531" i="6"/>
  <c r="O419" i="6"/>
  <c r="S277" i="6"/>
  <c r="W277" i="6" s="1"/>
  <c r="O274" i="6"/>
  <c r="O964" i="6"/>
  <c r="O559" i="6"/>
  <c r="O366" i="6"/>
  <c r="S236" i="6"/>
  <c r="W236" i="6" s="1"/>
  <c r="O522" i="6"/>
  <c r="O265" i="6"/>
  <c r="O741" i="6"/>
  <c r="S612" i="6"/>
  <c r="W612" i="6" s="1"/>
  <c r="O231" i="6"/>
  <c r="S675" i="6"/>
  <c r="W675" i="6" s="1"/>
  <c r="S812" i="6"/>
  <c r="W812" i="6" s="1"/>
  <c r="O876" i="6"/>
  <c r="O461" i="6"/>
  <c r="O286" i="6"/>
  <c r="O224" i="6"/>
  <c r="O626" i="6"/>
  <c r="S727" i="6"/>
  <c r="W727" i="6" s="1"/>
  <c r="S662" i="6"/>
  <c r="W662" i="6" s="1"/>
  <c r="S992" i="6"/>
  <c r="W992" i="6" s="1"/>
  <c r="O386" i="6"/>
  <c r="O844" i="6"/>
  <c r="S397" i="6"/>
  <c r="W397" i="6" s="1"/>
  <c r="O188" i="6"/>
  <c r="S264" i="6"/>
  <c r="W264" i="6" s="1"/>
  <c r="O847" i="6"/>
  <c r="O591" i="6"/>
  <c r="O335" i="6"/>
  <c r="O974" i="6"/>
  <c r="S718" i="6"/>
  <c r="W718" i="6" s="1"/>
  <c r="S462" i="6"/>
  <c r="W462" i="6" s="1"/>
  <c r="O142" i="6"/>
  <c r="S643" i="6"/>
  <c r="W643" i="6" s="1"/>
  <c r="O716" i="6"/>
  <c r="O1002" i="6"/>
  <c r="O873" i="6"/>
  <c r="S988" i="6"/>
  <c r="W988" i="6" s="1"/>
  <c r="S979" i="6"/>
  <c r="W979" i="6" s="1"/>
  <c r="O408" i="6"/>
  <c r="O376" i="6"/>
  <c r="S1000" i="6"/>
  <c r="W1000" i="6" s="1"/>
  <c r="O467" i="6"/>
  <c r="S640" i="6"/>
  <c r="W640" i="6" s="1"/>
  <c r="O821" i="6"/>
  <c r="O276" i="6"/>
  <c r="O680" i="6"/>
  <c r="O955" i="6"/>
  <c r="O613" i="6"/>
  <c r="O273" i="6"/>
  <c r="S584" i="6"/>
  <c r="W584" i="6" s="1"/>
  <c r="O912" i="6"/>
  <c r="O570" i="6"/>
  <c r="S228" i="6"/>
  <c r="W228" i="6" s="1"/>
  <c r="S839" i="6"/>
  <c r="W839" i="6" s="1"/>
  <c r="S583" i="6"/>
  <c r="W583" i="6" s="1"/>
  <c r="O327" i="6"/>
  <c r="O966" i="6"/>
  <c r="O710" i="6"/>
  <c r="O454" i="6"/>
  <c r="O198" i="6"/>
  <c r="O931" i="6"/>
  <c r="O323" i="6"/>
  <c r="O554" i="6"/>
  <c r="O837" i="6"/>
  <c r="O708" i="6"/>
  <c r="O367" i="6"/>
  <c r="O174" i="6"/>
  <c r="S683" i="6"/>
  <c r="W683" i="6" s="1"/>
  <c r="O707" i="6"/>
  <c r="O755" i="6"/>
  <c r="O485" i="6"/>
  <c r="S356" i="6"/>
  <c r="W356" i="6" s="1"/>
  <c r="O934" i="6"/>
  <c r="O906" i="6"/>
  <c r="O713" i="6"/>
  <c r="O739" i="6"/>
  <c r="O901" i="6"/>
  <c r="O944" i="6"/>
  <c r="S671" i="6"/>
  <c r="W671" i="6" s="1"/>
  <c r="O629" i="6"/>
  <c r="O771" i="6"/>
  <c r="S172" i="6"/>
  <c r="W172" i="6" s="1"/>
  <c r="O917" i="6"/>
  <c r="S513" i="6"/>
  <c r="W513" i="6" s="1"/>
  <c r="S753" i="6"/>
  <c r="W753" i="6" s="1"/>
  <c r="O196" i="6"/>
  <c r="O238" i="6"/>
  <c r="O365" i="6"/>
  <c r="S257" i="6"/>
  <c r="W257" i="6" s="1"/>
  <c r="S272" i="6"/>
  <c r="W272" i="6" s="1"/>
  <c r="O550" i="6"/>
  <c r="O725" i="6"/>
  <c r="O995" i="6"/>
  <c r="S227" i="6"/>
  <c r="W227" i="6" s="1"/>
  <c r="S848" i="6"/>
  <c r="W848" i="6" s="1"/>
  <c r="O279" i="6"/>
  <c r="O697" i="6"/>
  <c r="O899" i="6"/>
  <c r="O291" i="6"/>
  <c r="S752" i="6"/>
  <c r="W752" i="6" s="1"/>
  <c r="O719" i="6"/>
  <c r="O271" i="6"/>
  <c r="S782" i="6"/>
  <c r="W782" i="6" s="1"/>
  <c r="O334" i="6"/>
  <c r="S184" i="6"/>
  <c r="W184" i="6" s="1"/>
  <c r="O746" i="6"/>
  <c r="O649" i="6"/>
  <c r="O579" i="6"/>
  <c r="O813" i="6"/>
  <c r="S875" i="6"/>
  <c r="W875" i="6" s="1"/>
  <c r="O193" i="6"/>
  <c r="O684" i="6"/>
  <c r="O850" i="6"/>
  <c r="S785" i="6"/>
  <c r="W785" i="6" s="1"/>
  <c r="S187" i="6"/>
  <c r="W187" i="6" s="1"/>
  <c r="O242" i="6"/>
  <c r="S484" i="6"/>
  <c r="W484" i="6" s="1"/>
  <c r="S903" i="6"/>
  <c r="W903" i="6" s="1"/>
  <c r="O455" i="6"/>
  <c r="S902" i="6"/>
  <c r="W902" i="6" s="1"/>
  <c r="O582" i="6"/>
  <c r="O134" i="6"/>
  <c r="O829" i="6"/>
  <c r="S225" i="6"/>
  <c r="W225" i="6" s="1"/>
  <c r="S282" i="6"/>
  <c r="W282" i="6" s="1"/>
  <c r="S686" i="6"/>
  <c r="W686" i="6" s="1"/>
  <c r="O780" i="6"/>
  <c r="O777" i="6"/>
  <c r="S156" i="6"/>
  <c r="W156" i="6" s="1"/>
  <c r="S614" i="6"/>
  <c r="W614" i="6" s="1"/>
  <c r="S373" i="6"/>
  <c r="W373" i="6" s="1"/>
  <c r="O737" i="6"/>
  <c r="O476" i="6"/>
  <c r="O222" i="6"/>
  <c r="O363" i="6"/>
  <c r="O805" i="6"/>
  <c r="S676" i="6"/>
  <c r="W676" i="6" s="1"/>
  <c r="S215" i="6"/>
  <c r="W215" i="6" s="1"/>
  <c r="S342" i="6"/>
  <c r="W342" i="6" s="1"/>
  <c r="O480" i="6"/>
  <c r="O578" i="6"/>
  <c r="O834" i="6"/>
  <c r="O765" i="6"/>
  <c r="O653" i="6"/>
  <c r="O140" i="6"/>
  <c r="O499" i="6"/>
  <c r="S616" i="6"/>
  <c r="W616" i="6" s="1"/>
  <c r="O581" i="6"/>
  <c r="S520" i="6"/>
  <c r="W520" i="6" s="1"/>
  <c r="O538" i="6"/>
  <c r="O943" i="6"/>
  <c r="O431" i="6"/>
  <c r="S814" i="6"/>
  <c r="W814" i="6" s="1"/>
  <c r="O302" i="6"/>
  <c r="O504" i="6"/>
  <c r="O866" i="6"/>
  <c r="O769" i="6"/>
  <c r="O266" i="6"/>
  <c r="O672" i="6"/>
  <c r="O1011" i="6"/>
  <c r="O120" i="6"/>
  <c r="O827" i="6"/>
  <c r="O229" i="6"/>
  <c r="S868" i="6"/>
  <c r="W868" i="6" s="1"/>
  <c r="O186" i="6"/>
  <c r="O679" i="6"/>
  <c r="O167" i="6"/>
  <c r="O678" i="6"/>
  <c r="O294" i="6"/>
  <c r="S884" i="6"/>
  <c r="W884" i="6" s="1"/>
  <c r="O202" i="6"/>
  <c r="O281" i="6"/>
  <c r="O459" i="6"/>
  <c r="S269" i="6"/>
  <c r="W269" i="6" s="1"/>
  <c r="O513" i="6"/>
  <c r="O753" i="6"/>
  <c r="O815" i="6"/>
  <c r="S289" i="6"/>
  <c r="W289" i="6" s="1"/>
  <c r="S490" i="6"/>
  <c r="W490" i="6" s="1"/>
  <c r="O257" i="6"/>
  <c r="O272" i="6"/>
  <c r="O230" i="6"/>
  <c r="S949" i="6"/>
  <c r="W949" i="6" s="1"/>
  <c r="S914" i="6"/>
  <c r="W914" i="6" s="1"/>
  <c r="O227" i="6"/>
  <c r="O848" i="6"/>
  <c r="S918" i="6"/>
  <c r="W918" i="6" s="1"/>
  <c r="S778" i="6"/>
  <c r="W778" i="6" s="1"/>
  <c r="S792" i="6"/>
  <c r="W792" i="6" s="1"/>
  <c r="S291" i="6"/>
  <c r="W291" i="6" s="1"/>
  <c r="O752" i="6"/>
  <c r="O655" i="6"/>
  <c r="S207" i="6"/>
  <c r="W207" i="6" s="1"/>
  <c r="O654" i="6"/>
  <c r="S334" i="6"/>
  <c r="W334" i="6" s="1"/>
  <c r="O184" i="6"/>
  <c r="O361" i="6"/>
  <c r="S989" i="6"/>
  <c r="W989" i="6" s="1"/>
  <c r="S555" i="6"/>
  <c r="W555" i="6" s="1"/>
  <c r="S813" i="6"/>
  <c r="W813" i="6" s="1"/>
  <c r="O875" i="6"/>
  <c r="O896" i="6"/>
  <c r="S547" i="6"/>
  <c r="W547" i="6" s="1"/>
  <c r="S508" i="6"/>
  <c r="W508" i="6" s="1"/>
  <c r="O785" i="6"/>
  <c r="O187" i="6"/>
  <c r="O996" i="6"/>
  <c r="S400" i="6"/>
  <c r="W400" i="6" s="1"/>
  <c r="O775" i="6"/>
  <c r="S455" i="6"/>
  <c r="W455" i="6" s="1"/>
  <c r="O902" i="6"/>
  <c r="O518" i="6"/>
  <c r="S352" i="6"/>
  <c r="W352" i="6" s="1"/>
  <c r="O299" i="6"/>
  <c r="O225" i="6"/>
  <c r="O282" i="6"/>
  <c r="S430" i="6"/>
  <c r="W430" i="6" s="1"/>
  <c r="S801" i="6"/>
  <c r="W801" i="6" s="1"/>
  <c r="S205" i="6"/>
  <c r="W205" i="6" s="1"/>
  <c r="O156" i="6"/>
  <c r="O614" i="6"/>
  <c r="O747" i="6"/>
  <c r="O192" i="6"/>
  <c r="S688" i="6"/>
  <c r="W688" i="6" s="1"/>
  <c r="S222" i="6"/>
  <c r="W222" i="6" s="1"/>
  <c r="S363" i="6"/>
  <c r="W363" i="6" s="1"/>
  <c r="S465" i="6"/>
  <c r="W465" i="6" s="1"/>
  <c r="S250" i="6"/>
  <c r="W250" i="6" s="1"/>
  <c r="O790" i="6"/>
  <c r="O278" i="6"/>
  <c r="S962" i="6"/>
  <c r="W962" i="6" s="1"/>
  <c r="S714" i="6"/>
  <c r="W714" i="6" s="1"/>
  <c r="S394" i="6"/>
  <c r="W394" i="6" s="1"/>
  <c r="O948" i="6"/>
  <c r="O824" i="6"/>
  <c r="S810" i="6"/>
  <c r="W810" i="6" s="1"/>
  <c r="S362" i="6"/>
  <c r="W362" i="6" s="1"/>
  <c r="O1009" i="6"/>
  <c r="S497" i="6"/>
  <c r="W497" i="6" s="1"/>
  <c r="S348" i="6"/>
  <c r="W348" i="6" s="1"/>
  <c r="S452" i="6"/>
  <c r="W452" i="6" s="1"/>
  <c r="S751" i="6"/>
  <c r="W751" i="6" s="1"/>
  <c r="S303" i="6"/>
  <c r="W303" i="6" s="1"/>
  <c r="O750" i="6"/>
  <c r="S865" i="6"/>
  <c r="W865" i="6" s="1"/>
  <c r="S960" i="6"/>
  <c r="W960" i="6" s="1"/>
  <c r="S427" i="6"/>
  <c r="W427" i="6" s="1"/>
  <c r="S973" i="6"/>
  <c r="W973" i="6" s="1"/>
  <c r="S909" i="6"/>
  <c r="W909" i="6" s="1"/>
  <c r="O259" i="6"/>
  <c r="S889" i="6"/>
  <c r="W889" i="6" s="1"/>
  <c r="S764" i="6"/>
  <c r="W764" i="6" s="1"/>
  <c r="S657" i="6"/>
  <c r="W657" i="6" s="1"/>
  <c r="S668" i="6"/>
  <c r="W668" i="6" s="1"/>
  <c r="S784" i="6"/>
  <c r="W784" i="6" s="1"/>
  <c r="O999" i="6"/>
  <c r="O487" i="6"/>
  <c r="S998" i="6"/>
  <c r="W998" i="6" s="1"/>
  <c r="O269" i="6"/>
  <c r="O956" i="6"/>
  <c r="S325" i="6"/>
  <c r="W325" i="6" s="1"/>
  <c r="S239" i="6"/>
  <c r="W239" i="6" s="1"/>
  <c r="O289" i="6"/>
  <c r="O490" i="6"/>
  <c r="O424" i="6"/>
  <c r="S807" i="6"/>
  <c r="W807" i="6" s="1"/>
  <c r="S372" i="6"/>
  <c r="W372" i="6" s="1"/>
  <c r="O949" i="6"/>
  <c r="O914" i="6"/>
  <c r="O585" i="6"/>
  <c r="S506" i="6"/>
  <c r="W506" i="6" s="1"/>
  <c r="O534" i="6"/>
  <c r="O778" i="6"/>
  <c r="O792" i="6"/>
  <c r="O700" i="6"/>
  <c r="S410" i="6"/>
  <c r="W410" i="6" s="1"/>
  <c r="S527" i="6"/>
  <c r="W527" i="6" s="1"/>
  <c r="O207" i="6"/>
  <c r="S654" i="6"/>
  <c r="W654" i="6" s="1"/>
  <c r="S270" i="6"/>
  <c r="W270" i="6" s="1"/>
  <c r="O696" i="6"/>
  <c r="O797" i="6"/>
  <c r="O989" i="6"/>
  <c r="O555" i="6"/>
  <c r="O596" i="6"/>
  <c r="S738" i="6"/>
  <c r="W738" i="6" s="1"/>
  <c r="O364" i="6"/>
  <c r="O547" i="6"/>
  <c r="O508" i="6"/>
  <c r="O699" i="6"/>
  <c r="S924" i="6"/>
  <c r="W924" i="6" s="1"/>
  <c r="S826" i="6"/>
  <c r="W826" i="6" s="1"/>
  <c r="O400" i="6"/>
  <c r="S775" i="6"/>
  <c r="W775" i="6" s="1"/>
  <c r="O391" i="6"/>
  <c r="S838" i="6"/>
  <c r="W838" i="6" s="1"/>
  <c r="S390" i="6"/>
  <c r="W390" i="6" s="1"/>
  <c r="O352" i="6"/>
  <c r="S299" i="6"/>
  <c r="W299" i="6" s="1"/>
  <c r="O444" i="6"/>
  <c r="S879" i="6"/>
  <c r="W879" i="6" s="1"/>
  <c r="S729" i="6"/>
  <c r="W729" i="6" s="1"/>
  <c r="O801" i="6"/>
  <c r="O205" i="6"/>
  <c r="O698" i="6"/>
  <c r="S166" i="6"/>
  <c r="W166" i="6" s="1"/>
  <c r="S681" i="6"/>
  <c r="W681" i="6" s="1"/>
  <c r="S192" i="6"/>
  <c r="W192" i="6" s="1"/>
  <c r="O688" i="6"/>
  <c r="S371" i="6"/>
  <c r="W371" i="6" s="1"/>
  <c r="O435" i="6"/>
  <c r="O465" i="6"/>
  <c r="O250" i="6"/>
  <c r="S790" i="6"/>
  <c r="W790" i="6" s="1"/>
  <c r="S278" i="6"/>
  <c r="W278" i="6" s="1"/>
  <c r="O962" i="6"/>
  <c r="O714" i="6"/>
  <c r="O394" i="6"/>
  <c r="S948" i="6"/>
  <c r="W948" i="6" s="1"/>
  <c r="S824" i="6"/>
  <c r="W824" i="6" s="1"/>
  <c r="O810" i="6"/>
  <c r="O362" i="6"/>
  <c r="S1009" i="6"/>
  <c r="W1009" i="6" s="1"/>
  <c r="O497" i="6"/>
  <c r="O348" i="6"/>
  <c r="O452" i="6"/>
  <c r="O751" i="6"/>
  <c r="O303" i="6"/>
  <c r="S750" i="6"/>
  <c r="W750" i="6" s="1"/>
  <c r="O865" i="6"/>
  <c r="O960" i="6"/>
  <c r="O427" i="6"/>
  <c r="O973" i="6"/>
  <c r="O909" i="6"/>
  <c r="S259" i="6"/>
  <c r="W259" i="6" s="1"/>
  <c r="O889" i="6"/>
  <c r="O764" i="6"/>
  <c r="O657" i="6"/>
  <c r="O668" i="6"/>
  <c r="O784" i="6"/>
  <c r="S999" i="6"/>
  <c r="W999" i="6" s="1"/>
  <c r="S487" i="6"/>
  <c r="W487" i="6" s="1"/>
  <c r="O998" i="6"/>
  <c r="S268" i="6"/>
  <c r="W268" i="6" s="1"/>
  <c r="O633" i="6"/>
  <c r="O878" i="6"/>
  <c r="S341" i="6"/>
  <c r="W341" i="6" s="1"/>
  <c r="S145" i="6"/>
  <c r="W145" i="6" s="1"/>
  <c r="O372" i="6"/>
  <c r="S985" i="6"/>
  <c r="W985" i="6" s="1"/>
  <c r="O210" i="6"/>
  <c r="S279" i="6"/>
  <c r="W279" i="6" s="1"/>
  <c r="O617" i="6"/>
  <c r="S709" i="6"/>
  <c r="W709" i="6" s="1"/>
  <c r="O783" i="6"/>
  <c r="O910" i="6"/>
  <c r="S398" i="6"/>
  <c r="W398" i="6" s="1"/>
  <c r="O308" i="6"/>
  <c r="S563" i="6"/>
  <c r="W563" i="6" s="1"/>
  <c r="S130" i="6"/>
  <c r="W130" i="6" s="1"/>
  <c r="O601" i="6"/>
  <c r="S684" i="6"/>
  <c r="W684" i="6" s="1"/>
  <c r="O168" i="6"/>
  <c r="O924" i="6"/>
  <c r="O656" i="6"/>
  <c r="S711" i="6"/>
  <c r="W711" i="6" s="1"/>
  <c r="O135" i="6"/>
  <c r="O326" i="6"/>
  <c r="O384" i="6"/>
  <c r="O860" i="6"/>
  <c r="S916" i="6"/>
  <c r="W916" i="6" s="1"/>
  <c r="O533" i="6"/>
  <c r="O615" i="6"/>
  <c r="O681" i="6"/>
  <c r="S305" i="6"/>
  <c r="W305" i="6" s="1"/>
  <c r="O665" i="6"/>
  <c r="S805" i="6"/>
  <c r="W805" i="6" s="1"/>
  <c r="S535" i="6"/>
  <c r="W535" i="6" s="1"/>
  <c r="S387" i="6"/>
  <c r="W387" i="6" s="1"/>
  <c r="O1003" i="6"/>
  <c r="O853" i="6"/>
  <c r="S653" i="6"/>
  <c r="W653" i="6" s="1"/>
  <c r="S907" i="6"/>
  <c r="W907" i="6" s="1"/>
  <c r="S923" i="6"/>
  <c r="W923" i="6" s="1"/>
  <c r="O155" i="6"/>
  <c r="O368" i="6"/>
  <c r="S431" i="6"/>
  <c r="W431" i="6" s="1"/>
  <c r="O494" i="6"/>
  <c r="S905" i="6"/>
  <c r="W905" i="6" s="1"/>
  <c r="O340" i="6"/>
  <c r="O605" i="6"/>
  <c r="S1011" i="6"/>
  <c r="W1011" i="6" s="1"/>
  <c r="S997" i="6"/>
  <c r="W997" i="6" s="1"/>
  <c r="S498" i="6"/>
  <c r="W498" i="6" s="1"/>
  <c r="O442" i="6"/>
  <c r="O423" i="6"/>
  <c r="S678" i="6"/>
  <c r="W678" i="6" s="1"/>
  <c r="O256" i="6"/>
  <c r="S472" i="6"/>
  <c r="W472" i="6" s="1"/>
  <c r="O288" i="6"/>
  <c r="S491" i="6"/>
  <c r="W491" i="6" s="1"/>
  <c r="S928" i="6"/>
  <c r="W928" i="6" s="1"/>
  <c r="S468" i="6"/>
  <c r="W468" i="6" s="1"/>
  <c r="S329" i="6"/>
  <c r="W329" i="6" s="1"/>
  <c r="S232" i="6"/>
  <c r="W232" i="6" s="1"/>
  <c r="S475" i="6"/>
  <c r="W475" i="6" s="1"/>
  <c r="S648" i="6"/>
  <c r="W648" i="6" s="1"/>
  <c r="O772" i="6"/>
  <c r="O260" i="6"/>
  <c r="O799" i="6"/>
  <c r="S479" i="6"/>
  <c r="W479" i="6" s="1"/>
  <c r="O159" i="6"/>
  <c r="O798" i="6"/>
  <c r="O542" i="6"/>
  <c r="S158" i="6"/>
  <c r="W158" i="6" s="1"/>
  <c r="O320" i="6"/>
  <c r="S852" i="6"/>
  <c r="W852" i="6" s="1"/>
  <c r="S409" i="6"/>
  <c r="W409" i="6" s="1"/>
  <c r="S674" i="6"/>
  <c r="W674" i="6" s="1"/>
  <c r="O213" i="6"/>
  <c r="S201" i="6"/>
  <c r="W201" i="6" s="1"/>
  <c r="S195" i="6"/>
  <c r="W195" i="6" s="1"/>
  <c r="S637" i="6"/>
  <c r="W637" i="6" s="1"/>
  <c r="S981" i="6"/>
  <c r="W981" i="6" s="1"/>
  <c r="S892" i="6"/>
  <c r="W892" i="6" s="1"/>
  <c r="S891" i="6"/>
  <c r="W891" i="6" s="1"/>
  <c r="S209" i="6"/>
  <c r="W209" i="6" s="1"/>
  <c r="O932" i="6"/>
  <c r="S336" i="6"/>
  <c r="W336" i="6" s="1"/>
  <c r="O268" i="6"/>
  <c r="O138" i="6"/>
  <c r="S878" i="6"/>
  <c r="W878" i="6" s="1"/>
  <c r="S940" i="6"/>
  <c r="W940" i="6" s="1"/>
  <c r="O145" i="6"/>
  <c r="S445" i="6"/>
  <c r="W445" i="6" s="1"/>
  <c r="O985" i="6"/>
  <c r="S721" i="6"/>
  <c r="W721" i="6" s="1"/>
  <c r="S534" i="6"/>
  <c r="W534" i="6" s="1"/>
  <c r="S115" i="6"/>
  <c r="W115" i="6" s="1"/>
  <c r="O709" i="6"/>
  <c r="S719" i="6"/>
  <c r="W719" i="6" s="1"/>
  <c r="S910" i="6"/>
  <c r="W910" i="6" s="1"/>
  <c r="O947" i="6"/>
  <c r="S308" i="6"/>
  <c r="W308" i="6" s="1"/>
  <c r="S557" i="6"/>
  <c r="W557" i="6" s="1"/>
  <c r="O130" i="6"/>
  <c r="S330" i="6"/>
  <c r="W330" i="6" s="1"/>
  <c r="O413" i="6"/>
  <c r="S869" i="6"/>
  <c r="W869" i="6" s="1"/>
  <c r="O754" i="6"/>
  <c r="O484" i="6"/>
  <c r="S647" i="6"/>
  <c r="W647" i="6" s="1"/>
  <c r="O838" i="6"/>
  <c r="O262" i="6"/>
  <c r="S384" i="6"/>
  <c r="W384" i="6" s="1"/>
  <c r="O178" i="6"/>
  <c r="O916" i="6"/>
  <c r="S594" i="6"/>
  <c r="W594" i="6" s="1"/>
  <c r="S615" i="6"/>
  <c r="W615" i="6" s="1"/>
  <c r="S569" i="6"/>
  <c r="W569" i="6" s="1"/>
  <c r="O305" i="6"/>
  <c r="S682" i="6"/>
  <c r="W682" i="6" s="1"/>
  <c r="S796" i="6"/>
  <c r="W796" i="6" s="1"/>
  <c r="O535" i="6"/>
  <c r="O387" i="6"/>
  <c r="S578" i="6"/>
  <c r="W578" i="6" s="1"/>
  <c r="O994" i="6"/>
  <c r="S685" i="6"/>
  <c r="W685" i="6" s="1"/>
  <c r="O907" i="6"/>
  <c r="O923" i="6"/>
  <c r="O520" i="6"/>
  <c r="S1007" i="6"/>
  <c r="W1007" i="6" s="1"/>
  <c r="S175" i="6"/>
  <c r="W175" i="6" s="1"/>
  <c r="S494" i="6"/>
  <c r="W494" i="6" s="1"/>
  <c r="O905" i="6"/>
  <c r="S769" i="6"/>
  <c r="W769" i="6" s="1"/>
  <c r="S809" i="6"/>
  <c r="W809" i="6" s="1"/>
  <c r="S481" i="6"/>
  <c r="W481" i="6" s="1"/>
  <c r="O997" i="6"/>
  <c r="O498" i="6"/>
  <c r="S186" i="6"/>
  <c r="W186" i="6" s="1"/>
  <c r="O359" i="6"/>
  <c r="S486" i="6"/>
  <c r="W486" i="6" s="1"/>
  <c r="S256" i="6"/>
  <c r="W256" i="6" s="1"/>
  <c r="O203" i="6"/>
  <c r="S288" i="6"/>
  <c r="W288" i="6" s="1"/>
  <c r="S234" i="6"/>
  <c r="W234" i="6" s="1"/>
  <c r="O928" i="6"/>
  <c r="O468" i="6"/>
  <c r="O329" i="6"/>
  <c r="O232" i="6"/>
  <c r="O475" i="6"/>
  <c r="O648" i="6"/>
  <c r="S772" i="6"/>
  <c r="W772" i="6" s="1"/>
  <c r="S260" i="6"/>
  <c r="W260" i="6" s="1"/>
  <c r="S799" i="6"/>
  <c r="W799" i="6" s="1"/>
  <c r="O479" i="6"/>
  <c r="S159" i="6"/>
  <c r="W159" i="6" s="1"/>
  <c r="S798" i="6"/>
  <c r="W798" i="6" s="1"/>
  <c r="S542" i="6"/>
  <c r="W542" i="6" s="1"/>
  <c r="O158" i="6"/>
  <c r="S320" i="6"/>
  <c r="W320" i="6" s="1"/>
  <c r="O852" i="6"/>
  <c r="O409" i="6"/>
  <c r="O674" i="6"/>
  <c r="S213" i="6"/>
  <c r="W213" i="6" s="1"/>
  <c r="O201" i="6"/>
  <c r="O195" i="6"/>
  <c r="O637" i="6"/>
  <c r="O981" i="6"/>
  <c r="O892" i="6"/>
  <c r="O891" i="6"/>
  <c r="O833" i="6"/>
  <c r="O325" i="6"/>
  <c r="S622" i="6"/>
  <c r="W622" i="6" s="1"/>
  <c r="O940" i="6"/>
  <c r="O954" i="6"/>
  <c r="O445" i="6"/>
  <c r="S987" i="6"/>
  <c r="W987" i="6" s="1"/>
  <c r="O721" i="6"/>
  <c r="O406" i="6"/>
  <c r="O115" i="6"/>
  <c r="S369" i="6"/>
  <c r="W369" i="6" s="1"/>
  <c r="O527" i="6"/>
  <c r="O846" i="6"/>
  <c r="S947" i="6"/>
  <c r="W947" i="6" s="1"/>
  <c r="S746" i="6"/>
  <c r="W746" i="6" s="1"/>
  <c r="O557" i="6"/>
  <c r="S129" i="6"/>
  <c r="W129" i="6" s="1"/>
  <c r="O330" i="6"/>
  <c r="S139" i="6"/>
  <c r="W139" i="6" s="1"/>
  <c r="O869" i="6"/>
  <c r="S412" i="6"/>
  <c r="W412" i="6" s="1"/>
  <c r="O314" i="6"/>
  <c r="O519" i="6"/>
  <c r="O774" i="6"/>
  <c r="S134" i="6"/>
  <c r="W134" i="6" s="1"/>
  <c r="S416" i="6"/>
  <c r="W416" i="6" s="1"/>
  <c r="O879" i="6"/>
  <c r="O524" i="6"/>
  <c r="O594" i="6"/>
  <c r="O295" i="6"/>
  <c r="O569" i="6"/>
  <c r="S346" i="6"/>
  <c r="W346" i="6" s="1"/>
  <c r="O682" i="6"/>
  <c r="O796" i="6"/>
  <c r="O215" i="6"/>
  <c r="S781" i="6"/>
  <c r="W781" i="6" s="1"/>
  <c r="S492" i="6"/>
  <c r="W492" i="6" s="1"/>
  <c r="S994" i="6"/>
  <c r="W994" i="6" s="1"/>
  <c r="O685" i="6"/>
  <c r="S499" i="6"/>
  <c r="W499" i="6" s="1"/>
  <c r="S667" i="6"/>
  <c r="W667" i="6" s="1"/>
  <c r="S880" i="6"/>
  <c r="W880" i="6" s="1"/>
  <c r="O1007" i="6"/>
  <c r="O175" i="6"/>
  <c r="S302" i="6"/>
  <c r="W302" i="6" s="1"/>
  <c r="S469" i="6"/>
  <c r="W469" i="6" s="1"/>
  <c r="O300" i="6"/>
  <c r="O809" i="6"/>
  <c r="O481" i="6"/>
  <c r="S827" i="6"/>
  <c r="W827" i="6" s="1"/>
  <c r="S328" i="6"/>
  <c r="W328" i="6" s="1"/>
  <c r="S935" i="6"/>
  <c r="W935" i="6" s="1"/>
  <c r="S359" i="6"/>
  <c r="W359" i="6" s="1"/>
  <c r="O486" i="6"/>
  <c r="S811" i="6"/>
  <c r="W811" i="6" s="1"/>
  <c r="S203" i="6"/>
  <c r="W203" i="6" s="1"/>
  <c r="S285" i="6"/>
  <c r="W285" i="6" s="1"/>
  <c r="O234" i="6"/>
  <c r="S515" i="6"/>
  <c r="W515" i="6" s="1"/>
  <c r="O245" i="6"/>
  <c r="S237" i="6"/>
  <c r="W237" i="6" s="1"/>
  <c r="S817" i="6"/>
  <c r="W817" i="6" s="1"/>
  <c r="S389" i="6"/>
  <c r="W389" i="6" s="1"/>
  <c r="S306" i="6"/>
  <c r="W306" i="6" s="1"/>
  <c r="S602" i="6"/>
  <c r="W602" i="6" s="1"/>
  <c r="S176" i="6"/>
  <c r="W176" i="6" s="1"/>
  <c r="S735" i="6"/>
  <c r="W735" i="6" s="1"/>
  <c r="O415" i="6"/>
  <c r="S990" i="6"/>
  <c r="W990" i="6" s="1"/>
  <c r="O734" i="6"/>
  <c r="O478" i="6"/>
  <c r="S621" i="6"/>
  <c r="W621" i="6" s="1"/>
  <c r="S802" i="6"/>
  <c r="W802" i="6" s="1"/>
  <c r="S441" i="6"/>
  <c r="W441" i="6" s="1"/>
  <c r="S169" i="6"/>
  <c r="W169" i="6" s="1"/>
  <c r="S217" i="6"/>
  <c r="W217" i="6" s="1"/>
  <c r="O661" i="6"/>
  <c r="S867" i="6"/>
  <c r="W867" i="6" s="1"/>
  <c r="S536" i="6"/>
  <c r="W536" i="6" s="1"/>
  <c r="S500" i="6"/>
  <c r="W500" i="6" s="1"/>
  <c r="S856" i="6"/>
  <c r="W856" i="6" s="1"/>
  <c r="S722" i="6"/>
  <c r="W722" i="6" s="1"/>
  <c r="S635" i="6"/>
  <c r="W635" i="6" s="1"/>
  <c r="S123" i="6"/>
  <c r="W123" i="6" s="1"/>
  <c r="S762" i="6"/>
  <c r="W762" i="6" s="1"/>
  <c r="S545" i="6"/>
  <c r="W545" i="6" s="1"/>
  <c r="S196" i="6"/>
  <c r="W196" i="6" s="1"/>
  <c r="S618" i="6"/>
  <c r="W618" i="6" s="1"/>
  <c r="S550" i="6"/>
  <c r="W550" i="6" s="1"/>
  <c r="S226" i="6"/>
  <c r="W226" i="6" s="1"/>
  <c r="S406" i="6"/>
  <c r="W406" i="6" s="1"/>
  <c r="S841" i="6"/>
  <c r="W841" i="6" s="1"/>
  <c r="O463" i="6"/>
  <c r="O398" i="6"/>
  <c r="O577" i="6"/>
  <c r="O129" i="6"/>
  <c r="O194" i="6"/>
  <c r="O529" i="6"/>
  <c r="S740" i="6"/>
  <c r="W740" i="6" s="1"/>
  <c r="S263" i="6"/>
  <c r="W263" i="6" s="1"/>
  <c r="O980" i="6"/>
  <c r="O411" i="6"/>
  <c r="O736" i="6"/>
  <c r="S871" i="6"/>
  <c r="W871" i="6" s="1"/>
  <c r="O572" i="6"/>
  <c r="O843" i="6"/>
  <c r="S791" i="6"/>
  <c r="W791" i="6" s="1"/>
  <c r="S480" i="6"/>
  <c r="W480" i="6" s="1"/>
  <c r="S853" i="6"/>
  <c r="W853" i="6" s="1"/>
  <c r="S140" i="6"/>
  <c r="W140" i="6" s="1"/>
  <c r="O667" i="6"/>
  <c r="S538" i="6"/>
  <c r="W538" i="6" s="1"/>
  <c r="O1006" i="6"/>
  <c r="S504" i="6"/>
  <c r="W504" i="6" s="1"/>
  <c r="O921" i="6"/>
  <c r="S344" i="6"/>
  <c r="W344" i="6" s="1"/>
  <c r="O315" i="6"/>
  <c r="O743" i="6"/>
  <c r="O742" i="6"/>
  <c r="O425" i="6"/>
  <c r="O285" i="6"/>
  <c r="S298" i="6"/>
  <c r="W298" i="6" s="1"/>
  <c r="S874" i="6"/>
  <c r="W874" i="6" s="1"/>
  <c r="O402" i="6"/>
  <c r="O219" i="6"/>
  <c r="O602" i="6"/>
  <c r="S863" i="6"/>
  <c r="W863" i="6" s="1"/>
  <c r="O287" i="6"/>
  <c r="S862" i="6"/>
  <c r="W862" i="6" s="1"/>
  <c r="S414" i="6"/>
  <c r="W414" i="6" s="1"/>
  <c r="O802" i="6"/>
  <c r="S851" i="6"/>
  <c r="W851" i="6" s="1"/>
  <c r="S216" i="6"/>
  <c r="W216" i="6" s="1"/>
  <c r="O460" i="6"/>
  <c r="O141" i="6"/>
  <c r="O856" i="6"/>
  <c r="O977" i="6"/>
  <c r="O123" i="6"/>
  <c r="O592" i="6"/>
  <c r="O855" i="6"/>
  <c r="S343" i="6"/>
  <c r="W343" i="6" s="1"/>
  <c r="O726" i="6"/>
  <c r="S253" i="6"/>
  <c r="W253" i="6" s="1"/>
  <c r="S800" i="6"/>
  <c r="W800" i="6" s="1"/>
  <c r="S701" i="6"/>
  <c r="W701" i="6" s="1"/>
  <c r="S641" i="6"/>
  <c r="W641" i="6" s="1"/>
  <c r="S437" i="6"/>
  <c r="W437" i="6" s="1"/>
  <c r="S162" i="6"/>
  <c r="W162" i="6" s="1"/>
  <c r="O619" i="6"/>
  <c r="S673" i="6"/>
  <c r="W673" i="6" s="1"/>
  <c r="S565" i="6"/>
  <c r="W565" i="6" s="1"/>
  <c r="O872" i="6"/>
  <c r="S881" i="6"/>
  <c r="W881" i="6" s="1"/>
  <c r="S453" i="6"/>
  <c r="W453" i="6" s="1"/>
  <c r="S604" i="6"/>
  <c r="W604" i="6" s="1"/>
  <c r="S836" i="6"/>
  <c r="W836" i="6" s="1"/>
  <c r="S324" i="6"/>
  <c r="W324" i="6" s="1"/>
  <c r="S206" i="6"/>
  <c r="W206" i="6" s="1"/>
  <c r="S589" i="6"/>
  <c r="W589" i="6" s="1"/>
  <c r="S664" i="6"/>
  <c r="W664" i="6" s="1"/>
  <c r="O978" i="6"/>
  <c r="S267" i="6"/>
  <c r="W267" i="6" s="1"/>
  <c r="S938" i="6"/>
  <c r="W938" i="6" s="1"/>
  <c r="S936" i="6"/>
  <c r="W936" i="6" s="1"/>
  <c r="S385" i="6"/>
  <c r="W385" i="6" s="1"/>
  <c r="S353" i="6"/>
  <c r="W353" i="6" s="1"/>
  <c r="S984" i="6"/>
  <c r="W984" i="6" s="1"/>
  <c r="S449" i="6"/>
  <c r="W449" i="6" s="1"/>
  <c r="S620" i="6"/>
  <c r="W620" i="6" s="1"/>
  <c r="S803" i="6"/>
  <c r="W803" i="6" s="1"/>
  <c r="S258" i="6"/>
  <c r="W258" i="6" s="1"/>
  <c r="S658" i="6"/>
  <c r="W658" i="6" s="1"/>
  <c r="S945" i="6"/>
  <c r="W945" i="6" s="1"/>
  <c r="S603" i="6"/>
  <c r="W603" i="6" s="1"/>
  <c r="S261" i="6"/>
  <c r="W261" i="6" s="1"/>
  <c r="S562" i="6"/>
  <c r="W562" i="6" s="1"/>
  <c r="O900" i="6"/>
  <c r="S560" i="6"/>
  <c r="W560" i="6" s="1"/>
  <c r="S218" i="6"/>
  <c r="W218" i="6" s="1"/>
  <c r="O831" i="6"/>
  <c r="O575" i="6"/>
  <c r="O319" i="6"/>
  <c r="O958" i="6"/>
  <c r="O702" i="6"/>
  <c r="O446" i="6"/>
  <c r="S190" i="6"/>
  <c r="W190" i="6" s="1"/>
  <c r="S963" i="6"/>
  <c r="W963" i="6" s="1"/>
  <c r="S148" i="6"/>
  <c r="W148" i="6" s="1"/>
  <c r="S307" i="6"/>
  <c r="W307" i="6" s="1"/>
  <c r="S301" i="6"/>
  <c r="W301" i="6" s="1"/>
  <c r="S457" i="6"/>
  <c r="W457" i="6" s="1"/>
  <c r="S473" i="6"/>
  <c r="W473" i="6" s="1"/>
  <c r="O576" i="6"/>
  <c r="O544" i="6"/>
  <c r="S417" i="6"/>
  <c r="W417" i="6" s="1"/>
  <c r="S568" i="6"/>
  <c r="W568" i="6" s="1"/>
  <c r="S825" i="6"/>
  <c r="W825" i="6" s="1"/>
  <c r="O925" i="6"/>
  <c r="S377" i="6"/>
  <c r="W377" i="6" s="1"/>
  <c r="S808" i="6"/>
  <c r="W808" i="6" s="1"/>
  <c r="S124" i="6"/>
  <c r="W124" i="6" s="1"/>
  <c r="S677" i="6"/>
  <c r="W677" i="6" s="1"/>
  <c r="S337" i="6"/>
  <c r="W337" i="6" s="1"/>
  <c r="O712" i="6"/>
  <c r="S976" i="6"/>
  <c r="W976" i="6" s="1"/>
  <c r="S634" i="6"/>
  <c r="W634" i="6" s="1"/>
  <c r="O292" i="6"/>
  <c r="O887" i="6"/>
  <c r="O631" i="6"/>
  <c r="O375" i="6"/>
  <c r="S119" i="6"/>
  <c r="W119" i="6" s="1"/>
  <c r="O758" i="6"/>
  <c r="O502" i="6"/>
  <c r="O246" i="6"/>
  <c r="O545" i="6"/>
  <c r="O239" i="6"/>
  <c r="O618" i="6"/>
  <c r="O877" i="6"/>
  <c r="O226" i="6"/>
  <c r="S150" i="6"/>
  <c r="W150" i="6" s="1"/>
  <c r="O841" i="6"/>
  <c r="O399" i="6"/>
  <c r="O512" i="6"/>
  <c r="S355" i="6"/>
  <c r="W355" i="6" s="1"/>
  <c r="O757" i="6"/>
  <c r="O953" i="6"/>
  <c r="S443" i="6"/>
  <c r="W443" i="6" s="1"/>
  <c r="S144" i="6"/>
  <c r="W144" i="6" s="1"/>
  <c r="S199" i="6"/>
  <c r="W199" i="6" s="1"/>
  <c r="S920" i="6"/>
  <c r="W920" i="6" s="1"/>
  <c r="S860" i="6"/>
  <c r="W860" i="6" s="1"/>
  <c r="O331" i="6"/>
  <c r="O166" i="6"/>
  <c r="S561" i="6"/>
  <c r="W561" i="6" s="1"/>
  <c r="S435" i="6"/>
  <c r="W435" i="6" s="1"/>
  <c r="O791" i="6"/>
  <c r="S556" i="6"/>
  <c r="W556" i="6" s="1"/>
  <c r="S765" i="6"/>
  <c r="W765" i="6" s="1"/>
  <c r="O128" i="6"/>
  <c r="S581" i="6"/>
  <c r="W581" i="6" s="1"/>
  <c r="S368" i="6"/>
  <c r="W368" i="6" s="1"/>
  <c r="O814" i="6"/>
  <c r="O469" i="6"/>
  <c r="S266" i="6"/>
  <c r="W266" i="6" s="1"/>
  <c r="O344" i="6"/>
  <c r="S229" i="6"/>
  <c r="W229" i="6" s="1"/>
  <c r="S743" i="6"/>
  <c r="W743" i="6" s="1"/>
  <c r="S422" i="6"/>
  <c r="W422" i="6" s="1"/>
  <c r="O884" i="6"/>
  <c r="S281" i="6"/>
  <c r="W281" i="6" s="1"/>
  <c r="O298" i="6"/>
  <c r="O874" i="6"/>
  <c r="O817" i="6"/>
  <c r="S133" i="6"/>
  <c r="W133" i="6" s="1"/>
  <c r="O516" i="6"/>
  <c r="O863" i="6"/>
  <c r="S287" i="6"/>
  <c r="W287" i="6" s="1"/>
  <c r="S734" i="6"/>
  <c r="W734" i="6" s="1"/>
  <c r="O350" i="6"/>
  <c r="S832" i="6"/>
  <c r="W832" i="6" s="1"/>
  <c r="O851" i="6"/>
  <c r="O216" i="6"/>
  <c r="O867" i="6"/>
  <c r="S908" i="6"/>
  <c r="W908" i="6" s="1"/>
  <c r="S448" i="6"/>
  <c r="W448" i="6" s="1"/>
  <c r="S977" i="6"/>
  <c r="W977" i="6" s="1"/>
  <c r="O456" i="6"/>
  <c r="O420" i="6"/>
  <c r="S855" i="6"/>
  <c r="W855" i="6" s="1"/>
  <c r="O343" i="6"/>
  <c r="S726" i="6"/>
  <c r="W726" i="6" s="1"/>
  <c r="O253" i="6"/>
  <c r="O800" i="6"/>
  <c r="O701" i="6"/>
  <c r="O641" i="6"/>
  <c r="O437" i="6"/>
  <c r="O162" i="6"/>
  <c r="S619" i="6"/>
  <c r="W619" i="6" s="1"/>
  <c r="O673" i="6"/>
  <c r="O565" i="6"/>
  <c r="S872" i="6"/>
  <c r="W872" i="6" s="1"/>
  <c r="O881" i="6"/>
  <c r="O453" i="6"/>
  <c r="O604" i="6"/>
  <c r="O836" i="6"/>
  <c r="O324" i="6"/>
  <c r="O206" i="6"/>
  <c r="O589" i="6"/>
  <c r="O664" i="6"/>
  <c r="S978" i="6"/>
  <c r="W978" i="6" s="1"/>
  <c r="O267" i="6"/>
  <c r="O938" i="6"/>
  <c r="O936" i="6"/>
  <c r="O385" i="6"/>
  <c r="O353" i="6"/>
  <c r="O984" i="6"/>
  <c r="O449" i="6"/>
  <c r="O620" i="6"/>
  <c r="O803" i="6"/>
  <c r="O258" i="6"/>
  <c r="O658" i="6"/>
  <c r="O945" i="6"/>
  <c r="O603" i="6"/>
  <c r="O261" i="6"/>
  <c r="O562" i="6"/>
  <c r="S900" i="6"/>
  <c r="W900" i="6" s="1"/>
  <c r="O560" i="6"/>
  <c r="O218" i="6"/>
  <c r="S831" i="6"/>
  <c r="W831" i="6" s="1"/>
  <c r="S575" i="6"/>
  <c r="W575" i="6" s="1"/>
  <c r="S319" i="6"/>
  <c r="W319" i="6" s="1"/>
  <c r="S958" i="6"/>
  <c r="W958" i="6" s="1"/>
  <c r="S702" i="6"/>
  <c r="W702" i="6" s="1"/>
  <c r="S446" i="6"/>
  <c r="W446" i="6" s="1"/>
  <c r="O190" i="6"/>
  <c r="O963" i="6"/>
  <c r="O148" i="6"/>
  <c r="O307" i="6"/>
  <c r="O301" i="6"/>
  <c r="O457" i="6"/>
  <c r="O473" i="6"/>
  <c r="S576" i="6"/>
  <c r="W576" i="6" s="1"/>
  <c r="S544" i="6"/>
  <c r="W544" i="6" s="1"/>
  <c r="O417" i="6"/>
  <c r="O568" i="6"/>
  <c r="O825" i="6"/>
  <c r="S925" i="6"/>
  <c r="W925" i="6" s="1"/>
  <c r="O377" i="6"/>
  <c r="O808" i="6"/>
  <c r="O124" i="6"/>
  <c r="O677" i="6"/>
  <c r="O337" i="6"/>
  <c r="S712" i="6"/>
  <c r="W712" i="6" s="1"/>
  <c r="O976" i="6"/>
  <c r="O634" i="6"/>
  <c r="S292" i="6"/>
  <c r="W292" i="6" s="1"/>
  <c r="S887" i="6"/>
  <c r="W887" i="6" s="1"/>
  <c r="S631" i="6"/>
  <c r="W631" i="6" s="1"/>
  <c r="S375" i="6"/>
  <c r="W375" i="6" s="1"/>
  <c r="O119" i="6"/>
  <c r="S758" i="6"/>
  <c r="W758" i="6" s="1"/>
  <c r="S502" i="6"/>
  <c r="W502" i="6" s="1"/>
  <c r="S246" i="6"/>
  <c r="W246" i="6" s="1"/>
  <c r="O937" i="6"/>
  <c r="O401" i="6"/>
  <c r="O293" i="6"/>
  <c r="S776" i="6"/>
  <c r="W776" i="6" s="1"/>
  <c r="S117" i="6"/>
  <c r="W117" i="6" s="1"/>
  <c r="O483" i="6"/>
  <c r="O357" i="6"/>
  <c r="S646" i="6"/>
  <c r="W646" i="6" s="1"/>
  <c r="O942" i="6"/>
  <c r="O660" i="6"/>
  <c r="S552" i="6"/>
  <c r="W552" i="6" s="1"/>
  <c r="S1003" i="6"/>
  <c r="W1003" i="6" s="1"/>
  <c r="S275" i="6"/>
  <c r="W275" i="6" s="1"/>
  <c r="S687" i="6"/>
  <c r="W687" i="6" s="1"/>
  <c r="S779" i="6"/>
  <c r="W779" i="6" s="1"/>
  <c r="S252" i="6"/>
  <c r="W252" i="6" s="1"/>
  <c r="S423" i="6"/>
  <c r="W423" i="6" s="1"/>
  <c r="S440" i="6"/>
  <c r="W440" i="6" s="1"/>
  <c r="S715" i="6"/>
  <c r="W715" i="6" s="1"/>
  <c r="S600" i="6"/>
  <c r="W600" i="6" s="1"/>
  <c r="O306" i="6"/>
  <c r="S607" i="6"/>
  <c r="W607" i="6" s="1"/>
  <c r="S670" i="6"/>
  <c r="W670" i="6" s="1"/>
  <c r="S393" i="6"/>
  <c r="W393" i="6" s="1"/>
  <c r="O693" i="6"/>
  <c r="O650" i="6"/>
  <c r="S309" i="6"/>
  <c r="W309" i="6" s="1"/>
  <c r="S284" i="6"/>
  <c r="W284" i="6" s="1"/>
  <c r="O663" i="6"/>
  <c r="S214" i="6"/>
  <c r="W214" i="6" s="1"/>
  <c r="O820" i="6"/>
  <c r="O147" i="6"/>
  <c r="O521" i="6"/>
  <c r="O212" i="6"/>
  <c r="O530" i="6"/>
  <c r="O283" i="6"/>
  <c r="O666" i="6"/>
  <c r="O897" i="6"/>
  <c r="O248" i="6"/>
  <c r="O595" i="6"/>
  <c r="O493" i="6"/>
  <c r="S280" i="6"/>
  <c r="W280" i="6" s="1"/>
  <c r="S238" i="6"/>
  <c r="W238" i="6" s="1"/>
  <c r="S401" i="6"/>
  <c r="W401" i="6" s="1"/>
  <c r="S725" i="6"/>
  <c r="W725" i="6" s="1"/>
  <c r="S210" i="6"/>
  <c r="W210" i="6" s="1"/>
  <c r="S697" i="6"/>
  <c r="W697" i="6" s="1"/>
  <c r="O369" i="6"/>
  <c r="S271" i="6"/>
  <c r="W271" i="6" s="1"/>
  <c r="S512" i="6"/>
  <c r="W512" i="6" s="1"/>
  <c r="S649" i="6"/>
  <c r="W649" i="6" s="1"/>
  <c r="S757" i="6"/>
  <c r="W757" i="6" s="1"/>
  <c r="O139" i="6"/>
  <c r="O443" i="6"/>
  <c r="O144" i="6"/>
  <c r="O199" i="6"/>
  <c r="O920" i="6"/>
  <c r="O623" i="6"/>
  <c r="S331" i="6"/>
  <c r="W331" i="6" s="1"/>
  <c r="O864" i="6"/>
  <c r="O561" i="6"/>
  <c r="O717" i="6"/>
  <c r="O598" i="6"/>
  <c r="O556" i="6"/>
  <c r="S733" i="6"/>
  <c r="W733" i="6" s="1"/>
  <c r="S128" i="6"/>
  <c r="W128" i="6" s="1"/>
  <c r="S241" i="6"/>
  <c r="W241" i="6" s="1"/>
  <c r="S943" i="6"/>
  <c r="W943" i="6" s="1"/>
  <c r="O558" i="6"/>
  <c r="S866" i="6"/>
  <c r="W866" i="6" s="1"/>
  <c r="S605" i="6"/>
  <c r="W605" i="6" s="1"/>
  <c r="S120" i="6"/>
  <c r="W120" i="6" s="1"/>
  <c r="O328" i="6"/>
  <c r="S679" i="6"/>
  <c r="W679" i="6" s="1"/>
  <c r="O422" i="6"/>
  <c r="O472" i="6"/>
  <c r="O715" i="6"/>
  <c r="O515" i="6"/>
  <c r="O600" i="6"/>
  <c r="S731" i="6"/>
  <c r="W731" i="6" s="1"/>
  <c r="O133" i="6"/>
  <c r="S516" i="6"/>
  <c r="W516" i="6" s="1"/>
  <c r="O735" i="6"/>
  <c r="S223" i="6"/>
  <c r="W223" i="6" s="1"/>
  <c r="O670" i="6"/>
  <c r="S350" i="6"/>
  <c r="W350" i="6" s="1"/>
  <c r="O832" i="6"/>
  <c r="O169" i="6"/>
  <c r="S693" i="6"/>
  <c r="W693" i="6" s="1"/>
  <c r="S650" i="6"/>
  <c r="W650" i="6" s="1"/>
  <c r="O908" i="6"/>
  <c r="O448" i="6"/>
  <c r="O635" i="6"/>
  <c r="S456" i="6"/>
  <c r="W456" i="6" s="1"/>
  <c r="S420" i="6"/>
  <c r="W420" i="6" s="1"/>
  <c r="S663" i="6"/>
  <c r="W663" i="6" s="1"/>
  <c r="S151" i="6"/>
  <c r="W151" i="6" s="1"/>
  <c r="O214" i="6"/>
  <c r="S748" i="6"/>
  <c r="W748" i="6" s="1"/>
  <c r="S820" i="6"/>
  <c r="W820" i="6" s="1"/>
  <c r="S152" i="6"/>
  <c r="W152" i="6" s="1"/>
  <c r="S147" i="6"/>
  <c r="W147" i="6" s="1"/>
  <c r="S163" i="6"/>
  <c r="W163" i="6" s="1"/>
  <c r="S521" i="6"/>
  <c r="W521" i="6" s="1"/>
  <c r="S482" i="6"/>
  <c r="W482" i="6" s="1"/>
  <c r="S212" i="6"/>
  <c r="W212" i="6" s="1"/>
  <c r="O428" i="6"/>
  <c r="S530" i="6"/>
  <c r="W530" i="6" s="1"/>
  <c r="S795" i="6"/>
  <c r="W795" i="6" s="1"/>
  <c r="S283" i="6"/>
  <c r="W283" i="6" s="1"/>
  <c r="S434" i="6"/>
  <c r="W434" i="6" s="1"/>
  <c r="S666" i="6"/>
  <c r="W666" i="6" s="1"/>
  <c r="S240" i="6"/>
  <c r="W240" i="6" s="1"/>
  <c r="S897" i="6"/>
  <c r="W897" i="6" s="1"/>
  <c r="O149" i="6"/>
  <c r="S248" i="6"/>
  <c r="W248" i="6" s="1"/>
  <c r="S768" i="6"/>
  <c r="W768" i="6" s="1"/>
  <c r="S595" i="6"/>
  <c r="W595" i="6" s="1"/>
  <c r="S505" i="6"/>
  <c r="W505" i="6" s="1"/>
  <c r="S493" i="6"/>
  <c r="W493" i="6" s="1"/>
  <c r="O993" i="6"/>
  <c r="S1001" i="6"/>
  <c r="W1001" i="6" s="1"/>
  <c r="S857" i="6"/>
  <c r="W857" i="6" s="1"/>
  <c r="O312" i="6"/>
  <c r="S349" i="6"/>
  <c r="W349" i="6" s="1"/>
  <c r="S669" i="6"/>
  <c r="W669" i="6" s="1"/>
  <c r="S121" i="6"/>
  <c r="W121" i="6" s="1"/>
  <c r="O488" i="6"/>
  <c r="S859" i="6"/>
  <c r="W859" i="6" s="1"/>
  <c r="S517" i="6"/>
  <c r="W517" i="6" s="1"/>
  <c r="S177" i="6"/>
  <c r="W177" i="6" s="1"/>
  <c r="O392" i="6"/>
  <c r="S816" i="6"/>
  <c r="W816" i="6" s="1"/>
  <c r="S474" i="6"/>
  <c r="W474" i="6" s="1"/>
  <c r="S132" i="6"/>
  <c r="W132" i="6" s="1"/>
  <c r="O767" i="6"/>
  <c r="O511" i="6"/>
  <c r="O255" i="6"/>
  <c r="O894" i="6"/>
  <c r="O638" i="6"/>
  <c r="S382" i="6"/>
  <c r="W382" i="6" s="1"/>
  <c r="S126" i="6"/>
  <c r="W126" i="6" s="1"/>
  <c r="S537" i="6"/>
  <c r="W537" i="6" s="1"/>
  <c r="S610" i="6"/>
  <c r="W610" i="6" s="1"/>
  <c r="S952" i="6"/>
  <c r="W952" i="6" s="1"/>
  <c r="O968" i="6"/>
  <c r="O885" i="6"/>
  <c r="S883" i="6"/>
  <c r="W883" i="6" s="1"/>
  <c r="S354" i="6"/>
  <c r="W354" i="6" s="1"/>
  <c r="S322" i="6"/>
  <c r="W322" i="6" s="1"/>
  <c r="S970" i="6"/>
  <c r="W970" i="6" s="1"/>
  <c r="O429" i="6"/>
  <c r="O587" i="6"/>
  <c r="S788" i="6"/>
  <c r="W788" i="6" s="1"/>
  <c r="S243" i="6"/>
  <c r="W243" i="6" s="1"/>
  <c r="S636" i="6"/>
  <c r="W636" i="6" s="1"/>
  <c r="S933" i="6"/>
  <c r="W933" i="6" s="1"/>
  <c r="S593" i="6"/>
  <c r="W593" i="6" s="1"/>
  <c r="S251" i="6"/>
  <c r="W251" i="6" s="1"/>
  <c r="S540" i="6"/>
  <c r="W540" i="6" s="1"/>
  <c r="S890" i="6"/>
  <c r="W890" i="6" s="1"/>
  <c r="O548" i="6"/>
  <c r="S208" i="6"/>
  <c r="W208" i="6" s="1"/>
  <c r="O823" i="6"/>
  <c r="O567" i="6"/>
  <c r="S311" i="6"/>
  <c r="W311" i="6" s="1"/>
  <c r="O950" i="6"/>
  <c r="O694" i="6"/>
  <c r="O438" i="6"/>
  <c r="S182" i="6"/>
  <c r="W182" i="6" s="1"/>
  <c r="O280" i="6"/>
  <c r="O898" i="6"/>
  <c r="O137" i="6"/>
  <c r="O143" i="6"/>
  <c r="S1004" i="6"/>
  <c r="W1004" i="6" s="1"/>
  <c r="S189" i="6"/>
  <c r="W189" i="6" s="1"/>
  <c r="O967" i="6"/>
  <c r="S403" i="6"/>
  <c r="W403" i="6" s="1"/>
  <c r="S533" i="6"/>
  <c r="W533" i="6" s="1"/>
  <c r="O346" i="6"/>
  <c r="S598" i="6"/>
  <c r="W598" i="6" s="1"/>
  <c r="O733" i="6"/>
  <c r="O241" i="6"/>
  <c r="S558" i="6"/>
  <c r="W558" i="6" s="1"/>
  <c r="S672" i="6"/>
  <c r="W672" i="6" s="1"/>
  <c r="O868" i="6"/>
  <c r="S358" i="6"/>
  <c r="W358" i="6" s="1"/>
  <c r="S381" i="6"/>
  <c r="W381" i="6" s="1"/>
  <c r="O731" i="6"/>
  <c r="S432" i="6"/>
  <c r="W432" i="6" s="1"/>
  <c r="O223" i="6"/>
  <c r="O621" i="6"/>
  <c r="S760" i="6"/>
  <c r="W760" i="6" s="1"/>
  <c r="O500" i="6"/>
  <c r="S549" i="6"/>
  <c r="W549" i="6" s="1"/>
  <c r="O336" i="6"/>
  <c r="O151" i="6"/>
  <c r="O748" i="6"/>
  <c r="O152" i="6"/>
  <c r="O163" i="6"/>
  <c r="O482" i="6"/>
  <c r="S428" i="6"/>
  <c r="W428" i="6" s="1"/>
  <c r="O795" i="6"/>
  <c r="O434" i="6"/>
  <c r="O240" i="6"/>
  <c r="S149" i="6"/>
  <c r="W149" i="6" s="1"/>
  <c r="O768" i="6"/>
  <c r="O505" i="6"/>
  <c r="S993" i="6"/>
  <c r="W993" i="6" s="1"/>
  <c r="O182" i="6"/>
  <c r="S630" i="6"/>
  <c r="W630" i="6" s="1"/>
  <c r="O183" i="6"/>
  <c r="O503" i="6"/>
  <c r="O951" i="6"/>
  <c r="S548" i="6"/>
  <c r="W548" i="6" s="1"/>
  <c r="O370" i="6"/>
  <c r="O421" i="6"/>
  <c r="S849" i="6"/>
  <c r="W849" i="6" s="1"/>
  <c r="S153" i="6"/>
  <c r="W153" i="6" s="1"/>
  <c r="O788" i="6"/>
  <c r="O297" i="6"/>
  <c r="O691" i="6"/>
  <c r="S972" i="6"/>
  <c r="W972" i="6" s="1"/>
  <c r="S915" i="6"/>
  <c r="W915" i="6" s="1"/>
  <c r="S968" i="6"/>
  <c r="W968" i="6" s="1"/>
  <c r="O180" i="6"/>
  <c r="O404" i="6"/>
  <c r="S318" i="6"/>
  <c r="W318" i="6" s="1"/>
  <c r="O766" i="6"/>
  <c r="S255" i="6"/>
  <c r="W255" i="6" s="1"/>
  <c r="S703" i="6"/>
  <c r="W703" i="6" s="1"/>
  <c r="O304" i="6"/>
  <c r="S730" i="6"/>
  <c r="W730" i="6" s="1"/>
  <c r="S732" i="6"/>
  <c r="W732" i="6" s="1"/>
  <c r="O517" i="6"/>
  <c r="O316" i="6"/>
  <c r="O395" i="6"/>
  <c r="S179" i="6"/>
  <c r="W179" i="6" s="1"/>
  <c r="S586" i="6"/>
  <c r="W586" i="6" s="1"/>
  <c r="O1001" i="6"/>
  <c r="S819" i="6"/>
  <c r="W819" i="6" s="1"/>
  <c r="S946" i="6"/>
  <c r="W946" i="6" s="1"/>
  <c r="S692" i="6"/>
  <c r="W692" i="6" s="1"/>
  <c r="S458" i="6"/>
  <c r="W458" i="6" s="1"/>
  <c r="S580" i="6"/>
  <c r="W580" i="6" s="1"/>
  <c r="S197" i="6"/>
  <c r="W197" i="6" s="1"/>
  <c r="O360" i="6"/>
  <c r="S969" i="6"/>
  <c r="W969" i="6" s="1"/>
  <c r="S1012" i="6"/>
  <c r="W1012" i="6" s="1"/>
  <c r="S609" i="6"/>
  <c r="W609" i="6" s="1"/>
  <c r="S608" i="6"/>
  <c r="W608" i="6" s="1"/>
  <c r="S564" i="6"/>
  <c r="W564" i="6" s="1"/>
  <c r="O599" i="6"/>
  <c r="O284" i="6"/>
  <c r="O309" i="6"/>
  <c r="O436" i="6"/>
  <c r="O760" i="6"/>
  <c r="O221" i="6"/>
  <c r="O990" i="6"/>
  <c r="O432" i="6"/>
  <c r="S645" i="6"/>
  <c r="W645" i="6" s="1"/>
  <c r="O381" i="6"/>
  <c r="O440" i="6"/>
  <c r="S167" i="6"/>
  <c r="W167" i="6" s="1"/>
  <c r="O252" i="6"/>
  <c r="O779" i="6"/>
  <c r="O687" i="6"/>
  <c r="O275" i="6"/>
  <c r="O492" i="6"/>
  <c r="O552" i="6"/>
  <c r="S660" i="6"/>
  <c r="W660" i="6" s="1"/>
  <c r="S942" i="6"/>
  <c r="W942" i="6" s="1"/>
  <c r="O646" i="6"/>
  <c r="O412" i="6"/>
  <c r="O738" i="6"/>
  <c r="S696" i="6"/>
  <c r="W696" i="6" s="1"/>
  <c r="O410" i="6"/>
  <c r="O506" i="6"/>
  <c r="O807" i="6"/>
  <c r="S633" i="6"/>
  <c r="W633" i="6" s="1"/>
  <c r="T227" i="6"/>
  <c r="V227" i="6" s="1"/>
  <c r="T976" i="6"/>
  <c r="V976" i="6" s="1"/>
  <c r="T680" i="6"/>
  <c r="V680" i="6" s="1"/>
  <c r="T590" i="6"/>
  <c r="V590" i="6" s="1"/>
  <c r="T148" i="6"/>
  <c r="V148" i="6" s="1"/>
  <c r="T1012" i="6"/>
  <c r="V1012" i="6" s="1"/>
  <c r="T795" i="6"/>
  <c r="V795" i="6" s="1"/>
  <c r="T177" i="6"/>
  <c r="V177" i="6" s="1"/>
  <c r="T904" i="6"/>
  <c r="V904" i="6" s="1"/>
  <c r="T226" i="6"/>
  <c r="V226" i="6" s="1"/>
  <c r="T673" i="6"/>
  <c r="V673" i="6" s="1"/>
  <c r="T957" i="6"/>
  <c r="V957" i="6" s="1"/>
  <c r="T745" i="6"/>
  <c r="V745" i="6" s="1"/>
  <c r="T923" i="6"/>
  <c r="V923" i="6" s="1"/>
  <c r="T492" i="6"/>
  <c r="V492" i="6" s="1"/>
  <c r="T669" i="6"/>
  <c r="V669" i="6" s="1"/>
  <c r="T114" i="6"/>
  <c r="V114" i="6" s="1"/>
  <c r="T849" i="6"/>
  <c r="V849" i="6" s="1"/>
  <c r="T539" i="6"/>
  <c r="V539" i="6" s="1"/>
  <c r="T242" i="6"/>
  <c r="V242" i="6" s="1"/>
  <c r="T221" i="6"/>
  <c r="V221" i="6" s="1"/>
  <c r="T618" i="6"/>
  <c r="V618" i="6" s="1"/>
  <c r="T800" i="6"/>
  <c r="V800" i="6" s="1"/>
  <c r="T510" i="6"/>
  <c r="V510" i="6" s="1"/>
  <c r="T640" i="6"/>
  <c r="V640" i="6" s="1"/>
  <c r="T513" i="6"/>
  <c r="V513" i="6" s="1"/>
  <c r="T705" i="6"/>
  <c r="V705" i="6" s="1"/>
  <c r="T454" i="6"/>
  <c r="V454" i="6" s="1"/>
  <c r="T671" i="6"/>
  <c r="V671" i="6" s="1"/>
  <c r="T164" i="6"/>
  <c r="V164" i="6" s="1"/>
  <c r="T989" i="6"/>
  <c r="V989" i="6" s="1"/>
  <c r="T274" i="6"/>
  <c r="V274" i="6" s="1"/>
  <c r="T834" i="6"/>
  <c r="V834" i="6" s="1"/>
  <c r="T341" i="6"/>
  <c r="V341" i="6" s="1"/>
  <c r="T518" i="6"/>
  <c r="V518" i="6" s="1"/>
  <c r="T903" i="6"/>
  <c r="V903" i="6" s="1"/>
  <c r="T906" i="6"/>
  <c r="V906" i="6" s="1"/>
  <c r="T323" i="6"/>
  <c r="V323" i="6" s="1"/>
  <c r="T410" i="6"/>
  <c r="V410" i="6" s="1"/>
  <c r="T971" i="6"/>
  <c r="V971" i="6" s="1"/>
  <c r="T445" i="6"/>
  <c r="V445" i="6" s="1"/>
  <c r="T472" i="6"/>
  <c r="V472" i="6" s="1"/>
  <c r="T386" i="6"/>
  <c r="V386" i="6" s="1"/>
  <c r="T598" i="6"/>
  <c r="V598" i="6" s="1"/>
  <c r="T393" i="6"/>
  <c r="V393" i="6" s="1"/>
  <c r="T955" i="6"/>
  <c r="V955" i="6" s="1"/>
  <c r="T464" i="6"/>
  <c r="V464" i="6" s="1"/>
  <c r="T218" i="6"/>
  <c r="V218" i="6" s="1"/>
  <c r="T527" i="6"/>
  <c r="V527" i="6" s="1"/>
  <c r="T477" i="6"/>
  <c r="V477" i="6" s="1"/>
  <c r="T237" i="6"/>
  <c r="V237" i="6" s="1"/>
  <c r="T165" i="6"/>
  <c r="V165" i="6" s="1"/>
  <c r="T926" i="6"/>
  <c r="V926" i="6" s="1"/>
  <c r="T601" i="6"/>
  <c r="V601" i="6" s="1"/>
  <c r="T328" i="6"/>
  <c r="V328" i="6" s="1"/>
  <c r="T818" i="6"/>
  <c r="V818" i="6" s="1"/>
  <c r="T184" i="6"/>
  <c r="V184" i="6" s="1"/>
  <c r="T486" i="6"/>
  <c r="V486" i="6" s="1"/>
  <c r="T807" i="6"/>
  <c r="V807" i="6" s="1"/>
  <c r="T589" i="6"/>
  <c r="V589" i="6" s="1"/>
  <c r="T257" i="6"/>
  <c r="V257" i="6" s="1"/>
  <c r="T985" i="6"/>
  <c r="V985" i="6" s="1"/>
  <c r="T878" i="6"/>
  <c r="V878" i="6" s="1"/>
  <c r="T448" i="6"/>
  <c r="V448" i="6" s="1"/>
  <c r="T309" i="6"/>
  <c r="V309" i="6" s="1"/>
  <c r="T121" i="6"/>
  <c r="V121" i="6" s="1"/>
  <c r="T1001" i="6"/>
  <c r="V1001" i="6" s="1"/>
  <c r="T951" i="6"/>
  <c r="V951" i="6" s="1"/>
  <c r="T930" i="6"/>
  <c r="V930" i="6" s="1"/>
  <c r="T387" i="6"/>
  <c r="V387" i="6" s="1"/>
  <c r="T708" i="6"/>
  <c r="V708" i="6" s="1"/>
  <c r="T653" i="6"/>
  <c r="V653" i="6" s="1"/>
  <c r="T297" i="6"/>
  <c r="V297" i="6" s="1"/>
  <c r="T174" i="6"/>
  <c r="V174" i="6" s="1"/>
  <c r="T960" i="6"/>
  <c r="V960" i="6" s="1"/>
  <c r="T1008" i="6"/>
  <c r="V1008" i="6" s="1"/>
  <c r="T248" i="6"/>
  <c r="V248" i="6" s="1"/>
  <c r="T556" i="6"/>
  <c r="V556" i="6" s="1"/>
  <c r="T702" i="6"/>
  <c r="V702" i="6" s="1"/>
  <c r="T575" i="6"/>
  <c r="V575" i="6" s="1"/>
  <c r="T810" i="6"/>
  <c r="V810" i="6" s="1"/>
  <c r="T941" i="6"/>
  <c r="V941" i="6" s="1"/>
  <c r="T875" i="6"/>
  <c r="V875" i="6" s="1"/>
  <c r="T264" i="6"/>
  <c r="V264" i="6" s="1"/>
  <c r="T949" i="6"/>
  <c r="V949" i="6" s="1"/>
  <c r="T258" i="6"/>
  <c r="V258" i="6" s="1"/>
  <c r="T567" i="6"/>
  <c r="V567" i="6" s="1"/>
  <c r="T709" i="6"/>
  <c r="V709" i="6" s="1"/>
  <c r="T215" i="6"/>
  <c r="V215" i="6" s="1"/>
  <c r="T681" i="6"/>
  <c r="V681" i="6" s="1"/>
  <c r="T244" i="6"/>
  <c r="V244" i="6" s="1"/>
  <c r="T929" i="6"/>
  <c r="V929" i="6" s="1"/>
  <c r="T139" i="6"/>
  <c r="V139" i="6" s="1"/>
  <c r="T939" i="6"/>
  <c r="V939" i="6" s="1"/>
  <c r="T820" i="6"/>
  <c r="V820" i="6" s="1"/>
  <c r="T132" i="6"/>
  <c r="V132" i="6" s="1"/>
  <c r="T761" i="6"/>
  <c r="V761" i="6" s="1"/>
  <c r="T944" i="6"/>
  <c r="V944" i="6" s="1"/>
  <c r="T171" i="6"/>
  <c r="V171" i="6" s="1"/>
  <c r="T422" i="6"/>
  <c r="V422" i="6" s="1"/>
  <c r="T683" i="6"/>
  <c r="V683" i="6" s="1"/>
  <c r="T1007" i="6"/>
  <c r="V1007" i="6" s="1"/>
  <c r="T547" i="6"/>
  <c r="V547" i="6" s="1"/>
  <c r="T887" i="6"/>
  <c r="V887" i="6" s="1"/>
  <c r="T981" i="6"/>
  <c r="V981" i="6" s="1"/>
  <c r="T768" i="6"/>
  <c r="V768" i="6" s="1"/>
  <c r="T827" i="6"/>
  <c r="V827" i="6" s="1"/>
  <c r="T691" i="6"/>
  <c r="V691" i="6" s="1"/>
  <c r="T984" i="6"/>
  <c r="V984" i="6" s="1"/>
  <c r="T511" i="6"/>
  <c r="V511" i="6" s="1"/>
  <c r="T844" i="6"/>
  <c r="V844" i="6" s="1"/>
  <c r="T717" i="6"/>
  <c r="V717" i="6" s="1"/>
  <c r="T901" i="6"/>
  <c r="V901" i="6" s="1"/>
  <c r="T950" i="6"/>
  <c r="V950" i="6" s="1"/>
  <c r="T320" i="6"/>
  <c r="V320" i="6" s="1"/>
  <c r="T582" i="6"/>
  <c r="V582" i="6" s="1"/>
  <c r="T967" i="6"/>
  <c r="V967" i="6" s="1"/>
  <c r="T272" i="6"/>
  <c r="V272" i="6" s="1"/>
  <c r="T517" i="6"/>
  <c r="V517" i="6" s="1"/>
  <c r="T740" i="6"/>
  <c r="V740" i="6" s="1"/>
  <c r="T595" i="6"/>
  <c r="V595" i="6" s="1"/>
  <c r="T600" i="6"/>
  <c r="V600" i="6" s="1"/>
  <c r="T937" i="6"/>
  <c r="V937" i="6" s="1"/>
  <c r="T1009" i="6"/>
  <c r="V1009" i="6" s="1"/>
  <c r="T726" i="6"/>
  <c r="V726" i="6" s="1"/>
  <c r="T491" i="6"/>
  <c r="V491" i="6" s="1"/>
  <c r="T153" i="6"/>
  <c r="V153" i="6" s="1"/>
  <c r="T933" i="6"/>
  <c r="V933" i="6" s="1"/>
  <c r="T376" i="6"/>
  <c r="V376" i="6" s="1"/>
  <c r="T655" i="6"/>
  <c r="V655" i="6" s="1"/>
  <c r="T674" i="6"/>
  <c r="V674" i="6" s="1"/>
  <c r="T433" i="6"/>
  <c r="V433" i="6" s="1"/>
  <c r="T789" i="6"/>
  <c r="V789" i="6" s="1"/>
  <c r="T990" i="6"/>
  <c r="V990" i="6" s="1"/>
  <c r="T284" i="6"/>
  <c r="V284" i="6" s="1"/>
  <c r="T484" i="6"/>
  <c r="V484" i="6" s="1"/>
  <c r="T240" i="6"/>
  <c r="V240" i="6" s="1"/>
  <c r="T805" i="6"/>
  <c r="V805" i="6" s="1"/>
  <c r="T614" i="6"/>
  <c r="V614" i="6" s="1"/>
  <c r="T999" i="6"/>
  <c r="V999" i="6" s="1"/>
  <c r="T785" i="6"/>
  <c r="V785" i="6" s="1"/>
  <c r="T412" i="6"/>
  <c r="V412" i="6" s="1"/>
  <c r="T925" i="6"/>
  <c r="V925" i="6" s="1"/>
  <c r="T942" i="6"/>
  <c r="V942" i="6" s="1"/>
  <c r="T704" i="6"/>
  <c r="V704" i="6" s="1"/>
  <c r="T408" i="6"/>
  <c r="V408" i="6" s="1"/>
  <c r="T434" i="6"/>
  <c r="V434" i="6" s="1"/>
  <c r="T696" i="6"/>
  <c r="V696" i="6" s="1"/>
  <c r="T116" i="6"/>
  <c r="V116" i="6" s="1"/>
  <c r="T613" i="6"/>
  <c r="V613" i="6" s="1"/>
  <c r="T697" i="6"/>
  <c r="V697" i="6" s="1"/>
  <c r="T189" i="6"/>
  <c r="V189" i="6" s="1"/>
  <c r="T550" i="6"/>
  <c r="V550" i="6" s="1"/>
  <c r="T688" i="6"/>
  <c r="V688" i="6" s="1"/>
  <c r="T430" i="6"/>
  <c r="V430" i="6" s="1"/>
  <c r="T332" i="6"/>
  <c r="V332" i="6" s="1"/>
  <c r="T793" i="6"/>
  <c r="V793" i="6" s="1"/>
  <c r="T419" i="6"/>
  <c r="V419" i="6" s="1"/>
  <c r="T813" i="6"/>
  <c r="V813" i="6" s="1"/>
  <c r="T830" i="6"/>
  <c r="V830" i="6" s="1"/>
  <c r="T639" i="6"/>
  <c r="V639" i="6" s="1"/>
  <c r="T896" i="6"/>
  <c r="V896" i="6" s="1"/>
  <c r="T409" i="6"/>
  <c r="V409" i="6" s="1"/>
  <c r="T546" i="6"/>
  <c r="V546" i="6" s="1"/>
  <c r="T730" i="6"/>
  <c r="V730" i="6" s="1"/>
  <c r="G113" i="6"/>
  <c r="G121" i="6"/>
  <c r="G129" i="6"/>
  <c r="G137" i="6"/>
  <c r="G145" i="6"/>
  <c r="G153" i="6"/>
  <c r="G161" i="6"/>
  <c r="G169" i="6"/>
  <c r="G177" i="6"/>
  <c r="G185" i="6"/>
  <c r="G193" i="6"/>
  <c r="G201" i="6"/>
  <c r="G209" i="6"/>
  <c r="G217" i="6"/>
  <c r="G225" i="6"/>
  <c r="G233" i="6"/>
  <c r="G241" i="6"/>
  <c r="G249" i="6"/>
  <c r="G257" i="6"/>
  <c r="G265" i="6"/>
  <c r="G273" i="6"/>
  <c r="G281" i="6"/>
  <c r="G289" i="6"/>
  <c r="G297" i="6"/>
  <c r="G305" i="6"/>
  <c r="G313" i="6"/>
  <c r="G321" i="6"/>
  <c r="G329" i="6"/>
  <c r="G337" i="6"/>
  <c r="G345" i="6"/>
  <c r="G353" i="6"/>
  <c r="G361" i="6"/>
  <c r="G369" i="6"/>
  <c r="G377" i="6"/>
  <c r="G385" i="6"/>
  <c r="G393" i="6"/>
  <c r="G401" i="6"/>
  <c r="G409" i="6"/>
  <c r="G417" i="6"/>
  <c r="G425" i="6"/>
  <c r="G433" i="6"/>
  <c r="G441" i="6"/>
  <c r="G449" i="6"/>
  <c r="G457" i="6"/>
  <c r="G465" i="6"/>
  <c r="G473" i="6"/>
  <c r="G481" i="6"/>
  <c r="G489" i="6"/>
  <c r="G497" i="6"/>
  <c r="G505" i="6"/>
  <c r="G513" i="6"/>
  <c r="G521" i="6"/>
  <c r="G529" i="6"/>
  <c r="G537" i="6"/>
  <c r="G545" i="6"/>
  <c r="G553" i="6"/>
  <c r="G561" i="6"/>
  <c r="G569" i="6"/>
  <c r="G577" i="6"/>
  <c r="G585" i="6"/>
  <c r="G593" i="6"/>
  <c r="G601" i="6"/>
  <c r="G609" i="6"/>
  <c r="G617" i="6"/>
  <c r="G625" i="6"/>
  <c r="G633" i="6"/>
  <c r="G641" i="6"/>
  <c r="G649" i="6"/>
  <c r="G657" i="6"/>
  <c r="G665" i="6"/>
  <c r="G673" i="6"/>
  <c r="G681" i="6"/>
  <c r="G689" i="6"/>
  <c r="G697" i="6"/>
  <c r="G705" i="6"/>
  <c r="G713" i="6"/>
  <c r="G721" i="6"/>
  <c r="G729" i="6"/>
  <c r="G737" i="6"/>
  <c r="G745" i="6"/>
  <c r="G753" i="6"/>
  <c r="G761" i="6"/>
  <c r="G769" i="6"/>
  <c r="G777" i="6"/>
  <c r="G785" i="6"/>
  <c r="G114" i="6"/>
  <c r="G122" i="6"/>
  <c r="G130" i="6"/>
  <c r="G138" i="6"/>
  <c r="G146" i="6"/>
  <c r="G154" i="6"/>
  <c r="G162" i="6"/>
  <c r="G170" i="6"/>
  <c r="G178" i="6"/>
  <c r="G186" i="6"/>
  <c r="G194" i="6"/>
  <c r="G202" i="6"/>
  <c r="G210" i="6"/>
  <c r="G218" i="6"/>
  <c r="G226" i="6"/>
  <c r="G234" i="6"/>
  <c r="G242" i="6"/>
  <c r="G250" i="6"/>
  <c r="G258" i="6"/>
  <c r="G266" i="6"/>
  <c r="G274" i="6"/>
  <c r="G282" i="6"/>
  <c r="G290" i="6"/>
  <c r="G298" i="6"/>
  <c r="G306" i="6"/>
  <c r="G314" i="6"/>
  <c r="G322" i="6"/>
  <c r="G330" i="6"/>
  <c r="G338" i="6"/>
  <c r="G346" i="6"/>
  <c r="G354" i="6"/>
  <c r="G362" i="6"/>
  <c r="G370" i="6"/>
  <c r="G378" i="6"/>
  <c r="G115" i="6"/>
  <c r="G123" i="6"/>
  <c r="G131" i="6"/>
  <c r="G139" i="6"/>
  <c r="G147" i="6"/>
  <c r="G155" i="6"/>
  <c r="G163" i="6"/>
  <c r="G171" i="6"/>
  <c r="G179" i="6"/>
  <c r="G187" i="6"/>
  <c r="G195" i="6"/>
  <c r="G203" i="6"/>
  <c r="G211" i="6"/>
  <c r="G219" i="6"/>
  <c r="G227" i="6"/>
  <c r="G235" i="6"/>
  <c r="G243" i="6"/>
  <c r="G251" i="6"/>
  <c r="G259" i="6"/>
  <c r="G267" i="6"/>
  <c r="G275" i="6"/>
  <c r="G283" i="6"/>
  <c r="G291" i="6"/>
  <c r="G299" i="6"/>
  <c r="G307" i="6"/>
  <c r="G315" i="6"/>
  <c r="G323" i="6"/>
  <c r="G331" i="6"/>
  <c r="G339" i="6"/>
  <c r="G347" i="6"/>
  <c r="G355" i="6"/>
  <c r="G363" i="6"/>
  <c r="G371" i="6"/>
  <c r="G379" i="6"/>
  <c r="G387" i="6"/>
  <c r="G395" i="6"/>
  <c r="G403" i="6"/>
  <c r="G411" i="6"/>
  <c r="G419" i="6"/>
  <c r="G427" i="6"/>
  <c r="G435" i="6"/>
  <c r="G443" i="6"/>
  <c r="G451" i="6"/>
  <c r="G459" i="6"/>
  <c r="G467" i="6"/>
  <c r="G475" i="6"/>
  <c r="G483" i="6"/>
  <c r="G491" i="6"/>
  <c r="G499" i="6"/>
  <c r="G507" i="6"/>
  <c r="G515" i="6"/>
  <c r="G523" i="6"/>
  <c r="G531" i="6"/>
  <c r="G539" i="6"/>
  <c r="G547" i="6"/>
  <c r="G555" i="6"/>
  <c r="G563" i="6"/>
  <c r="G571" i="6"/>
  <c r="G579" i="6"/>
  <c r="G587" i="6"/>
  <c r="G595" i="6"/>
  <c r="G603" i="6"/>
  <c r="G611" i="6"/>
  <c r="G619" i="6"/>
  <c r="G627" i="6"/>
  <c r="G635" i="6"/>
  <c r="G643" i="6"/>
  <c r="G651" i="6"/>
  <c r="G659" i="6"/>
  <c r="G667" i="6"/>
  <c r="G675" i="6"/>
  <c r="G683" i="6"/>
  <c r="G691" i="6"/>
  <c r="G699" i="6"/>
  <c r="G707" i="6"/>
  <c r="G715" i="6"/>
  <c r="G723" i="6"/>
  <c r="G731" i="6"/>
  <c r="G739" i="6"/>
  <c r="G747" i="6"/>
  <c r="G755" i="6"/>
  <c r="G763" i="6"/>
  <c r="G771" i="6"/>
  <c r="G779" i="6"/>
  <c r="G787" i="6"/>
  <c r="G116" i="6"/>
  <c r="G127" i="6"/>
  <c r="G141" i="6"/>
  <c r="G152" i="6"/>
  <c r="G166" i="6"/>
  <c r="G180" i="6"/>
  <c r="G191" i="6"/>
  <c r="G205" i="6"/>
  <c r="G216" i="6"/>
  <c r="G230" i="6"/>
  <c r="G244" i="6"/>
  <c r="G255" i="6"/>
  <c r="G269" i="6"/>
  <c r="G280" i="6"/>
  <c r="G294" i="6"/>
  <c r="G308" i="6"/>
  <c r="G319" i="6"/>
  <c r="G333" i="6"/>
  <c r="G344" i="6"/>
  <c r="G358" i="6"/>
  <c r="G372" i="6"/>
  <c r="G383" i="6"/>
  <c r="G394" i="6"/>
  <c r="G405" i="6"/>
  <c r="G415" i="6"/>
  <c r="G426" i="6"/>
  <c r="G437" i="6"/>
  <c r="G447" i="6"/>
  <c r="G458" i="6"/>
  <c r="G469" i="6"/>
  <c r="G479" i="6"/>
  <c r="G490" i="6"/>
  <c r="G501" i="6"/>
  <c r="G511" i="6"/>
  <c r="G522" i="6"/>
  <c r="G533" i="6"/>
  <c r="G543" i="6"/>
  <c r="G554" i="6"/>
  <c r="G565" i="6"/>
  <c r="G117" i="6"/>
  <c r="G128" i="6"/>
  <c r="G142" i="6"/>
  <c r="G156" i="6"/>
  <c r="G167" i="6"/>
  <c r="G181" i="6"/>
  <c r="G192" i="6"/>
  <c r="G206" i="6"/>
  <c r="G220" i="6"/>
  <c r="G231" i="6"/>
  <c r="G245" i="6"/>
  <c r="G256" i="6"/>
  <c r="G270" i="6"/>
  <c r="G284" i="6"/>
  <c r="G295" i="6"/>
  <c r="G309" i="6"/>
  <c r="G320" i="6"/>
  <c r="G334" i="6"/>
  <c r="G348" i="6"/>
  <c r="G359" i="6"/>
  <c r="G373" i="6"/>
  <c r="G384" i="6"/>
  <c r="G396" i="6"/>
  <c r="G406" i="6"/>
  <c r="G416" i="6"/>
  <c r="G428" i="6"/>
  <c r="G438" i="6"/>
  <c r="G448" i="6"/>
  <c r="G460" i="6"/>
  <c r="G470" i="6"/>
  <c r="G480" i="6"/>
  <c r="G492" i="6"/>
  <c r="G502" i="6"/>
  <c r="G512" i="6"/>
  <c r="G524" i="6"/>
  <c r="G534" i="6"/>
  <c r="G544" i="6"/>
  <c r="G556" i="6"/>
  <c r="G566" i="6"/>
  <c r="G576" i="6"/>
  <c r="G588" i="6"/>
  <c r="G598" i="6"/>
  <c r="G608" i="6"/>
  <c r="G620" i="6"/>
  <c r="G630" i="6"/>
  <c r="G640" i="6"/>
  <c r="G652" i="6"/>
  <c r="G662" i="6"/>
  <c r="G672" i="6"/>
  <c r="G684" i="6"/>
  <c r="G694" i="6"/>
  <c r="G704" i="6"/>
  <c r="G716" i="6"/>
  <c r="G726" i="6"/>
  <c r="G736" i="6"/>
  <c r="G748" i="6"/>
  <c r="G758" i="6"/>
  <c r="G768" i="6"/>
  <c r="G780" i="6"/>
  <c r="G790" i="6"/>
  <c r="G798" i="6"/>
  <c r="G806" i="6"/>
  <c r="G814" i="6"/>
  <c r="G822" i="6"/>
  <c r="G830" i="6"/>
  <c r="G838" i="6"/>
  <c r="G846" i="6"/>
  <c r="G854" i="6"/>
  <c r="G862" i="6"/>
  <c r="G870" i="6"/>
  <c r="G878" i="6"/>
  <c r="G886" i="6"/>
  <c r="G894" i="6"/>
  <c r="G902" i="6"/>
  <c r="G910" i="6"/>
  <c r="G918" i="6"/>
  <c r="G926" i="6"/>
  <c r="G934" i="6"/>
  <c r="G942" i="6"/>
  <c r="G950" i="6"/>
  <c r="G958" i="6"/>
  <c r="G966" i="6"/>
  <c r="G974" i="6"/>
  <c r="G982" i="6"/>
  <c r="G990" i="6"/>
  <c r="G118" i="6"/>
  <c r="G134" i="6"/>
  <c r="G150" i="6"/>
  <c r="G168" i="6"/>
  <c r="G184" i="6"/>
  <c r="G200" i="6"/>
  <c r="G221" i="6"/>
  <c r="G237" i="6"/>
  <c r="G253" i="6"/>
  <c r="G271" i="6"/>
  <c r="G287" i="6"/>
  <c r="G303" i="6"/>
  <c r="G324" i="6"/>
  <c r="G340" i="6"/>
  <c r="G356" i="6"/>
  <c r="G374" i="6"/>
  <c r="G389" i="6"/>
  <c r="G402" i="6"/>
  <c r="G418" i="6"/>
  <c r="G431" i="6"/>
  <c r="G445" i="6"/>
  <c r="G461" i="6"/>
  <c r="G474" i="6"/>
  <c r="G487" i="6"/>
  <c r="G503" i="6"/>
  <c r="G517" i="6"/>
  <c r="G530" i="6"/>
  <c r="G546" i="6"/>
  <c r="G559" i="6"/>
  <c r="G573" i="6"/>
  <c r="G584" i="6"/>
  <c r="G597" i="6"/>
  <c r="G610" i="6"/>
  <c r="G622" i="6"/>
  <c r="G634" i="6"/>
  <c r="G646" i="6"/>
  <c r="G658" i="6"/>
  <c r="G670" i="6"/>
  <c r="G682" i="6"/>
  <c r="G695" i="6"/>
  <c r="G708" i="6"/>
  <c r="G719" i="6"/>
  <c r="G732" i="6"/>
  <c r="G743" i="6"/>
  <c r="G756" i="6"/>
  <c r="G767" i="6"/>
  <c r="G781" i="6"/>
  <c r="G792" i="6"/>
  <c r="G801" i="6"/>
  <c r="G810" i="6"/>
  <c r="G819" i="6"/>
  <c r="G828" i="6"/>
  <c r="G837" i="6"/>
  <c r="G847" i="6"/>
  <c r="G856" i="6"/>
  <c r="G865" i="6"/>
  <c r="G874" i="6"/>
  <c r="G883" i="6"/>
  <c r="G892" i="6"/>
  <c r="G901" i="6"/>
  <c r="G911" i="6"/>
  <c r="G920" i="6"/>
  <c r="G929" i="6"/>
  <c r="G938" i="6"/>
  <c r="G947" i="6"/>
  <c r="G956" i="6"/>
  <c r="G965" i="6"/>
  <c r="G975" i="6"/>
  <c r="G984" i="6"/>
  <c r="G993" i="6"/>
  <c r="G1001" i="6"/>
  <c r="G1009" i="6"/>
  <c r="G119" i="6"/>
  <c r="G135" i="6"/>
  <c r="G151" i="6"/>
  <c r="G172" i="6"/>
  <c r="G188" i="6"/>
  <c r="G204" i="6"/>
  <c r="G222" i="6"/>
  <c r="G238" i="6"/>
  <c r="G254" i="6"/>
  <c r="G272" i="6"/>
  <c r="G288" i="6"/>
  <c r="G304" i="6"/>
  <c r="G325" i="6"/>
  <c r="G341" i="6"/>
  <c r="G357" i="6"/>
  <c r="G375" i="6"/>
  <c r="G390" i="6"/>
  <c r="G404" i="6"/>
  <c r="G420" i="6"/>
  <c r="G432" i="6"/>
  <c r="G446" i="6"/>
  <c r="G462" i="6"/>
  <c r="G476" i="6"/>
  <c r="G488" i="6"/>
  <c r="G504" i="6"/>
  <c r="G518" i="6"/>
  <c r="G532" i="6"/>
  <c r="G548" i="6"/>
  <c r="G560" i="6"/>
  <c r="G574" i="6"/>
  <c r="G586" i="6"/>
  <c r="G599" i="6"/>
  <c r="G612" i="6"/>
  <c r="G623" i="6"/>
  <c r="G636" i="6"/>
  <c r="G647" i="6"/>
  <c r="G660" i="6"/>
  <c r="G671" i="6"/>
  <c r="G685" i="6"/>
  <c r="G696" i="6"/>
  <c r="G709" i="6"/>
  <c r="G720" i="6"/>
  <c r="G733" i="6"/>
  <c r="G744" i="6"/>
  <c r="G757" i="6"/>
  <c r="G770" i="6"/>
  <c r="G782" i="6"/>
  <c r="G793" i="6"/>
  <c r="G802" i="6"/>
  <c r="G811" i="6"/>
  <c r="G820" i="6"/>
  <c r="G829" i="6"/>
  <c r="G839" i="6"/>
  <c r="G848" i="6"/>
  <c r="G857" i="6"/>
  <c r="G866" i="6"/>
  <c r="G875" i="6"/>
  <c r="G884" i="6"/>
  <c r="G893" i="6"/>
  <c r="G903" i="6"/>
  <c r="G912" i="6"/>
  <c r="G921" i="6"/>
  <c r="G930" i="6"/>
  <c r="G939" i="6"/>
  <c r="G948" i="6"/>
  <c r="G957" i="6"/>
  <c r="G967" i="6"/>
  <c r="G976" i="6"/>
  <c r="G985" i="6"/>
  <c r="G994" i="6"/>
  <c r="G1002" i="6"/>
  <c r="G1010" i="6"/>
  <c r="G120" i="6"/>
  <c r="G136" i="6"/>
  <c r="G157" i="6"/>
  <c r="G173" i="6"/>
  <c r="G189" i="6"/>
  <c r="G207" i="6"/>
  <c r="G223" i="6"/>
  <c r="G239" i="6"/>
  <c r="G260" i="6"/>
  <c r="G276" i="6"/>
  <c r="G292" i="6"/>
  <c r="G310" i="6"/>
  <c r="G326" i="6"/>
  <c r="G342" i="6"/>
  <c r="G360" i="6"/>
  <c r="G376" i="6"/>
  <c r="G391" i="6"/>
  <c r="G407" i="6"/>
  <c r="G421" i="6"/>
  <c r="G434" i="6"/>
  <c r="G450" i="6"/>
  <c r="G463" i="6"/>
  <c r="G477" i="6"/>
  <c r="G493" i="6"/>
  <c r="G506" i="6"/>
  <c r="G519" i="6"/>
  <c r="G535" i="6"/>
  <c r="G549" i="6"/>
  <c r="G562" i="6"/>
  <c r="G575" i="6"/>
  <c r="G589" i="6"/>
  <c r="G600" i="6"/>
  <c r="G613" i="6"/>
  <c r="G624" i="6"/>
  <c r="G637" i="6"/>
  <c r="G648" i="6"/>
  <c r="G661" i="6"/>
  <c r="G674" i="6"/>
  <c r="G686" i="6"/>
  <c r="G698" i="6"/>
  <c r="G710" i="6"/>
  <c r="G722" i="6"/>
  <c r="G734" i="6"/>
  <c r="G746" i="6"/>
  <c r="G759" i="6"/>
  <c r="G772" i="6"/>
  <c r="G783" i="6"/>
  <c r="G794" i="6"/>
  <c r="G803" i="6"/>
  <c r="G812" i="6"/>
  <c r="G821" i="6"/>
  <c r="G831" i="6"/>
  <c r="G840" i="6"/>
  <c r="G849" i="6"/>
  <c r="G858" i="6"/>
  <c r="G867" i="6"/>
  <c r="G876" i="6"/>
  <c r="G885" i="6"/>
  <c r="G895" i="6"/>
  <c r="G904" i="6"/>
  <c r="G913" i="6"/>
  <c r="G922" i="6"/>
  <c r="G931" i="6"/>
  <c r="G940" i="6"/>
  <c r="G949" i="6"/>
  <c r="G959" i="6"/>
  <c r="G968" i="6"/>
  <c r="G977" i="6"/>
  <c r="G986" i="6"/>
  <c r="G995" i="6"/>
  <c r="G1003" i="6"/>
  <c r="G1011" i="6"/>
  <c r="G124" i="6"/>
  <c r="G140" i="6"/>
  <c r="G158" i="6"/>
  <c r="G174" i="6"/>
  <c r="G190" i="6"/>
  <c r="G208" i="6"/>
  <c r="G224" i="6"/>
  <c r="G240" i="6"/>
  <c r="G261" i="6"/>
  <c r="G277" i="6"/>
  <c r="G293" i="6"/>
  <c r="G311" i="6"/>
  <c r="G327" i="6"/>
  <c r="G343" i="6"/>
  <c r="G364" i="6"/>
  <c r="G380" i="6"/>
  <c r="G392" i="6"/>
  <c r="G422" i="6"/>
  <c r="G436" i="6"/>
  <c r="G452" i="6"/>
  <c r="G464" i="6"/>
  <c r="G478" i="6"/>
  <c r="G494" i="6"/>
  <c r="G508" i="6"/>
  <c r="G520" i="6"/>
  <c r="G536" i="6"/>
  <c r="G125" i="6"/>
  <c r="G159" i="6"/>
  <c r="G196" i="6"/>
  <c r="G228" i="6"/>
  <c r="G262" i="6"/>
  <c r="G296" i="6"/>
  <c r="G328" i="6"/>
  <c r="G365" i="6"/>
  <c r="G397" i="6"/>
  <c r="G414" i="6"/>
  <c r="G444" i="6"/>
  <c r="G472" i="6"/>
  <c r="G500" i="6"/>
  <c r="G528" i="6"/>
  <c r="G557" i="6"/>
  <c r="G580" i="6"/>
  <c r="G596" i="6"/>
  <c r="G616" i="6"/>
  <c r="G638" i="6"/>
  <c r="G655" i="6"/>
  <c r="G677" i="6"/>
  <c r="G693" i="6"/>
  <c r="G714" i="6"/>
  <c r="G735" i="6"/>
  <c r="G752" i="6"/>
  <c r="G774" i="6"/>
  <c r="G791" i="6"/>
  <c r="G807" i="6"/>
  <c r="G823" i="6"/>
  <c r="G835" i="6"/>
  <c r="G851" i="6"/>
  <c r="G864" i="6"/>
  <c r="G880" i="6"/>
  <c r="G896" i="6"/>
  <c r="G908" i="6"/>
  <c r="G924" i="6"/>
  <c r="G937" i="6"/>
  <c r="G953" i="6"/>
  <c r="G969" i="6"/>
  <c r="G981" i="6"/>
  <c r="G997" i="6"/>
  <c r="G1008" i="6"/>
  <c r="G132" i="6"/>
  <c r="G164" i="6"/>
  <c r="G198" i="6"/>
  <c r="G232" i="6"/>
  <c r="G264" i="6"/>
  <c r="G301" i="6"/>
  <c r="G335" i="6"/>
  <c r="G367" i="6"/>
  <c r="G399" i="6"/>
  <c r="G424" i="6"/>
  <c r="G454" i="6"/>
  <c r="G484" i="6"/>
  <c r="G510" i="6"/>
  <c r="G540" i="6"/>
  <c r="G564" i="6"/>
  <c r="G582" i="6"/>
  <c r="G604" i="6"/>
  <c r="G621" i="6"/>
  <c r="G642" i="6"/>
  <c r="G663" i="6"/>
  <c r="G679" i="6"/>
  <c r="G701" i="6"/>
  <c r="G718" i="6"/>
  <c r="G740" i="6"/>
  <c r="G760" i="6"/>
  <c r="G776" i="6"/>
  <c r="G796" i="6"/>
  <c r="G809" i="6"/>
  <c r="G825" i="6"/>
  <c r="G853" i="6"/>
  <c r="G869" i="6"/>
  <c r="G882" i="6"/>
  <c r="G898" i="6"/>
  <c r="G927" i="6"/>
  <c r="G987" i="6"/>
  <c r="G165" i="6"/>
  <c r="G199" i="6"/>
  <c r="G236" i="6"/>
  <c r="G268" i="6"/>
  <c r="G302" i="6"/>
  <c r="G400" i="6"/>
  <c r="G514" i="6"/>
  <c r="G626" i="6"/>
  <c r="G702" i="6"/>
  <c r="G778" i="6"/>
  <c r="G842" i="6"/>
  <c r="G871" i="6"/>
  <c r="G887" i="6"/>
  <c r="G915" i="6"/>
  <c r="G988" i="6"/>
  <c r="G175" i="6"/>
  <c r="G542" i="6"/>
  <c r="G703" i="6"/>
  <c r="G815" i="6"/>
  <c r="G900" i="6"/>
  <c r="G973" i="6"/>
  <c r="G176" i="6"/>
  <c r="G550" i="6"/>
  <c r="G706" i="6"/>
  <c r="G816" i="6"/>
  <c r="G905" i="6"/>
  <c r="G991" i="6"/>
  <c r="G182" i="6"/>
  <c r="G614" i="6"/>
  <c r="G750" i="6"/>
  <c r="G788" i="6"/>
  <c r="G804" i="6"/>
  <c r="G817" i="6"/>
  <c r="G833" i="6"/>
  <c r="G845" i="6"/>
  <c r="G861" i="6"/>
  <c r="G877" i="6"/>
  <c r="G890" i="6"/>
  <c r="G906" i="6"/>
  <c r="G919" i="6"/>
  <c r="G935" i="6"/>
  <c r="G951" i="6"/>
  <c r="G963" i="6"/>
  <c r="G979" i="6"/>
  <c r="G992" i="6"/>
  <c r="G1006" i="6"/>
  <c r="G149" i="6"/>
  <c r="G183" i="6"/>
  <c r="G215" i="6"/>
  <c r="G252" i="6"/>
  <c r="G286" i="6"/>
  <c r="G318" i="6"/>
  <c r="G352" i="6"/>
  <c r="G388" i="6"/>
  <c r="G413" i="6"/>
  <c r="G442" i="6"/>
  <c r="G498" i="6"/>
  <c r="G527" i="6"/>
  <c r="G552" i="6"/>
  <c r="G578" i="6"/>
  <c r="G632" i="6"/>
  <c r="G730" i="6"/>
  <c r="G805" i="6"/>
  <c r="G879" i="6"/>
  <c r="G952" i="6"/>
  <c r="G126" i="6"/>
  <c r="G160" i="6"/>
  <c r="G197" i="6"/>
  <c r="G229" i="6"/>
  <c r="G263" i="6"/>
  <c r="G300" i="6"/>
  <c r="G332" i="6"/>
  <c r="G366" i="6"/>
  <c r="G398" i="6"/>
  <c r="G423" i="6"/>
  <c r="G453" i="6"/>
  <c r="G482" i="6"/>
  <c r="G509" i="6"/>
  <c r="G538" i="6"/>
  <c r="G558" i="6"/>
  <c r="G581" i="6"/>
  <c r="G602" i="6"/>
  <c r="G618" i="6"/>
  <c r="G639" i="6"/>
  <c r="G656" i="6"/>
  <c r="G678" i="6"/>
  <c r="G700" i="6"/>
  <c r="G717" i="6"/>
  <c r="G738" i="6"/>
  <c r="G754" i="6"/>
  <c r="G775" i="6"/>
  <c r="G795" i="6"/>
  <c r="G808" i="6"/>
  <c r="G824" i="6"/>
  <c r="G836" i="6"/>
  <c r="G852" i="6"/>
  <c r="G868" i="6"/>
  <c r="G881" i="6"/>
  <c r="G897" i="6"/>
  <c r="G909" i="6"/>
  <c r="G925" i="6"/>
  <c r="G941" i="6"/>
  <c r="G954" i="6"/>
  <c r="G970" i="6"/>
  <c r="G983" i="6"/>
  <c r="G998" i="6"/>
  <c r="G1012" i="6"/>
  <c r="G841" i="6"/>
  <c r="G914" i="6"/>
  <c r="G943" i="6"/>
  <c r="G955" i="6"/>
  <c r="G971" i="6"/>
  <c r="G999" i="6"/>
  <c r="G133" i="6"/>
  <c r="G336" i="6"/>
  <c r="G368" i="6"/>
  <c r="G429" i="6"/>
  <c r="G455" i="6"/>
  <c r="G485" i="6"/>
  <c r="G541" i="6"/>
  <c r="G567" i="6"/>
  <c r="G583" i="6"/>
  <c r="G605" i="6"/>
  <c r="G644" i="6"/>
  <c r="G664" i="6"/>
  <c r="G680" i="6"/>
  <c r="G724" i="6"/>
  <c r="G741" i="6"/>
  <c r="G762" i="6"/>
  <c r="G797" i="6"/>
  <c r="G813" i="6"/>
  <c r="G826" i="6"/>
  <c r="G855" i="6"/>
  <c r="G899" i="6"/>
  <c r="G928" i="6"/>
  <c r="G944" i="6"/>
  <c r="G960" i="6"/>
  <c r="G972" i="6"/>
  <c r="G1000" i="6"/>
  <c r="G143" i="6"/>
  <c r="G212" i="6"/>
  <c r="G246" i="6"/>
  <c r="G278" i="6"/>
  <c r="G312" i="6"/>
  <c r="G349" i="6"/>
  <c r="G381" i="6"/>
  <c r="G408" i="6"/>
  <c r="G430" i="6"/>
  <c r="G456" i="6"/>
  <c r="G486" i="6"/>
  <c r="G516" i="6"/>
  <c r="G568" i="6"/>
  <c r="G590" i="6"/>
  <c r="G606" i="6"/>
  <c r="G628" i="6"/>
  <c r="G645" i="6"/>
  <c r="G666" i="6"/>
  <c r="G687" i="6"/>
  <c r="G725" i="6"/>
  <c r="G742" i="6"/>
  <c r="G764" i="6"/>
  <c r="G784" i="6"/>
  <c r="G799" i="6"/>
  <c r="G827" i="6"/>
  <c r="G843" i="6"/>
  <c r="G859" i="6"/>
  <c r="G872" i="6"/>
  <c r="G888" i="6"/>
  <c r="G916" i="6"/>
  <c r="G932" i="6"/>
  <c r="G945" i="6"/>
  <c r="G961" i="6"/>
  <c r="G989" i="6"/>
  <c r="G1004" i="6"/>
  <c r="G144" i="6"/>
  <c r="G213" i="6"/>
  <c r="G247" i="6"/>
  <c r="G279" i="6"/>
  <c r="G316" i="6"/>
  <c r="G350" i="6"/>
  <c r="G382" i="6"/>
  <c r="G410" i="6"/>
  <c r="G439" i="6"/>
  <c r="G466" i="6"/>
  <c r="G495" i="6"/>
  <c r="G525" i="6"/>
  <c r="G570" i="6"/>
  <c r="G591" i="6"/>
  <c r="G607" i="6"/>
  <c r="G629" i="6"/>
  <c r="G650" i="6"/>
  <c r="G668" i="6"/>
  <c r="G688" i="6"/>
  <c r="G727" i="6"/>
  <c r="G749" i="6"/>
  <c r="G765" i="6"/>
  <c r="G786" i="6"/>
  <c r="G800" i="6"/>
  <c r="G832" i="6"/>
  <c r="G844" i="6"/>
  <c r="G860" i="6"/>
  <c r="G873" i="6"/>
  <c r="G889" i="6"/>
  <c r="G917" i="6"/>
  <c r="G933" i="6"/>
  <c r="G946" i="6"/>
  <c r="G962" i="6"/>
  <c r="G978" i="6"/>
  <c r="G1005" i="6"/>
  <c r="G148" i="6"/>
  <c r="G214" i="6"/>
  <c r="G248" i="6"/>
  <c r="G285" i="6"/>
  <c r="G317" i="6"/>
  <c r="G351" i="6"/>
  <c r="G386" i="6"/>
  <c r="G412" i="6"/>
  <c r="G440" i="6"/>
  <c r="G468" i="6"/>
  <c r="G496" i="6"/>
  <c r="G526" i="6"/>
  <c r="G551" i="6"/>
  <c r="G572" i="6"/>
  <c r="G592" i="6"/>
  <c r="G631" i="6"/>
  <c r="G653" i="6"/>
  <c r="G669" i="6"/>
  <c r="G690" i="6"/>
  <c r="G711" i="6"/>
  <c r="G728" i="6"/>
  <c r="G766" i="6"/>
  <c r="G471" i="6"/>
  <c r="G594" i="6"/>
  <c r="G615" i="6"/>
  <c r="G654" i="6"/>
  <c r="G676" i="6"/>
  <c r="G692" i="6"/>
  <c r="G712" i="6"/>
  <c r="G751" i="6"/>
  <c r="G773" i="6"/>
  <c r="G789" i="6"/>
  <c r="G818" i="6"/>
  <c r="G834" i="6"/>
  <c r="G850" i="6"/>
  <c r="G863" i="6"/>
  <c r="G891" i="6"/>
  <c r="G907" i="6"/>
  <c r="G923" i="6"/>
  <c r="G936" i="6"/>
  <c r="G964" i="6"/>
  <c r="G980" i="6"/>
  <c r="G996" i="6"/>
  <c r="G1007" i="6"/>
  <c r="T873" i="6"/>
  <c r="V873" i="6" s="1"/>
  <c r="T537" i="6"/>
  <c r="V537" i="6" s="1"/>
  <c r="T572" i="6"/>
  <c r="V572" i="6" s="1"/>
  <c r="T876" i="6"/>
  <c r="V876" i="6" s="1"/>
  <c r="T561" i="6"/>
  <c r="V561" i="6" s="1"/>
  <c r="T506" i="6"/>
  <c r="V506" i="6" s="1"/>
  <c r="T552" i="6"/>
  <c r="V552" i="6" s="1"/>
  <c r="T724" i="6"/>
  <c r="V724" i="6" s="1"/>
  <c r="T959" i="6"/>
  <c r="V959" i="6" s="1"/>
  <c r="T383" i="6"/>
  <c r="V383" i="6" s="1"/>
  <c r="T766" i="6"/>
  <c r="V766" i="6" s="1"/>
  <c r="T254" i="6"/>
  <c r="V254" i="6" s="1"/>
  <c r="T181" i="6"/>
  <c r="V181" i="6" s="1"/>
  <c r="T809" i="6"/>
  <c r="V809" i="6" s="1"/>
  <c r="T823" i="6"/>
  <c r="V823" i="6" s="1"/>
  <c r="T363" i="6"/>
  <c r="V363" i="6" s="1"/>
  <c r="T893" i="6"/>
  <c r="V893" i="6" s="1"/>
  <c r="T943" i="6"/>
  <c r="V943" i="6" s="1"/>
  <c r="T302" i="6"/>
  <c r="V302" i="6" s="1"/>
  <c r="T570" i="6"/>
  <c r="V570" i="6" s="1"/>
  <c r="T864" i="6"/>
  <c r="V864" i="6" s="1"/>
  <c r="T742" i="6"/>
  <c r="V742" i="6" s="1"/>
  <c r="T841" i="6"/>
  <c r="V841" i="6" s="1"/>
  <c r="T400" i="6"/>
  <c r="V400" i="6" s="1"/>
  <c r="T293" i="6"/>
  <c r="V293" i="6" s="1"/>
  <c r="T689" i="6"/>
  <c r="V689" i="6" s="1"/>
  <c r="T322" i="6"/>
  <c r="V322" i="6" s="1"/>
  <c r="T714" i="6"/>
  <c r="V714" i="6" s="1"/>
  <c r="T694" i="6"/>
  <c r="V694" i="6" s="1"/>
  <c r="T401" i="6"/>
  <c r="V401" i="6" s="1"/>
  <c r="T962" i="6"/>
  <c r="V962" i="6" s="1"/>
  <c r="T860" i="6"/>
  <c r="V860" i="6" s="1"/>
  <c r="T993" i="6"/>
  <c r="V993" i="6" s="1"/>
  <c r="T819" i="6"/>
  <c r="V819" i="6" s="1"/>
  <c r="T532" i="6"/>
  <c r="V532" i="6" s="1"/>
  <c r="T559" i="6"/>
  <c r="V559" i="6" s="1"/>
  <c r="T686" i="6"/>
  <c r="V686" i="6" s="1"/>
  <c r="T619" i="6"/>
  <c r="V619" i="6" s="1"/>
  <c r="T940" i="6"/>
  <c r="V940" i="6" s="1"/>
  <c r="T996" i="6"/>
  <c r="V996" i="6" s="1"/>
  <c r="T172" i="6"/>
  <c r="V172" i="6" s="1"/>
  <c r="T418" i="6"/>
  <c r="V418" i="6" s="1"/>
  <c r="T935" i="6"/>
  <c r="V935" i="6" s="1"/>
  <c r="T167" i="6"/>
  <c r="V167" i="6" s="1"/>
  <c r="T294" i="6"/>
  <c r="V294" i="6" s="1"/>
  <c r="T963" i="6"/>
  <c r="V963" i="6" s="1"/>
  <c r="T435" i="6"/>
  <c r="V435" i="6" s="1"/>
  <c r="T666" i="6"/>
  <c r="V666" i="6" s="1"/>
  <c r="T313" i="6"/>
  <c r="V313" i="6" s="1"/>
  <c r="T968" i="6"/>
  <c r="V968" i="6" s="1"/>
  <c r="T187" i="6"/>
  <c r="V187" i="6" s="1"/>
  <c r="T340" i="6"/>
  <c r="V340" i="6" s="1"/>
  <c r="T798" i="6"/>
  <c r="V798" i="6" s="1"/>
  <c r="T946" i="6"/>
  <c r="V946" i="6" s="1"/>
  <c r="T997" i="6"/>
  <c r="V997" i="6" s="1"/>
  <c r="T140" i="6"/>
  <c r="V140" i="6" s="1"/>
  <c r="T260" i="6"/>
  <c r="V260" i="6" s="1"/>
  <c r="T186" i="6"/>
  <c r="V186" i="6" s="1"/>
  <c r="T591" i="6"/>
  <c r="V591" i="6" s="1"/>
  <c r="T974" i="6"/>
  <c r="V974" i="6" s="1"/>
  <c r="T488" i="6"/>
  <c r="V488" i="6" s="1"/>
  <c r="T133" i="6"/>
  <c r="V133" i="6" s="1"/>
  <c r="T835" i="6"/>
  <c r="V835" i="6" s="1"/>
  <c r="T858" i="6"/>
  <c r="V858" i="6" s="1"/>
  <c r="T881" i="6"/>
  <c r="V881" i="6" s="1"/>
  <c r="T160" i="6"/>
  <c r="V160" i="6" s="1"/>
  <c r="T662" i="6"/>
  <c r="V662" i="6" s="1"/>
  <c r="T150" i="6"/>
  <c r="V150" i="6" s="1"/>
  <c r="T421" i="6"/>
  <c r="V421" i="6" s="1"/>
  <c r="T354" i="6"/>
  <c r="V354" i="6" s="1"/>
  <c r="T757" i="6"/>
  <c r="V757" i="6" s="1"/>
  <c r="T290" i="6"/>
  <c r="V290" i="6" s="1"/>
  <c r="T402" i="6"/>
  <c r="V402" i="6" s="1"/>
  <c r="T915" i="6"/>
  <c r="V915" i="6" s="1"/>
  <c r="T584" i="6"/>
  <c r="V584" i="6" s="1"/>
  <c r="T1005" i="6"/>
  <c r="V1005" i="6" s="1"/>
  <c r="T129" i="6"/>
  <c r="V129" i="6" s="1"/>
  <c r="T369" i="6"/>
  <c r="V369" i="6" s="1"/>
  <c r="T564" i="6"/>
  <c r="V564" i="6" s="1"/>
  <c r="T839" i="6"/>
  <c r="V839" i="6" s="1"/>
  <c r="T327" i="6"/>
  <c r="V327" i="6" s="1"/>
  <c r="T281" i="6"/>
  <c r="V281" i="6" s="1"/>
  <c r="T635" i="6"/>
  <c r="V635" i="6" s="1"/>
  <c r="T157" i="6"/>
  <c r="V157" i="6" s="1"/>
  <c r="T540" i="6"/>
  <c r="V540" i="6" s="1"/>
  <c r="T762" i="6"/>
  <c r="V762" i="6" s="1"/>
  <c r="T626" i="6"/>
  <c r="V626" i="6" s="1"/>
  <c r="T549" i="6"/>
  <c r="V549" i="6" s="1"/>
  <c r="T504" i="6"/>
  <c r="V504" i="6" s="1"/>
  <c r="T305" i="6"/>
  <c r="V305" i="6" s="1"/>
  <c r="T275" i="6"/>
  <c r="V275" i="6" s="1"/>
  <c r="T261" i="6"/>
  <c r="V261" i="6" s="1"/>
  <c r="T500" i="6"/>
  <c r="V500" i="6" s="1"/>
  <c r="T301" i="6"/>
  <c r="V301" i="6" s="1"/>
  <c r="T576" i="6"/>
  <c r="V576" i="6" s="1"/>
  <c r="T707" i="6"/>
  <c r="V707" i="6" s="1"/>
  <c r="T349" i="6"/>
  <c r="V349" i="6" s="1"/>
  <c r="T543" i="6"/>
  <c r="V543" i="6" s="1"/>
  <c r="T654" i="6"/>
  <c r="V654" i="6" s="1"/>
  <c r="T205" i="6"/>
  <c r="V205" i="6" s="1"/>
  <c r="T471" i="6"/>
  <c r="V471" i="6" s="1"/>
  <c r="T774" i="6"/>
  <c r="V774" i="6" s="1"/>
  <c r="T134" i="6"/>
  <c r="V134" i="6" s="1"/>
  <c r="T209" i="6"/>
  <c r="V209" i="6" s="1"/>
  <c r="T515" i="6"/>
  <c r="V515" i="6" s="1"/>
  <c r="T316" i="6"/>
  <c r="V316" i="6" s="1"/>
  <c r="T695" i="6"/>
  <c r="V695" i="6" s="1"/>
  <c r="T183" i="6"/>
  <c r="V183" i="6" s="1"/>
  <c r="T822" i="6"/>
  <c r="V822" i="6" s="1"/>
  <c r="T352" i="6"/>
  <c r="V352" i="6" s="1"/>
  <c r="T350" i="6"/>
  <c r="V350" i="6" s="1"/>
  <c r="T545" i="6"/>
  <c r="V545" i="6" s="1"/>
  <c r="T776" i="6"/>
  <c r="V776" i="6" s="1"/>
  <c r="T208" i="6"/>
  <c r="V208" i="6" s="1"/>
  <c r="T843" i="6"/>
  <c r="V843" i="6" s="1"/>
  <c r="T562" i="6"/>
  <c r="V562" i="6" s="1"/>
  <c r="T251" i="6"/>
  <c r="V251" i="6" s="1"/>
  <c r="T312" i="6"/>
  <c r="V312" i="6" s="1"/>
  <c r="T356" i="6"/>
  <c r="V356" i="6" s="1"/>
  <c r="T554" i="6"/>
  <c r="V554" i="6" s="1"/>
  <c r="T767" i="6"/>
  <c r="V767" i="6" s="1"/>
  <c r="T255" i="6"/>
  <c r="V255" i="6" s="1"/>
  <c r="T638" i="6"/>
  <c r="V638" i="6" s="1"/>
  <c r="T126" i="6"/>
  <c r="V126" i="6" s="1"/>
  <c r="T569" i="6"/>
  <c r="V569" i="6" s="1"/>
  <c r="T125" i="6"/>
  <c r="V125" i="6" s="1"/>
  <c r="T566" i="6"/>
  <c r="V566" i="6" s="1"/>
  <c r="T220" i="6"/>
  <c r="V220" i="6" s="1"/>
  <c r="T211" i="6"/>
  <c r="V211" i="6" s="1"/>
  <c r="T495" i="6"/>
  <c r="V495" i="6" s="1"/>
  <c r="T324" i="6"/>
  <c r="V324" i="6" s="1"/>
  <c r="T217" i="6"/>
  <c r="V217" i="6" s="1"/>
  <c r="T180" i="6"/>
  <c r="V180" i="6" s="1"/>
  <c r="T358" i="6"/>
  <c r="V358" i="6" s="1"/>
  <c r="T147" i="6"/>
  <c r="V147" i="6" s="1"/>
  <c r="T826" i="6"/>
  <c r="V826" i="6" s="1"/>
  <c r="T411" i="6"/>
  <c r="V411" i="6" s="1"/>
  <c r="T396" i="6"/>
  <c r="V396" i="6" s="1"/>
  <c r="T833" i="6"/>
  <c r="V833" i="6" s="1"/>
  <c r="T544" i="6"/>
  <c r="V544" i="6" s="1"/>
  <c r="T502" i="6"/>
  <c r="V502" i="6" s="1"/>
  <c r="T677" i="6"/>
  <c r="V677" i="6" s="1"/>
  <c r="T474" i="6"/>
  <c r="V474" i="6" s="1"/>
  <c r="T233" i="6"/>
  <c r="V233" i="6" s="1"/>
  <c r="T699" i="6"/>
  <c r="V699" i="6" s="1"/>
  <c r="T429" i="6"/>
  <c r="V429" i="6" s="1"/>
  <c r="T276" i="6"/>
  <c r="V276" i="6" s="1"/>
  <c r="T367" i="6"/>
  <c r="V367" i="6" s="1"/>
  <c r="T494" i="6"/>
  <c r="V494" i="6" s="1"/>
  <c r="T304" i="6"/>
  <c r="V304" i="6" s="1"/>
  <c r="T452" i="6"/>
  <c r="V452" i="6" s="1"/>
  <c r="T525" i="6"/>
  <c r="V525" i="6" s="1"/>
  <c r="T979" i="6"/>
  <c r="V979" i="6" s="1"/>
  <c r="T778" i="6"/>
  <c r="V778" i="6" s="1"/>
  <c r="T743" i="6"/>
  <c r="V743" i="6" s="1"/>
  <c r="T870" i="6"/>
  <c r="V870" i="6" s="1"/>
  <c r="T498" i="6"/>
  <c r="V498" i="6" s="1"/>
  <c r="T497" i="6"/>
  <c r="V497" i="6" s="1"/>
  <c r="T122" i="6"/>
  <c r="V122" i="6" s="1"/>
  <c r="T353" i="6"/>
  <c r="V353" i="6" s="1"/>
  <c r="T794" i="6"/>
  <c r="V794" i="6" s="1"/>
  <c r="T772" i="6"/>
  <c r="V772" i="6" s="1"/>
  <c r="T938" i="6"/>
  <c r="V938" i="6" s="1"/>
  <c r="T991" i="6"/>
  <c r="V991" i="6" s="1"/>
  <c r="T461" i="6"/>
  <c r="V461" i="6" s="1"/>
  <c r="T633" i="6"/>
  <c r="V633" i="6" s="1"/>
  <c r="T825" i="6"/>
  <c r="V825" i="6" s="1"/>
  <c r="T845" i="6"/>
  <c r="V845" i="6" s="1"/>
  <c r="T868" i="6"/>
  <c r="V868" i="6" s="1"/>
  <c r="T975" i="6"/>
  <c r="V975" i="6" s="1"/>
  <c r="T463" i="6"/>
  <c r="V463" i="6" s="1"/>
  <c r="T334" i="6"/>
  <c r="V334" i="6" s="1"/>
  <c r="T178" i="6"/>
  <c r="V178" i="6" s="1"/>
  <c r="T777" i="6"/>
  <c r="V777" i="6" s="1"/>
  <c r="T541" i="6"/>
  <c r="V541" i="6" s="1"/>
  <c r="T565" i="6"/>
  <c r="V565" i="6" s="1"/>
  <c r="T685" i="6"/>
  <c r="V685" i="6" s="1"/>
  <c r="T535" i="6"/>
  <c r="V535" i="6" s="1"/>
  <c r="T534" i="6"/>
  <c r="V534" i="6" s="1"/>
  <c r="T265" i="6"/>
  <c r="V265" i="6" s="1"/>
  <c r="T769" i="6"/>
  <c r="V769" i="6" s="1"/>
  <c r="T780" i="6"/>
  <c r="V780" i="6" s="1"/>
  <c r="T427" i="6"/>
  <c r="V427" i="6" s="1"/>
  <c r="T921" i="6"/>
  <c r="V921" i="6" s="1"/>
  <c r="T912" i="6"/>
  <c r="V912" i="6" s="1"/>
  <c r="T605" i="6"/>
  <c r="V605" i="6" s="1"/>
  <c r="T252" i="6"/>
  <c r="V252" i="6" s="1"/>
  <c r="T811" i="6"/>
  <c r="V811" i="6" s="1"/>
  <c r="T346" i="6"/>
  <c r="V346" i="6" s="1"/>
  <c r="T173" i="6"/>
  <c r="V173" i="6" s="1"/>
  <c r="T394" i="6"/>
  <c r="V394" i="6" s="1"/>
  <c r="T711" i="6"/>
  <c r="V711" i="6" s="1"/>
  <c r="T199" i="6"/>
  <c r="V199" i="6" s="1"/>
  <c r="T397" i="6"/>
  <c r="V397" i="6" s="1"/>
  <c r="T961" i="6"/>
  <c r="V961" i="6" s="1"/>
  <c r="T816" i="6"/>
  <c r="V816" i="6" s="1"/>
  <c r="T249" i="6"/>
  <c r="V249" i="6" s="1"/>
  <c r="T371" i="6"/>
  <c r="V371" i="6" s="1"/>
  <c r="T407" i="6"/>
  <c r="V407" i="6" s="1"/>
  <c r="T520" i="6"/>
  <c r="V520" i="6" s="1"/>
  <c r="T668" i="6"/>
  <c r="V668" i="6" s="1"/>
  <c r="T388" i="6"/>
  <c r="V388" i="6" s="1"/>
  <c r="T994" i="6"/>
  <c r="V994" i="6" s="1"/>
  <c r="T115" i="6"/>
  <c r="V115" i="6" s="1"/>
  <c r="T259" i="6"/>
  <c r="V259" i="6" s="1"/>
  <c r="T468" i="6"/>
  <c r="V468" i="6" s="1"/>
  <c r="T703" i="6"/>
  <c r="V703" i="6" s="1"/>
  <c r="T191" i="6"/>
  <c r="V191" i="6" s="1"/>
  <c r="T574" i="6"/>
  <c r="V574" i="6" s="1"/>
  <c r="T245" i="6"/>
  <c r="V245" i="6" s="1"/>
  <c r="T853" i="6"/>
  <c r="V853" i="6" s="1"/>
  <c r="T636" i="6"/>
  <c r="V636" i="6" s="1"/>
  <c r="T438" i="6"/>
  <c r="V438" i="6" s="1"/>
  <c r="T632" i="6"/>
  <c r="V632" i="6" s="1"/>
  <c r="T722" i="6"/>
  <c r="V722" i="6" s="1"/>
  <c r="T303" i="6"/>
  <c r="V303" i="6" s="1"/>
  <c r="T909" i="6"/>
  <c r="V909" i="6" s="1"/>
  <c r="T329" i="6"/>
  <c r="V329" i="6" s="1"/>
  <c r="T871" i="6"/>
  <c r="V871" i="6" s="1"/>
  <c r="T230" i="6"/>
  <c r="V230" i="6" s="1"/>
  <c r="T460" i="6"/>
  <c r="V460" i="6" s="1"/>
  <c r="T496" i="6"/>
  <c r="V496" i="6" s="1"/>
  <c r="T1010" i="6"/>
  <c r="V1010" i="6" s="1"/>
  <c r="T299" i="6"/>
  <c r="V299" i="6" s="1"/>
  <c r="T733" i="6"/>
  <c r="V733" i="6" s="1"/>
  <c r="T372" i="6"/>
  <c r="V372" i="6" s="1"/>
  <c r="T374" i="6"/>
  <c r="V374" i="6" s="1"/>
  <c r="T986" i="6"/>
  <c r="V986" i="6" s="1"/>
  <c r="T161" i="6"/>
  <c r="V161" i="6" s="1"/>
  <c r="T969" i="6"/>
  <c r="V969" i="6" s="1"/>
  <c r="T602" i="6"/>
  <c r="V602" i="6" s="1"/>
  <c r="T235" i="6"/>
  <c r="V235" i="6" s="1"/>
  <c r="T192" i="6"/>
  <c r="V192" i="6" s="1"/>
  <c r="T239" i="6"/>
  <c r="V239" i="6" s="1"/>
  <c r="T366" i="6"/>
  <c r="V366" i="6" s="1"/>
  <c r="T282" i="6"/>
  <c r="V282" i="6" s="1"/>
  <c r="T300" i="6"/>
  <c r="V300" i="6" s="1"/>
  <c r="T373" i="6"/>
  <c r="V373" i="6" s="1"/>
  <c r="T882" i="6"/>
  <c r="V882" i="6" s="1"/>
  <c r="T692" i="6"/>
  <c r="V692" i="6" s="1"/>
  <c r="T615" i="6"/>
  <c r="V615" i="6" s="1"/>
  <c r="T806" i="6"/>
  <c r="V806" i="6" s="1"/>
  <c r="T867" i="6"/>
  <c r="V867" i="6" s="1"/>
  <c r="T339" i="6"/>
  <c r="V339" i="6" s="1"/>
  <c r="T861" i="6"/>
  <c r="V861" i="6" s="1"/>
  <c r="T195" i="6"/>
  <c r="V195" i="6" s="1"/>
  <c r="T642" i="6"/>
  <c r="V642" i="6" s="1"/>
  <c r="T675" i="6"/>
  <c r="V675" i="6" s="1"/>
  <c r="T852" i="6"/>
  <c r="V852" i="6" s="1"/>
  <c r="T415" i="6"/>
  <c r="V415" i="6" s="1"/>
  <c r="T770" i="6"/>
  <c r="V770" i="6" s="1"/>
  <c r="T317" i="6"/>
  <c r="V317" i="6" s="1"/>
  <c r="T117" i="6"/>
  <c r="V117" i="6" s="1"/>
  <c r="T748" i="6"/>
  <c r="V748" i="6" s="1"/>
  <c r="T771" i="6"/>
  <c r="V771" i="6" s="1"/>
  <c r="T911" i="6"/>
  <c r="V911" i="6" s="1"/>
  <c r="T399" i="6"/>
  <c r="V399" i="6" s="1"/>
  <c r="T270" i="6"/>
  <c r="V270" i="6" s="1"/>
  <c r="T936" i="6"/>
  <c r="V936" i="6" s="1"/>
  <c r="T620" i="6"/>
  <c r="V620" i="6" s="1"/>
  <c r="T444" i="6"/>
  <c r="V444" i="6" s="1"/>
  <c r="T467" i="6"/>
  <c r="V467" i="6" s="1"/>
  <c r="T588" i="6"/>
  <c r="V588" i="6" s="1"/>
  <c r="T982" i="6"/>
  <c r="V982" i="6" s="1"/>
  <c r="T470" i="6"/>
  <c r="V470" i="6" s="1"/>
  <c r="T483" i="6"/>
  <c r="V483" i="6" s="1"/>
  <c r="T459" i="6"/>
  <c r="V459" i="6" s="1"/>
  <c r="T624" i="6"/>
  <c r="V624" i="6" s="1"/>
  <c r="T269" i="6"/>
  <c r="V269" i="6" s="1"/>
  <c r="T725" i="6"/>
  <c r="V725" i="6" s="1"/>
  <c r="T289" i="6"/>
  <c r="V289" i="6" s="1"/>
  <c r="T450" i="6"/>
  <c r="V450" i="6" s="1"/>
  <c r="T690" i="6"/>
  <c r="V690" i="6" s="1"/>
  <c r="T713" i="6"/>
  <c r="V713" i="6" s="1"/>
  <c r="T954" i="6"/>
  <c r="V954" i="6" s="1"/>
  <c r="T992" i="6"/>
  <c r="V992" i="6" s="1"/>
  <c r="T308" i="6"/>
  <c r="V308" i="6" s="1"/>
  <c r="T647" i="6"/>
  <c r="V647" i="6" s="1"/>
  <c r="T135" i="6"/>
  <c r="V135" i="6" s="1"/>
  <c r="T856" i="6"/>
  <c r="V856" i="6" s="1"/>
  <c r="T645" i="6"/>
  <c r="V645" i="6" s="1"/>
  <c r="T658" i="6"/>
  <c r="V658" i="6" s="1"/>
  <c r="T152" i="6"/>
  <c r="V152" i="6" s="1"/>
  <c r="T542" i="6"/>
  <c r="V542" i="6" s="1"/>
  <c r="T866" i="6"/>
  <c r="V866" i="6" s="1"/>
  <c r="T895" i="6"/>
  <c r="V895" i="6" s="1"/>
  <c r="T390" i="6"/>
  <c r="V390" i="6" s="1"/>
  <c r="T983" i="6"/>
  <c r="V983" i="6" s="1"/>
  <c r="T607" i="6"/>
  <c r="V607" i="6" s="1"/>
  <c r="T1002" i="6"/>
  <c r="V1002" i="6" s="1"/>
  <c r="T120" i="6"/>
  <c r="V120" i="6" s="1"/>
  <c r="T737" i="6"/>
  <c r="V737" i="6" s="1"/>
  <c r="T775" i="6"/>
  <c r="V775" i="6" s="1"/>
  <c r="T891" i="6"/>
  <c r="V891" i="6" s="1"/>
  <c r="T344" i="6"/>
  <c r="V344" i="6" s="1"/>
  <c r="T314" i="6"/>
  <c r="V314" i="6" s="1"/>
  <c r="T406" i="6"/>
  <c r="V406" i="6" s="1"/>
  <c r="T296" i="6"/>
  <c r="V296" i="6" s="1"/>
  <c r="T306" i="6"/>
  <c r="V306" i="6" s="1"/>
  <c r="T335" i="6"/>
  <c r="V335" i="6" s="1"/>
  <c r="T380" i="6"/>
  <c r="V380" i="6" s="1"/>
  <c r="T862" i="6"/>
  <c r="V862" i="6" s="1"/>
  <c r="T682" i="6"/>
  <c r="V682" i="6" s="1"/>
  <c r="T508" i="6"/>
  <c r="V508" i="6" s="1"/>
  <c r="T551" i="6"/>
  <c r="V551" i="6" s="1"/>
  <c r="T750" i="6"/>
  <c r="V750" i="6" s="1"/>
  <c r="T325" i="6"/>
  <c r="V325" i="6" s="1"/>
  <c r="T606" i="6"/>
  <c r="V606" i="6" s="1"/>
  <c r="T420" i="6"/>
  <c r="V420" i="6" s="1"/>
  <c r="T631" i="6"/>
  <c r="V631" i="6" s="1"/>
  <c r="T970" i="6"/>
  <c r="V970" i="6" s="1"/>
  <c r="T808" i="6"/>
  <c r="V808" i="6" s="1"/>
  <c r="T836" i="6"/>
  <c r="V836" i="6" s="1"/>
  <c r="T279" i="6"/>
  <c r="V279" i="6" s="1"/>
  <c r="T580" i="6"/>
  <c r="V580" i="6" s="1"/>
  <c r="T718" i="6"/>
  <c r="V718" i="6" s="1"/>
  <c r="T837" i="6"/>
  <c r="V837" i="6" s="1"/>
  <c r="T234" i="6"/>
  <c r="V234" i="6" s="1"/>
  <c r="T253" i="6"/>
  <c r="V253" i="6" s="1"/>
  <c r="T330" i="6"/>
  <c r="V330" i="6" s="1"/>
  <c r="T428" i="6"/>
  <c r="V428" i="6" s="1"/>
  <c r="T489" i="6"/>
  <c r="V489" i="6" s="1"/>
  <c r="T236" i="6"/>
  <c r="V236" i="6" s="1"/>
  <c r="T732" i="6"/>
  <c r="V732" i="6" s="1"/>
  <c r="T670" i="6"/>
  <c r="V670" i="6" s="1"/>
  <c r="T379" i="6"/>
  <c r="V379" i="6" s="1"/>
  <c r="T119" i="6"/>
  <c r="V119" i="6" s="1"/>
  <c r="T759" i="6"/>
  <c r="V759" i="6" s="1"/>
  <c r="T277" i="6"/>
  <c r="V277" i="6" s="1"/>
  <c r="T661" i="6"/>
  <c r="V661" i="6" s="1"/>
  <c r="T905" i="6"/>
  <c r="V905" i="6" s="1"/>
  <c r="T988" i="6"/>
  <c r="V988" i="6" s="1"/>
  <c r="T646" i="6"/>
  <c r="V646" i="6" s="1"/>
  <c r="T343" i="6"/>
  <c r="V343" i="6" s="1"/>
  <c r="T828" i="6"/>
  <c r="V828" i="6" s="1"/>
  <c r="T846" i="6"/>
  <c r="V846" i="6" s="1"/>
  <c r="T735" i="6"/>
  <c r="V735" i="6" s="1"/>
  <c r="T995" i="6"/>
  <c r="V995" i="6" s="1"/>
  <c r="T721" i="6"/>
  <c r="V721" i="6" s="1"/>
  <c r="T416" i="6"/>
  <c r="V416" i="6" s="1"/>
  <c r="T360" i="6"/>
  <c r="V360" i="6" s="1"/>
  <c r="T585" i="6"/>
  <c r="V585" i="6" s="1"/>
  <c r="T803" i="6"/>
  <c r="V803" i="6" s="1"/>
  <c r="T368" i="6"/>
  <c r="V368" i="6" s="1"/>
  <c r="T333" i="6"/>
  <c r="V333" i="6" s="1"/>
  <c r="T469" i="6"/>
  <c r="V469" i="6" s="1"/>
  <c r="T931" i="6"/>
  <c r="V931" i="6" s="1"/>
  <c r="T885" i="6"/>
  <c r="V885" i="6" s="1"/>
  <c r="T256" i="6"/>
  <c r="V256" i="6" s="1"/>
  <c r="T158" i="6"/>
  <c r="V158" i="6" s="1"/>
  <c r="T734" i="6"/>
  <c r="V734" i="6" s="1"/>
  <c r="T792" i="6"/>
  <c r="V792" i="6" s="1"/>
  <c r="T247" i="6"/>
  <c r="V247" i="6" s="1"/>
  <c r="T213" i="6"/>
  <c r="V213" i="6" s="1"/>
  <c r="T648" i="6"/>
  <c r="V648" i="6" s="1"/>
  <c r="T200" i="6"/>
  <c r="V200" i="6" s="1"/>
  <c r="T1003" i="6"/>
  <c r="V1003" i="6" s="1"/>
  <c r="T179" i="6"/>
  <c r="V179" i="6" s="1"/>
  <c r="T710" i="6"/>
  <c r="V710" i="6" s="1"/>
  <c r="T599" i="6"/>
  <c r="V599" i="6" s="1"/>
  <c r="T142" i="6"/>
  <c r="V142" i="6" s="1"/>
  <c r="T910" i="6"/>
  <c r="V910" i="6" s="1"/>
  <c r="T799" i="6"/>
  <c r="V799" i="6" s="1"/>
  <c r="T219" i="6"/>
  <c r="V219" i="6" s="1"/>
  <c r="T404" i="6"/>
  <c r="V404" i="6" s="1"/>
  <c r="T877" i="6"/>
  <c r="V877" i="6" s="1"/>
  <c r="T586" i="6"/>
  <c r="V586" i="6" s="1"/>
  <c r="T457" i="6"/>
  <c r="V457" i="6" s="1"/>
  <c r="T741" i="6"/>
  <c r="V741" i="6" s="1"/>
  <c r="T113" i="6"/>
  <c r="V113" i="6" s="1"/>
  <c r="T701" i="6"/>
  <c r="V701" i="6" s="1"/>
  <c r="T432" i="6"/>
  <c r="V432" i="6" s="1"/>
  <c r="T859" i="6"/>
  <c r="V859" i="6" s="1"/>
  <c r="T501" i="6"/>
  <c r="V501" i="6" s="1"/>
  <c r="T892" i="6"/>
  <c r="V892" i="6" s="1"/>
  <c r="T263" i="6"/>
  <c r="V263" i="6" s="1"/>
  <c r="T138" i="6"/>
  <c r="V138" i="6" s="1"/>
  <c r="T466" i="6"/>
  <c r="V466" i="6" s="1"/>
  <c r="T616" i="6"/>
  <c r="V616" i="6" s="1"/>
  <c r="T898" i="6"/>
  <c r="V898" i="6" s="1"/>
  <c r="T634" i="6"/>
  <c r="V634" i="6" s="1"/>
  <c r="T755" i="6"/>
  <c r="V755" i="6" s="1"/>
  <c r="T509" i="6"/>
  <c r="V509" i="6" s="1"/>
  <c r="T715" i="6"/>
  <c r="V715" i="6" s="1"/>
  <c r="T790" i="6"/>
  <c r="V790" i="6" s="1"/>
  <c r="T784" i="6"/>
  <c r="V784" i="6" s="1"/>
  <c r="T250" i="6"/>
  <c r="V250" i="6" s="1"/>
  <c r="T291" i="6"/>
  <c r="V291" i="6" s="1"/>
  <c r="T531" i="6"/>
  <c r="V531" i="6" s="1"/>
  <c r="T719" i="6"/>
  <c r="V719" i="6" s="1"/>
  <c r="T163" i="6"/>
  <c r="V163" i="6" s="1"/>
  <c r="T530" i="6"/>
  <c r="V530" i="6" s="1"/>
  <c r="T499" i="6"/>
  <c r="V499" i="6" s="1"/>
  <c r="T351" i="6"/>
  <c r="V351" i="6" s="1"/>
  <c r="T381" i="6"/>
  <c r="V381" i="6" s="1"/>
  <c r="T952" i="6"/>
  <c r="V952" i="6" s="1"/>
  <c r="T548" i="6"/>
  <c r="V548" i="6" s="1"/>
  <c r="T521" i="6"/>
  <c r="V521" i="6" s="1"/>
  <c r="T678" i="6"/>
  <c r="V678" i="6" s="1"/>
  <c r="T266" i="6"/>
  <c r="V266" i="6" s="1"/>
  <c r="T568" i="6"/>
  <c r="V568" i="6" s="1"/>
  <c r="T728" i="6"/>
  <c r="V728" i="6" s="1"/>
  <c r="T947" i="6"/>
  <c r="V947" i="6" s="1"/>
  <c r="T175" i="6"/>
  <c r="V175" i="6" s="1"/>
  <c r="T788" i="6"/>
  <c r="V788" i="6" s="1"/>
  <c r="T796" i="6"/>
  <c r="V796" i="6" s="1"/>
  <c r="T587" i="6"/>
  <c r="V587" i="6" s="1"/>
  <c r="T169" i="6"/>
  <c r="V169" i="6" s="1"/>
  <c r="T288" i="6"/>
  <c r="V288" i="6" s="1"/>
  <c r="T712" i="6"/>
  <c r="V712" i="6" s="1"/>
  <c r="T141" i="6"/>
  <c r="V141" i="6" s="1"/>
  <c r="T440" i="6"/>
  <c r="V440" i="6" s="1"/>
  <c r="T998" i="6"/>
  <c r="V998" i="6" s="1"/>
  <c r="T665" i="6"/>
  <c r="V665" i="6" s="1"/>
  <c r="T622" i="6"/>
  <c r="V622" i="6" s="1"/>
  <c r="T505" i="6"/>
  <c r="V505" i="6" s="1"/>
  <c r="T182" i="6"/>
  <c r="V182" i="6" s="1"/>
  <c r="T201" i="6"/>
  <c r="V201" i="6" s="1"/>
  <c r="T754" i="6"/>
  <c r="V754" i="6" s="1"/>
  <c r="T894" i="6"/>
  <c r="V894" i="6" s="1"/>
  <c r="T831" i="6"/>
  <c r="V831" i="6" s="1"/>
  <c r="T980" i="6"/>
  <c r="V980" i="6" s="1"/>
  <c r="T603" i="6"/>
  <c r="V603" i="6" s="1"/>
  <c r="T232" i="6"/>
  <c r="V232" i="6" s="1"/>
  <c r="T888" i="6"/>
  <c r="V888" i="6" s="1"/>
  <c r="T731" i="6"/>
  <c r="V731" i="6" s="1"/>
  <c r="G13" i="6"/>
  <c r="G12" i="6"/>
  <c r="G14" i="6" l="1"/>
  <c r="G15" i="6" l="1"/>
  <c r="G16" i="6" l="1"/>
  <c r="G17" i="6" l="1"/>
  <c r="G18" i="6" l="1"/>
  <c r="G19" i="6" l="1"/>
  <c r="G20" i="6" l="1"/>
  <c r="G21" i="6" l="1"/>
  <c r="G22" i="6" l="1"/>
  <c r="G23" i="6" l="1"/>
  <c r="G24" i="6" l="1"/>
  <c r="G25" i="6" l="1"/>
  <c r="G26" i="6" l="1"/>
  <c r="G27" i="6" l="1"/>
  <c r="G28" i="6" l="1"/>
  <c r="G29" i="6" l="1"/>
  <c r="G30" i="6" l="1"/>
  <c r="G31" i="6" l="1"/>
  <c r="G32" i="6" l="1"/>
  <c r="G33" i="6" l="1"/>
  <c r="G34" i="6" l="1"/>
  <c r="G35" i="6" l="1"/>
  <c r="G36" i="6" l="1"/>
  <c r="G37" i="6" l="1"/>
  <c r="G38" i="6" l="1"/>
  <c r="G39" i="6" l="1"/>
  <c r="G40" i="6" l="1"/>
  <c r="G41" i="6" l="1"/>
  <c r="G42" i="6" l="1"/>
  <c r="G43" i="6" l="1"/>
  <c r="G44" i="6" l="1"/>
  <c r="G45" i="6" l="1"/>
  <c r="G46" i="6" l="1"/>
  <c r="G47" i="6" l="1"/>
  <c r="G48" i="6" l="1"/>
  <c r="G49" i="6" l="1"/>
  <c r="G50" i="6" l="1"/>
  <c r="G51" i="6" l="1"/>
  <c r="G52" i="6" l="1"/>
  <c r="G53" i="6" l="1"/>
  <c r="G54" i="6" l="1"/>
  <c r="G55" i="6" l="1"/>
  <c r="G56" i="6" l="1"/>
  <c r="G57" i="6" l="1"/>
  <c r="G58" i="6" l="1"/>
  <c r="G59" i="6" l="1"/>
  <c r="G60" i="6" l="1"/>
  <c r="G61" i="6" l="1"/>
  <c r="G62" i="6" l="1"/>
  <c r="G63" i="6" l="1"/>
  <c r="G64" i="6" l="1"/>
  <c r="G65" i="6" l="1"/>
  <c r="G66" i="6" l="1"/>
  <c r="G67" i="6" l="1"/>
  <c r="G68" i="6" l="1"/>
  <c r="G69" i="6" l="1"/>
  <c r="G70" i="6" l="1"/>
  <c r="G71" i="6" l="1"/>
  <c r="G72" i="6" l="1"/>
  <c r="G73" i="6" l="1"/>
  <c r="G74" i="6" l="1"/>
  <c r="G75" i="6" l="1"/>
  <c r="G76" i="6" l="1"/>
  <c r="G77" i="6" l="1"/>
  <c r="G78" i="6" l="1"/>
  <c r="G79" i="6" l="1"/>
  <c r="G80" i="6" l="1"/>
  <c r="G81" i="6" l="1"/>
  <c r="G82" i="6" l="1"/>
  <c r="G83" i="6" l="1"/>
  <c r="G84" i="6" l="1"/>
  <c r="G85" i="6" l="1"/>
  <c r="G86" i="6" l="1"/>
  <c r="G87" i="6" l="1"/>
  <c r="G88" i="6" l="1"/>
  <c r="G89" i="6" l="1"/>
  <c r="G90" i="6" l="1"/>
  <c r="G91" i="6" l="1"/>
  <c r="G92" i="6" l="1"/>
  <c r="G93" i="6" l="1"/>
  <c r="G94" i="6" l="1"/>
  <c r="G95" i="6" l="1"/>
  <c r="G96" i="6" l="1"/>
  <c r="G97" i="6" l="1"/>
  <c r="G98" i="6" l="1"/>
  <c r="G99" i="6" l="1"/>
  <c r="G100" i="6" l="1"/>
  <c r="G101" i="6" l="1"/>
  <c r="G102" i="6" l="1"/>
  <c r="G103" i="6" l="1"/>
  <c r="G104" i="6" l="1"/>
  <c r="G105" i="6" l="1"/>
  <c r="G106" i="6" l="1"/>
  <c r="G107" i="6" l="1"/>
  <c r="G108" i="6" l="1"/>
  <c r="G109" i="6" l="1"/>
  <c r="G110" i="6" l="1"/>
  <c r="G111" i="6" l="1"/>
  <c r="G112" i="6" l="1"/>
  <c r="B78" i="6" l="1"/>
  <c r="T78" i="6" s="1"/>
  <c r="V78" i="6" s="1"/>
  <c r="B101" i="6"/>
  <c r="T101" i="6" s="1"/>
  <c r="V101" i="6" s="1"/>
  <c r="B89" i="6"/>
  <c r="T89" i="6" s="1"/>
  <c r="V89" i="6" s="1"/>
  <c r="B41" i="6"/>
  <c r="T41" i="6" s="1"/>
  <c r="V41" i="6" s="1"/>
  <c r="B29" i="6"/>
  <c r="T29" i="6" s="1"/>
  <c r="V29" i="6" s="1"/>
  <c r="B100" i="6"/>
  <c r="T100" i="6" s="1"/>
  <c r="V100" i="6" s="1"/>
  <c r="B88" i="6"/>
  <c r="T88" i="6" s="1"/>
  <c r="V88" i="6" s="1"/>
  <c r="B48" i="6"/>
  <c r="T48" i="6" s="1"/>
  <c r="V48" i="6" s="1"/>
  <c r="B108" i="6"/>
  <c r="T108" i="6" s="1"/>
  <c r="V108" i="6" s="1"/>
  <c r="B36" i="6"/>
  <c r="T36" i="6" s="1"/>
  <c r="V36" i="6" s="1"/>
  <c r="B43" i="6"/>
  <c r="T43" i="6" s="1"/>
  <c r="V43" i="6" s="1"/>
  <c r="B87" i="6"/>
  <c r="T87" i="6" s="1"/>
  <c r="V87" i="6" s="1"/>
  <c r="B75" i="6"/>
  <c r="T75" i="6" s="1"/>
  <c r="V75" i="6" s="1"/>
  <c r="B97" i="6"/>
  <c r="T97" i="6" s="1"/>
  <c r="V97" i="6" s="1"/>
  <c r="B109" i="6"/>
  <c r="T109" i="6" s="1"/>
  <c r="V109" i="6" s="1"/>
  <c r="B16" i="6"/>
  <c r="T16" i="6" s="1"/>
  <c r="V16" i="6" s="1"/>
  <c r="B104" i="6"/>
  <c r="T104" i="6" s="1"/>
  <c r="V104" i="6" s="1"/>
  <c r="B63" i="6"/>
  <c r="T63" i="6" s="1"/>
  <c r="V63" i="6" s="1"/>
  <c r="B85" i="6"/>
  <c r="T85" i="6" s="1"/>
  <c r="V85" i="6" s="1"/>
  <c r="B107" i="6"/>
  <c r="T107" i="6" s="1"/>
  <c r="V107" i="6" s="1"/>
  <c r="B94" i="6"/>
  <c r="T94" i="6" s="1"/>
  <c r="V94" i="6" s="1"/>
  <c r="B68" i="6"/>
  <c r="T68" i="6" s="1"/>
  <c r="V68" i="6" s="1"/>
  <c r="B42" i="6"/>
  <c r="T42" i="6" s="1"/>
  <c r="V42" i="6" s="1"/>
  <c r="B65" i="6"/>
  <c r="T65" i="6" s="1"/>
  <c r="V65" i="6" s="1"/>
  <c r="B51" i="6"/>
  <c r="T51" i="6" s="1"/>
  <c r="V51" i="6" s="1"/>
  <c r="B31" i="6"/>
  <c r="T31" i="6" s="1"/>
  <c r="V31" i="6" s="1"/>
  <c r="B95" i="6"/>
  <c r="T95" i="6" s="1"/>
  <c r="V95" i="6" s="1"/>
  <c r="B106" i="6"/>
  <c r="T106" i="6" s="1"/>
  <c r="V106" i="6" s="1"/>
  <c r="B24" i="6"/>
  <c r="T24" i="6" s="1"/>
  <c r="V24" i="6" s="1"/>
  <c r="B93" i="6"/>
  <c r="T93" i="6" s="1"/>
  <c r="V93" i="6" s="1"/>
  <c r="B39" i="6"/>
  <c r="T39" i="6" s="1"/>
  <c r="V39" i="6" s="1"/>
  <c r="B102" i="6"/>
  <c r="T102" i="6" s="1"/>
  <c r="V102" i="6" s="1"/>
  <c r="B83" i="6"/>
  <c r="T83" i="6" s="1"/>
  <c r="V83" i="6" s="1"/>
  <c r="D84" i="6"/>
  <c r="B110" i="6"/>
  <c r="T110" i="6" s="1"/>
  <c r="V110" i="6" s="1"/>
  <c r="B69" i="6"/>
  <c r="T69" i="6" s="1"/>
  <c r="V69" i="6" s="1"/>
  <c r="B21" i="6"/>
  <c r="T21" i="6" s="1"/>
  <c r="V21" i="6" s="1"/>
  <c r="B19" i="6"/>
  <c r="T19" i="6" s="1"/>
  <c r="V19" i="6" s="1"/>
  <c r="B18" i="6"/>
  <c r="T18" i="6" s="1"/>
  <c r="V18" i="6" s="1"/>
  <c r="B47" i="6"/>
  <c r="T47" i="6" s="1"/>
  <c r="V47" i="6" s="1"/>
  <c r="B73" i="6"/>
  <c r="T73" i="6" s="1"/>
  <c r="V73" i="6" s="1"/>
  <c r="B54" i="6"/>
  <c r="T54" i="6" s="1"/>
  <c r="V54" i="6" s="1"/>
  <c r="B62" i="6"/>
  <c r="T62" i="6" s="1"/>
  <c r="V62" i="6" s="1"/>
  <c r="B61" i="6"/>
  <c r="T61" i="6" s="1"/>
  <c r="V61" i="6" s="1"/>
  <c r="B40" i="6"/>
  <c r="T40" i="6" s="1"/>
  <c r="V40" i="6" s="1"/>
  <c r="B90" i="6"/>
  <c r="T90" i="6" s="1"/>
  <c r="V90" i="6" s="1"/>
  <c r="B23" i="6"/>
  <c r="T23" i="6" s="1"/>
  <c r="V23" i="6" s="1"/>
  <c r="B70" i="6"/>
  <c r="T70" i="6" s="1"/>
  <c r="V70" i="6" s="1"/>
  <c r="B103" i="6"/>
  <c r="T103" i="6" s="1"/>
  <c r="V103" i="6" s="1"/>
  <c r="B77" i="6"/>
  <c r="T77" i="6" s="1"/>
  <c r="V77" i="6" s="1"/>
  <c r="B105" i="6"/>
  <c r="T105" i="6" s="1"/>
  <c r="V105" i="6" s="1"/>
  <c r="B50" i="6"/>
  <c r="T50" i="6" s="1"/>
  <c r="V50" i="6" s="1"/>
  <c r="B49" i="6"/>
  <c r="T49" i="6" s="1"/>
  <c r="V49" i="6" s="1"/>
  <c r="B86" i="6"/>
  <c r="T86" i="6" s="1"/>
  <c r="V86" i="6" s="1"/>
  <c r="B30" i="6"/>
  <c r="T30" i="6" s="1"/>
  <c r="V30" i="6" s="1"/>
  <c r="B57" i="6"/>
  <c r="T57" i="6" s="1"/>
  <c r="V57" i="6" s="1"/>
  <c r="B58" i="6"/>
  <c r="T58" i="6" s="1"/>
  <c r="V58" i="6" s="1"/>
  <c r="B98" i="6"/>
  <c r="T98" i="6" s="1"/>
  <c r="V98" i="6" s="1"/>
  <c r="B17" i="6"/>
  <c r="T17" i="6" s="1"/>
  <c r="V17" i="6" s="1"/>
  <c r="B33" i="6"/>
  <c r="T33" i="6" s="1"/>
  <c r="V33" i="6" s="1"/>
  <c r="B38" i="6"/>
  <c r="T38" i="6" s="1"/>
  <c r="V38" i="6" s="1"/>
  <c r="B37" i="6"/>
  <c r="T37" i="6" s="1"/>
  <c r="V37" i="6" s="1"/>
  <c r="B96" i="6"/>
  <c r="T96" i="6" s="1"/>
  <c r="V96" i="6" s="1"/>
  <c r="B53" i="6"/>
  <c r="T53" i="6" s="1"/>
  <c r="V53" i="6" s="1"/>
  <c r="B80" i="6"/>
  <c r="T80" i="6" s="1"/>
  <c r="V80" i="6" s="1"/>
  <c r="B79" i="6"/>
  <c r="T79" i="6" s="1"/>
  <c r="V79" i="6" s="1"/>
  <c r="B35" i="6"/>
  <c r="T35" i="6" s="1"/>
  <c r="V35" i="6" s="1"/>
  <c r="B64" i="6"/>
  <c r="T64" i="6" s="1"/>
  <c r="V64" i="6" s="1"/>
  <c r="B92" i="6"/>
  <c r="T92" i="6" s="1"/>
  <c r="V92" i="6" s="1"/>
  <c r="B26" i="6"/>
  <c r="T26" i="6" s="1"/>
  <c r="V26" i="6" s="1"/>
  <c r="B25" i="6"/>
  <c r="T25" i="6" s="1"/>
  <c r="V25" i="6" s="1"/>
  <c r="B84" i="6"/>
  <c r="T84" i="6" s="1"/>
  <c r="V84" i="6" s="1"/>
  <c r="B76" i="6"/>
  <c r="T76" i="6" s="1"/>
  <c r="V76" i="6" s="1"/>
  <c r="B20" i="6"/>
  <c r="T20" i="6" s="1"/>
  <c r="V20" i="6" s="1"/>
  <c r="B27" i="6"/>
  <c r="T27" i="6" s="1"/>
  <c r="V27" i="6" s="1"/>
  <c r="B112" i="6"/>
  <c r="T112" i="6" s="1"/>
  <c r="B82" i="6"/>
  <c r="T82" i="6" s="1"/>
  <c r="V82" i="6" s="1"/>
  <c r="B111" i="6"/>
  <c r="T111" i="6" s="1"/>
  <c r="V111" i="6" s="1"/>
  <c r="B32" i="6"/>
  <c r="T32" i="6" s="1"/>
  <c r="V32" i="6" s="1"/>
  <c r="B45" i="6"/>
  <c r="T45" i="6" s="1"/>
  <c r="V45" i="6" s="1"/>
  <c r="B81" i="6"/>
  <c r="T81" i="6" s="1"/>
  <c r="V81" i="6" s="1"/>
  <c r="B72" i="6"/>
  <c r="T72" i="6" s="1"/>
  <c r="V72" i="6" s="1"/>
  <c r="B28" i="6"/>
  <c r="T28" i="6" s="1"/>
  <c r="V28" i="6" s="1"/>
  <c r="B67" i="6"/>
  <c r="T67" i="6" s="1"/>
  <c r="V67" i="6" s="1"/>
  <c r="B99" i="6"/>
  <c r="T99" i="6" s="1"/>
  <c r="V99" i="6" s="1"/>
  <c r="B91" i="6"/>
  <c r="T91" i="6" s="1"/>
  <c r="V91" i="6" s="1"/>
  <c r="B56" i="6"/>
  <c r="T56" i="6" s="1"/>
  <c r="V56" i="6" s="1"/>
  <c r="B44" i="6"/>
  <c r="T44" i="6" s="1"/>
  <c r="V44" i="6" s="1"/>
  <c r="B60" i="6"/>
  <c r="T60" i="6" s="1"/>
  <c r="V60" i="6" s="1"/>
  <c r="B74" i="6"/>
  <c r="T74" i="6" s="1"/>
  <c r="V74" i="6" s="1"/>
  <c r="B66" i="6"/>
  <c r="T66" i="6" s="1"/>
  <c r="V66" i="6" s="1"/>
  <c r="B34" i="6"/>
  <c r="T34" i="6" s="1"/>
  <c r="V34" i="6" s="1"/>
  <c r="B22" i="6"/>
  <c r="T22" i="6" s="1"/>
  <c r="V22" i="6" s="1"/>
  <c r="B46" i="6"/>
  <c r="T46" i="6" s="1"/>
  <c r="V46" i="6" s="1"/>
  <c r="B14" i="6"/>
  <c r="T14" i="6" s="1"/>
  <c r="V14" i="6" s="1"/>
  <c r="B71" i="6"/>
  <c r="T71" i="6" s="1"/>
  <c r="V71" i="6" s="1"/>
  <c r="B52" i="6"/>
  <c r="T52" i="6" s="1"/>
  <c r="V52" i="6" s="1"/>
  <c r="B55" i="6"/>
  <c r="T55" i="6" s="1"/>
  <c r="V55" i="6" s="1"/>
  <c r="B59" i="6"/>
  <c r="T59" i="6" s="1"/>
  <c r="V59" i="6" s="1"/>
  <c r="E12" i="6"/>
  <c r="S12" i="6" s="1"/>
  <c r="E20" i="6"/>
  <c r="E32" i="6"/>
  <c r="E44" i="6"/>
  <c r="E56" i="6"/>
  <c r="E68" i="6"/>
  <c r="E80" i="6"/>
  <c r="E92" i="6"/>
  <c r="E104" i="6"/>
  <c r="E70" i="6"/>
  <c r="E47" i="6"/>
  <c r="E83" i="6"/>
  <c r="E36" i="6"/>
  <c r="E84" i="6"/>
  <c r="E49" i="6"/>
  <c r="E97" i="6"/>
  <c r="E26" i="6"/>
  <c r="E74" i="6"/>
  <c r="E110" i="6"/>
  <c r="E27" i="6"/>
  <c r="E87" i="6"/>
  <c r="E16" i="6"/>
  <c r="E52" i="6"/>
  <c r="E76" i="6"/>
  <c r="E66" i="6"/>
  <c r="E55" i="6"/>
  <c r="E21" i="6"/>
  <c r="E33" i="6"/>
  <c r="E45" i="6"/>
  <c r="E57" i="6"/>
  <c r="E69" i="6"/>
  <c r="E81" i="6"/>
  <c r="E93" i="6"/>
  <c r="E105" i="6"/>
  <c r="E82" i="6"/>
  <c r="E106" i="6"/>
  <c r="E59" i="6"/>
  <c r="E107" i="6"/>
  <c r="E48" i="6"/>
  <c r="E96" i="6"/>
  <c r="E13" i="6"/>
  <c r="E85" i="6"/>
  <c r="E38" i="6"/>
  <c r="E98" i="6"/>
  <c r="E39" i="6"/>
  <c r="E75" i="6"/>
  <c r="E111" i="6"/>
  <c r="E28" i="6"/>
  <c r="E64" i="6"/>
  <c r="E100" i="6"/>
  <c r="E29" i="6"/>
  <c r="E77" i="6"/>
  <c r="E101" i="6"/>
  <c r="E42" i="6"/>
  <c r="E78" i="6"/>
  <c r="E19" i="6"/>
  <c r="E103" i="6"/>
  <c r="E22" i="6"/>
  <c r="E34" i="6"/>
  <c r="E46" i="6"/>
  <c r="E58" i="6"/>
  <c r="E94" i="6"/>
  <c r="E95" i="6"/>
  <c r="E60" i="6"/>
  <c r="E37" i="6"/>
  <c r="E109" i="6"/>
  <c r="E62" i="6"/>
  <c r="E112" i="6"/>
  <c r="E41" i="6"/>
  <c r="E30" i="6"/>
  <c r="E102" i="6"/>
  <c r="E67" i="6"/>
  <c r="E23" i="6"/>
  <c r="E35" i="6"/>
  <c r="E71" i="6"/>
  <c r="E72" i="6"/>
  <c r="E108" i="6"/>
  <c r="E25" i="6"/>
  <c r="E73" i="6"/>
  <c r="E40" i="6"/>
  <c r="E88" i="6"/>
  <c r="E17" i="6"/>
  <c r="E65" i="6"/>
  <c r="E43" i="6"/>
  <c r="E79" i="6"/>
  <c r="E24" i="6"/>
  <c r="E61" i="6"/>
  <c r="E14" i="6"/>
  <c r="E50" i="6"/>
  <c r="E86" i="6"/>
  <c r="E15" i="6"/>
  <c r="E51" i="6"/>
  <c r="E63" i="6"/>
  <c r="E99" i="6"/>
  <c r="E53" i="6"/>
  <c r="E89" i="6"/>
  <c r="E18" i="6"/>
  <c r="E54" i="6"/>
  <c r="E90" i="6"/>
  <c r="E31" i="6"/>
  <c r="E91" i="6"/>
  <c r="V112" i="6" l="1"/>
  <c r="B15" i="6"/>
  <c r="T15" i="6" s="1"/>
  <c r="V15" i="6" s="1"/>
  <c r="D66" i="6"/>
  <c r="N66" i="6" s="1"/>
  <c r="D19" i="6"/>
  <c r="N19" i="6" s="1"/>
  <c r="D38" i="6"/>
  <c r="N38" i="6" s="1"/>
  <c r="D26" i="6"/>
  <c r="N26" i="6" s="1"/>
  <c r="D23" i="6"/>
  <c r="N23" i="6" s="1"/>
  <c r="D36" i="6"/>
  <c r="N36" i="6" s="1"/>
  <c r="D59" i="6"/>
  <c r="N59" i="6" s="1"/>
  <c r="D108" i="6"/>
  <c r="N108" i="6" s="1"/>
  <c r="D94" i="6"/>
  <c r="N94" i="6" s="1"/>
  <c r="D106" i="6"/>
  <c r="N106" i="6" s="1"/>
  <c r="D12" i="6"/>
  <c r="N12" i="6" s="1"/>
  <c r="D105" i="6"/>
  <c r="N105" i="6" s="1"/>
  <c r="D34" i="6"/>
  <c r="N34" i="6" s="1"/>
  <c r="D78" i="6"/>
  <c r="N78" i="6" s="1"/>
  <c r="D22" i="6"/>
  <c r="N22" i="6" s="1"/>
  <c r="D83" i="6"/>
  <c r="N83" i="6" s="1"/>
  <c r="D39" i="6"/>
  <c r="N39" i="6" s="1"/>
  <c r="D81" i="6"/>
  <c r="N81" i="6" s="1"/>
  <c r="D72" i="6"/>
  <c r="N72" i="6" s="1"/>
  <c r="D14" i="6"/>
  <c r="N14" i="6" s="1"/>
  <c r="D67" i="6"/>
  <c r="N67" i="6" s="1"/>
  <c r="D35" i="6"/>
  <c r="N35" i="6" s="1"/>
  <c r="D80" i="6"/>
  <c r="N80" i="6" s="1"/>
  <c r="D73" i="6"/>
  <c r="N73" i="6" s="1"/>
  <c r="D42" i="6"/>
  <c r="N42" i="6" s="1"/>
  <c r="D68" i="6"/>
  <c r="N68" i="6" s="1"/>
  <c r="D91" i="6"/>
  <c r="N91" i="6" s="1"/>
  <c r="D18" i="6"/>
  <c r="N18" i="6" s="1"/>
  <c r="D71" i="6"/>
  <c r="N71" i="6" s="1"/>
  <c r="D107" i="6"/>
  <c r="N107" i="6" s="1"/>
  <c r="D82" i="6"/>
  <c r="N82" i="6" s="1"/>
  <c r="D65" i="6"/>
  <c r="N65" i="6" s="1"/>
  <c r="D69" i="6"/>
  <c r="N69" i="6" s="1"/>
  <c r="D93" i="6"/>
  <c r="N93" i="6" s="1"/>
  <c r="D104" i="6"/>
  <c r="N104" i="6" s="1"/>
  <c r="D55" i="6"/>
  <c r="N55" i="6" s="1"/>
  <c r="D64" i="6"/>
  <c r="N64" i="6" s="1"/>
  <c r="D57" i="6"/>
  <c r="N57" i="6" s="1"/>
  <c r="D92" i="6"/>
  <c r="N92" i="6" s="1"/>
  <c r="D103" i="6"/>
  <c r="N103" i="6" s="1"/>
  <c r="D62" i="6"/>
  <c r="N62" i="6" s="1"/>
  <c r="D58" i="6"/>
  <c r="N58" i="6" s="1"/>
  <c r="D40" i="6"/>
  <c r="N40" i="6" s="1"/>
  <c r="D79" i="6"/>
  <c r="N79" i="6" s="1"/>
  <c r="D102" i="6"/>
  <c r="N102" i="6" s="1"/>
  <c r="D50" i="6"/>
  <c r="N50" i="6" s="1"/>
  <c r="D46" i="6"/>
  <c r="N46" i="6" s="1"/>
  <c r="D48" i="6"/>
  <c r="N48" i="6" s="1"/>
  <c r="D95" i="6"/>
  <c r="N95" i="6" s="1"/>
  <c r="D54" i="6"/>
  <c r="N54" i="6" s="1"/>
  <c r="D61" i="6"/>
  <c r="N61" i="6" s="1"/>
  <c r="D63" i="6"/>
  <c r="N63" i="6" s="1"/>
  <c r="D29" i="6"/>
  <c r="N29" i="6" s="1"/>
  <c r="D45" i="6"/>
  <c r="N45" i="6" s="1"/>
  <c r="D56" i="6"/>
  <c r="N56" i="6" s="1"/>
  <c r="D90" i="6"/>
  <c r="N90" i="6" s="1"/>
  <c r="D89" i="6"/>
  <c r="N89" i="6" s="1"/>
  <c r="D101" i="6"/>
  <c r="N101" i="6" s="1"/>
  <c r="D53" i="6"/>
  <c r="N53" i="6" s="1"/>
  <c r="D49" i="6"/>
  <c r="N49" i="6" s="1"/>
  <c r="D27" i="6"/>
  <c r="N27" i="6" s="1"/>
  <c r="D17" i="6"/>
  <c r="N17" i="6" s="1"/>
  <c r="D33" i="6"/>
  <c r="N33" i="6" s="1"/>
  <c r="D44" i="6"/>
  <c r="N44" i="6" s="1"/>
  <c r="D112" i="6"/>
  <c r="N112" i="6" s="1"/>
  <c r="D111" i="6"/>
  <c r="N111" i="6" s="1"/>
  <c r="D77" i="6"/>
  <c r="N77" i="6" s="1"/>
  <c r="D52" i="6"/>
  <c r="N52" i="6" s="1"/>
  <c r="D37" i="6"/>
  <c r="N37" i="6" s="1"/>
  <c r="D60" i="6"/>
  <c r="N60" i="6" s="1"/>
  <c r="D76" i="6"/>
  <c r="N76" i="6" s="1"/>
  <c r="D21" i="6"/>
  <c r="N21" i="6" s="1"/>
  <c r="D32" i="6"/>
  <c r="N32" i="6" s="1"/>
  <c r="D100" i="6"/>
  <c r="N100" i="6" s="1"/>
  <c r="D99" i="6"/>
  <c r="N99" i="6" s="1"/>
  <c r="D110" i="6"/>
  <c r="N110" i="6" s="1"/>
  <c r="D51" i="6"/>
  <c r="N51" i="6" s="1"/>
  <c r="D25" i="6"/>
  <c r="N25" i="6" s="1"/>
  <c r="D24" i="6"/>
  <c r="N24" i="6" s="1"/>
  <c r="D28" i="6"/>
  <c r="N28" i="6" s="1"/>
  <c r="D43" i="6"/>
  <c r="N43" i="6" s="1"/>
  <c r="D20" i="6"/>
  <c r="N20" i="6" s="1"/>
  <c r="D88" i="6"/>
  <c r="N88" i="6" s="1"/>
  <c r="D87" i="6"/>
  <c r="N87" i="6" s="1"/>
  <c r="D98" i="6"/>
  <c r="N98" i="6" s="1"/>
  <c r="D15" i="6"/>
  <c r="N15" i="6" s="1"/>
  <c r="D13" i="6"/>
  <c r="N13" i="6" s="1"/>
  <c r="D47" i="6"/>
  <c r="N47" i="6" s="1"/>
  <c r="D16" i="6"/>
  <c r="N16" i="6" s="1"/>
  <c r="D30" i="6"/>
  <c r="N30" i="6" s="1"/>
  <c r="D97" i="6"/>
  <c r="N97" i="6" s="1"/>
  <c r="D85" i="6"/>
  <c r="N85" i="6" s="1"/>
  <c r="D86" i="6"/>
  <c r="N86" i="6" s="1"/>
  <c r="D74" i="6"/>
  <c r="N74" i="6" s="1"/>
  <c r="D31" i="6"/>
  <c r="N31" i="6" s="1"/>
  <c r="D70" i="6"/>
  <c r="N70" i="6" s="1"/>
  <c r="D75" i="6"/>
  <c r="N75" i="6" s="1"/>
  <c r="D41" i="6"/>
  <c r="N41" i="6" s="1"/>
  <c r="D109" i="6"/>
  <c r="N109" i="6" s="1"/>
  <c r="D96" i="6"/>
  <c r="N96" i="6" s="1"/>
  <c r="B13" i="6"/>
  <c r="T13" i="6" s="1"/>
  <c r="V13" i="6" s="1"/>
  <c r="N84" i="6"/>
  <c r="B12" i="6"/>
  <c r="T12" i="6" s="1"/>
  <c r="V12" i="6" s="1"/>
  <c r="W12" i="6"/>
  <c r="O22" i="6"/>
  <c r="S22" i="6"/>
  <c r="W22" i="6" s="1"/>
  <c r="O70" i="6"/>
  <c r="S70" i="6"/>
  <c r="W70" i="6" s="1"/>
  <c r="O41" i="6"/>
  <c r="S41" i="6"/>
  <c r="W41" i="6" s="1"/>
  <c r="O19" i="6"/>
  <c r="S19" i="6"/>
  <c r="W19" i="6" s="1"/>
  <c r="O91" i="6"/>
  <c r="S91" i="6"/>
  <c r="W91" i="6" s="1"/>
  <c r="O86" i="6"/>
  <c r="S86" i="6"/>
  <c r="W86" i="6" s="1"/>
  <c r="O25" i="6"/>
  <c r="S25" i="6"/>
  <c r="W25" i="6" s="1"/>
  <c r="O109" i="6"/>
  <c r="S109" i="6"/>
  <c r="W109" i="6" s="1"/>
  <c r="O42" i="6"/>
  <c r="S42" i="6"/>
  <c r="W42" i="6" s="1"/>
  <c r="O85" i="6"/>
  <c r="S85" i="6"/>
  <c r="W85" i="6" s="1"/>
  <c r="O57" i="6"/>
  <c r="S57" i="6"/>
  <c r="W57" i="6" s="1"/>
  <c r="O74" i="6"/>
  <c r="S74" i="6"/>
  <c r="W74" i="6" s="1"/>
  <c r="O68" i="6"/>
  <c r="S68" i="6"/>
  <c r="W68" i="6" s="1"/>
  <c r="O31" i="6"/>
  <c r="S31" i="6"/>
  <c r="W31" i="6" s="1"/>
  <c r="O50" i="6"/>
  <c r="S50" i="6"/>
  <c r="W50" i="6" s="1"/>
  <c r="O108" i="6"/>
  <c r="S108" i="6"/>
  <c r="W108" i="6" s="1"/>
  <c r="O37" i="6"/>
  <c r="S37" i="6"/>
  <c r="W37" i="6" s="1"/>
  <c r="O101" i="6"/>
  <c r="S101" i="6"/>
  <c r="W101" i="6" s="1"/>
  <c r="O13" i="6"/>
  <c r="S13" i="6"/>
  <c r="W13" i="6" s="1"/>
  <c r="O45" i="6"/>
  <c r="S45" i="6"/>
  <c r="W45" i="6" s="1"/>
  <c r="O26" i="6"/>
  <c r="S26" i="6"/>
  <c r="W26" i="6" s="1"/>
  <c r="O56" i="6"/>
  <c r="S56" i="6"/>
  <c r="W56" i="6" s="1"/>
  <c r="O75" i="6"/>
  <c r="S75" i="6"/>
  <c r="W75" i="6" s="1"/>
  <c r="O27" i="6"/>
  <c r="S27" i="6"/>
  <c r="W27" i="6" s="1"/>
  <c r="O60" i="6"/>
  <c r="S60" i="6"/>
  <c r="W60" i="6" s="1"/>
  <c r="O97" i="6"/>
  <c r="S97" i="6"/>
  <c r="W97" i="6" s="1"/>
  <c r="O54" i="6"/>
  <c r="S54" i="6"/>
  <c r="W54" i="6" s="1"/>
  <c r="O61" i="6"/>
  <c r="S61" i="6"/>
  <c r="W61" i="6" s="1"/>
  <c r="O71" i="6"/>
  <c r="S71" i="6"/>
  <c r="W71" i="6" s="1"/>
  <c r="O95" i="6"/>
  <c r="S95" i="6"/>
  <c r="W95" i="6" s="1"/>
  <c r="O29" i="6"/>
  <c r="S29" i="6"/>
  <c r="W29" i="6" s="1"/>
  <c r="O48" i="6"/>
  <c r="S48" i="6"/>
  <c r="W48" i="6" s="1"/>
  <c r="O21" i="6"/>
  <c r="S21" i="6"/>
  <c r="W21" i="6" s="1"/>
  <c r="O49" i="6"/>
  <c r="S49" i="6"/>
  <c r="W49" i="6" s="1"/>
  <c r="O32" i="6"/>
  <c r="S32" i="6"/>
  <c r="W32" i="6" s="1"/>
  <c r="O30" i="6"/>
  <c r="S30" i="6"/>
  <c r="W30" i="6" s="1"/>
  <c r="O16" i="6"/>
  <c r="S16" i="6"/>
  <c r="W16" i="6" s="1"/>
  <c r="O40" i="6"/>
  <c r="S40" i="6"/>
  <c r="W40" i="6" s="1"/>
  <c r="O73" i="6"/>
  <c r="S73" i="6"/>
  <c r="W73" i="6" s="1"/>
  <c r="O90" i="6"/>
  <c r="S90" i="6"/>
  <c r="W90" i="6" s="1"/>
  <c r="O96" i="6"/>
  <c r="S96" i="6"/>
  <c r="W96" i="6" s="1"/>
  <c r="O18" i="6"/>
  <c r="S18" i="6"/>
  <c r="W18" i="6" s="1"/>
  <c r="O24" i="6"/>
  <c r="S24" i="6"/>
  <c r="W24" i="6" s="1"/>
  <c r="O35" i="6"/>
  <c r="S35" i="6"/>
  <c r="W35" i="6" s="1"/>
  <c r="O94" i="6"/>
  <c r="S94" i="6"/>
  <c r="W94" i="6" s="1"/>
  <c r="O100" i="6"/>
  <c r="S100" i="6"/>
  <c r="W100" i="6" s="1"/>
  <c r="O107" i="6"/>
  <c r="S107" i="6"/>
  <c r="W107" i="6" s="1"/>
  <c r="O55" i="6"/>
  <c r="S55" i="6"/>
  <c r="W55" i="6" s="1"/>
  <c r="O84" i="6"/>
  <c r="S84" i="6"/>
  <c r="W84" i="6" s="1"/>
  <c r="O20" i="6"/>
  <c r="S20" i="6"/>
  <c r="W20" i="6" s="1"/>
  <c r="O105" i="6"/>
  <c r="S105" i="6"/>
  <c r="W105" i="6" s="1"/>
  <c r="O103" i="6"/>
  <c r="S103" i="6"/>
  <c r="W103" i="6" s="1"/>
  <c r="O51" i="6"/>
  <c r="S51" i="6"/>
  <c r="W51" i="6" s="1"/>
  <c r="O81" i="6"/>
  <c r="S81" i="6"/>
  <c r="W81" i="6" s="1"/>
  <c r="O62" i="6"/>
  <c r="S62" i="6"/>
  <c r="W62" i="6" s="1"/>
  <c r="O38" i="6"/>
  <c r="S38" i="6"/>
  <c r="W38" i="6" s="1"/>
  <c r="O69" i="6"/>
  <c r="S69" i="6"/>
  <c r="W69" i="6" s="1"/>
  <c r="O110" i="6"/>
  <c r="S110" i="6"/>
  <c r="W110" i="6" s="1"/>
  <c r="O80" i="6"/>
  <c r="S80" i="6"/>
  <c r="W80" i="6" s="1"/>
  <c r="O14" i="6"/>
  <c r="S14" i="6"/>
  <c r="W14" i="6" s="1"/>
  <c r="O44" i="6"/>
  <c r="S44" i="6"/>
  <c r="W44" i="6" s="1"/>
  <c r="O89" i="6"/>
  <c r="S89" i="6"/>
  <c r="W89" i="6" s="1"/>
  <c r="O79" i="6"/>
  <c r="S79" i="6"/>
  <c r="W79" i="6" s="1"/>
  <c r="O23" i="6"/>
  <c r="S23" i="6"/>
  <c r="W23" i="6" s="1"/>
  <c r="O58" i="6"/>
  <c r="S58" i="6"/>
  <c r="W58" i="6" s="1"/>
  <c r="O64" i="6"/>
  <c r="S64" i="6"/>
  <c r="W64" i="6" s="1"/>
  <c r="O59" i="6"/>
  <c r="S59" i="6"/>
  <c r="W59" i="6" s="1"/>
  <c r="O66" i="6"/>
  <c r="S66" i="6"/>
  <c r="W66" i="6" s="1"/>
  <c r="O36" i="6"/>
  <c r="S36" i="6"/>
  <c r="W36" i="6" s="1"/>
  <c r="O99" i="6"/>
  <c r="S99" i="6"/>
  <c r="W99" i="6" s="1"/>
  <c r="O63" i="6"/>
  <c r="S63" i="6"/>
  <c r="W63" i="6" s="1"/>
  <c r="O39" i="6"/>
  <c r="S39" i="6"/>
  <c r="W39" i="6" s="1"/>
  <c r="O87" i="6"/>
  <c r="S87" i="6"/>
  <c r="W87" i="6" s="1"/>
  <c r="O104" i="6"/>
  <c r="S104" i="6"/>
  <c r="W104" i="6" s="1"/>
  <c r="O112" i="6"/>
  <c r="S112" i="6"/>
  <c r="W112" i="6" s="1"/>
  <c r="O92" i="6"/>
  <c r="S92" i="6"/>
  <c r="W92" i="6" s="1"/>
  <c r="O15" i="6"/>
  <c r="S15" i="6"/>
  <c r="W15" i="6" s="1"/>
  <c r="O33" i="6"/>
  <c r="S33" i="6"/>
  <c r="W33" i="6" s="1"/>
  <c r="O53" i="6"/>
  <c r="S53" i="6"/>
  <c r="W53" i="6" s="1"/>
  <c r="O43" i="6"/>
  <c r="S43" i="6"/>
  <c r="W43" i="6" s="1"/>
  <c r="O67" i="6"/>
  <c r="S67" i="6"/>
  <c r="W67" i="6" s="1"/>
  <c r="O46" i="6"/>
  <c r="S46" i="6"/>
  <c r="W46" i="6" s="1"/>
  <c r="O28" i="6"/>
  <c r="S28" i="6"/>
  <c r="W28" i="6" s="1"/>
  <c r="O106" i="6"/>
  <c r="S106" i="6"/>
  <c r="W106" i="6" s="1"/>
  <c r="O76" i="6"/>
  <c r="S76" i="6"/>
  <c r="W76" i="6" s="1"/>
  <c r="O83" i="6"/>
  <c r="S83" i="6"/>
  <c r="W83" i="6" s="1"/>
  <c r="O17" i="6"/>
  <c r="S17" i="6"/>
  <c r="W17" i="6" s="1"/>
  <c r="O88" i="6"/>
  <c r="S88" i="6"/>
  <c r="W88" i="6" s="1"/>
  <c r="O93" i="6"/>
  <c r="S93" i="6"/>
  <c r="W93" i="6" s="1"/>
  <c r="O98" i="6"/>
  <c r="S98" i="6"/>
  <c r="W98" i="6" s="1"/>
  <c r="O78" i="6"/>
  <c r="S78" i="6"/>
  <c r="W78" i="6" s="1"/>
  <c r="O72" i="6"/>
  <c r="S72" i="6"/>
  <c r="W72" i="6" s="1"/>
  <c r="O77" i="6"/>
  <c r="S77" i="6"/>
  <c r="W77" i="6" s="1"/>
  <c r="O65" i="6"/>
  <c r="S65" i="6"/>
  <c r="W65" i="6" s="1"/>
  <c r="O102" i="6"/>
  <c r="S102" i="6"/>
  <c r="W102" i="6" s="1"/>
  <c r="O34" i="6"/>
  <c r="S34" i="6"/>
  <c r="W34" i="6" s="1"/>
  <c r="O111" i="6"/>
  <c r="S111" i="6"/>
  <c r="W111" i="6" s="1"/>
  <c r="O82" i="6"/>
  <c r="S82" i="6"/>
  <c r="W82" i="6" s="1"/>
  <c r="O52" i="6"/>
  <c r="S52" i="6"/>
  <c r="W52" i="6" s="1"/>
  <c r="O47" i="6"/>
  <c r="S47" i="6"/>
  <c r="W47" i="6" s="1"/>
  <c r="H5" i="6" l="1"/>
  <c r="H6" i="6" s="1"/>
  <c r="L12" i="6"/>
  <c r="L123" i="6" l="1"/>
  <c r="L684" i="6"/>
  <c r="L382" i="6"/>
  <c r="L282" i="6"/>
  <c r="L792" i="6"/>
  <c r="L1004" i="6"/>
  <c r="L840" i="6"/>
  <c r="L255" i="6"/>
  <c r="L393" i="6"/>
  <c r="L731" i="6"/>
  <c r="L915" i="6"/>
  <c r="L642" i="6"/>
  <c r="L835" i="6"/>
  <c r="L528" i="6"/>
  <c r="L537" i="6"/>
  <c r="L468" i="6"/>
  <c r="L774" i="6"/>
  <c r="L209" i="6"/>
  <c r="L515" i="6"/>
  <c r="L572" i="6"/>
  <c r="L819" i="6"/>
  <c r="L868" i="6"/>
  <c r="L730" i="6"/>
  <c r="L331" i="6"/>
  <c r="L912" i="6"/>
  <c r="L399" i="6"/>
  <c r="L517" i="6"/>
  <c r="L344" i="6"/>
  <c r="L664" i="6"/>
  <c r="L542" i="6"/>
  <c r="L740" i="6"/>
  <c r="L901" i="6"/>
  <c r="L650" i="6"/>
  <c r="L281" i="6"/>
  <c r="L157" i="6"/>
  <c r="L540" i="6"/>
  <c r="L333" i="6"/>
  <c r="L877" i="6"/>
  <c r="L970" i="6"/>
  <c r="L1000" i="6"/>
  <c r="L408" i="6"/>
  <c r="L871" i="6"/>
  <c r="L713" i="6"/>
  <c r="L794" i="6"/>
  <c r="L247" i="6"/>
  <c r="L689" i="6"/>
  <c r="L199" i="6"/>
  <c r="L935" i="6"/>
  <c r="L263" i="6"/>
  <c r="L857" i="6"/>
  <c r="L185" i="6"/>
  <c r="L762" i="6"/>
  <c r="L437" i="6"/>
  <c r="L698" i="6"/>
  <c r="L601" i="6"/>
  <c r="L585" i="6"/>
  <c r="L457" i="6"/>
  <c r="L672" i="6"/>
  <c r="L916" i="6"/>
  <c r="L533" i="6"/>
  <c r="L194" i="6"/>
  <c r="L479" i="6"/>
  <c r="L590" i="6"/>
  <c r="L580" i="6"/>
  <c r="L343" i="6"/>
  <c r="L326" i="6"/>
  <c r="L348" i="6"/>
  <c r="L321" i="6"/>
  <c r="L977" i="6"/>
  <c r="L548" i="6"/>
  <c r="L950" i="6"/>
  <c r="L327" i="6"/>
  <c r="L485" i="6"/>
  <c r="L141" i="6"/>
  <c r="L817" i="6"/>
  <c r="L613" i="6"/>
  <c r="L804" i="6"/>
  <c r="L233" i="6"/>
  <c r="L734" i="6"/>
  <c r="L222" i="6"/>
  <c r="L258" i="6"/>
  <c r="L170" i="6"/>
  <c r="L119" i="6"/>
  <c r="L155" i="6"/>
  <c r="L446" i="6"/>
  <c r="L659" i="6"/>
  <c r="L705" i="6"/>
  <c r="L403" i="6"/>
  <c r="L635" i="6"/>
  <c r="L391" i="6"/>
  <c r="L667" i="6"/>
  <c r="L541" i="6"/>
  <c r="L490" i="6"/>
  <c r="L966" i="6"/>
  <c r="L712" i="6"/>
  <c r="L719" i="6"/>
  <c r="L764" i="6"/>
  <c r="L741" i="6"/>
  <c r="L120" i="6"/>
  <c r="L555" i="6"/>
  <c r="L164" i="6"/>
  <c r="L756" i="6"/>
  <c r="L416" i="6"/>
  <c r="L1002" i="6"/>
  <c r="L576" i="6"/>
  <c r="L234" i="6"/>
  <c r="L707" i="6"/>
  <c r="L995" i="6"/>
  <c r="L349" i="6"/>
  <c r="L799" i="6"/>
  <c r="L543" i="6"/>
  <c r="L159" i="6"/>
  <c r="L654" i="6"/>
  <c r="L398" i="6"/>
  <c r="L205" i="6"/>
  <c r="L791" i="6"/>
  <c r="L471" i="6"/>
  <c r="L151" i="6"/>
  <c r="L390" i="6"/>
  <c r="L134" i="6"/>
  <c r="L836" i="6"/>
  <c r="L905" i="6"/>
  <c r="L715" i="6"/>
  <c r="L683" i="6"/>
  <c r="L519" i="6"/>
  <c r="L502" i="6"/>
  <c r="L825" i="6"/>
  <c r="L644" i="6"/>
  <c r="L954" i="6"/>
  <c r="L967" i="6"/>
  <c r="L809" i="6"/>
  <c r="L272" i="6"/>
  <c r="L227" i="6"/>
  <c r="L697" i="6"/>
  <c r="L286" i="6"/>
  <c r="L958" i="6"/>
  <c r="L266" i="6"/>
  <c r="L524" i="6"/>
  <c r="L939" i="6"/>
  <c r="L501" i="6"/>
  <c r="L723" i="6"/>
  <c r="L716" i="6"/>
  <c r="L228" i="6"/>
  <c r="L200" i="6"/>
  <c r="L402" i="6"/>
  <c r="L527" i="6"/>
  <c r="L993" i="6"/>
  <c r="L525" i="6"/>
  <c r="L969" i="6"/>
  <c r="L563" i="6"/>
  <c r="L759" i="6"/>
  <c r="L503" i="6"/>
  <c r="L491" i="6"/>
  <c r="L577" i="6"/>
  <c r="L424" i="6"/>
  <c r="L447" i="6"/>
  <c r="L235" i="6"/>
  <c r="L776" i="6"/>
  <c r="L773" i="6"/>
  <c r="L451" i="6"/>
  <c r="L693" i="6"/>
  <c r="L177" i="6"/>
  <c r="L701" i="6"/>
  <c r="L210" i="6"/>
  <c r="L987" i="6"/>
  <c r="L848" i="6"/>
  <c r="L1012" i="6"/>
  <c r="L330" i="6"/>
  <c r="L148" i="6"/>
  <c r="L837" i="6"/>
  <c r="L735" i="6"/>
  <c r="L910" i="6"/>
  <c r="L206" i="6"/>
  <c r="L727" i="6"/>
  <c r="L710" i="6"/>
  <c r="L680" i="6"/>
  <c r="L808" i="6"/>
  <c r="L691" i="6"/>
  <c r="L455" i="6"/>
  <c r="L297" i="6"/>
  <c r="L1005" i="6"/>
  <c r="L289" i="6"/>
  <c r="L122" i="6"/>
  <c r="L363" i="6"/>
  <c r="L866" i="6"/>
  <c r="L907" i="6"/>
  <c r="L357" i="6"/>
  <c r="L478" i="6"/>
  <c r="L172" i="6"/>
  <c r="L434" i="6"/>
  <c r="L283" i="6"/>
  <c r="L516" i="6"/>
  <c r="L147" i="6"/>
  <c r="L313" i="6"/>
  <c r="L932" i="6"/>
  <c r="L316" i="6"/>
  <c r="L959" i="6"/>
  <c r="L421" i="6"/>
  <c r="L317" i="6"/>
  <c r="L394" i="6"/>
  <c r="L739" i="6"/>
  <c r="L186" i="6"/>
  <c r="L695" i="6"/>
  <c r="L439" i="6"/>
  <c r="L183" i="6"/>
  <c r="L250" i="6"/>
  <c r="L197" i="6"/>
  <c r="L770" i="6"/>
  <c r="L264" i="6"/>
  <c r="L843" i="6"/>
  <c r="L420" i="6"/>
  <c r="L374" i="6"/>
  <c r="L602" i="6"/>
  <c r="L1008" i="6"/>
  <c r="L587" i="6"/>
  <c r="L352" i="6"/>
  <c r="L992" i="6"/>
  <c r="L296" i="6"/>
  <c r="L482" i="6"/>
  <c r="L256" i="6"/>
  <c r="L450" i="6"/>
  <c r="L337" i="6"/>
  <c r="L597" i="6"/>
  <c r="L796" i="6"/>
  <c r="L972" i="6"/>
  <c r="L795" i="6"/>
  <c r="L545" i="6"/>
  <c r="L379" i="6"/>
  <c r="L171" i="6"/>
  <c r="L254" i="6"/>
  <c r="L851" i="6"/>
  <c r="L885" i="6"/>
  <c r="L350" i="6"/>
  <c r="L458" i="6"/>
  <c r="L802" i="6"/>
  <c r="L889" i="6"/>
  <c r="L454" i="6"/>
  <c r="L223" i="6"/>
  <c r="L945" i="6"/>
  <c r="L803" i="6"/>
  <c r="L631" i="6"/>
  <c r="L860" i="6"/>
  <c r="L268" i="6"/>
  <c r="L750" i="6"/>
  <c r="L299" i="6"/>
  <c r="L686" i="6"/>
  <c r="L231" i="6"/>
  <c r="L687" i="6"/>
  <c r="L883" i="6"/>
  <c r="L934" i="6"/>
  <c r="L960" i="6"/>
  <c r="L276" i="6"/>
  <c r="L765" i="6"/>
  <c r="L639" i="6"/>
  <c r="L862" i="6"/>
  <c r="L598" i="6"/>
  <c r="L777" i="6"/>
  <c r="L775" i="6"/>
  <c r="L481" i="6"/>
  <c r="L510" i="6"/>
  <c r="L384" i="6"/>
  <c r="L624" i="6"/>
  <c r="L359" i="6"/>
  <c r="L300" i="6"/>
  <c r="L245" i="6"/>
  <c r="L168" i="6"/>
  <c r="L427" i="6"/>
  <c r="L818" i="6"/>
  <c r="L758" i="6"/>
  <c r="L431" i="6"/>
  <c r="L975" i="6"/>
  <c r="L831" i="6"/>
  <c r="L238" i="6"/>
  <c r="L456" i="6"/>
  <c r="L497" i="6"/>
  <c r="L267" i="6"/>
  <c r="L962" i="6"/>
  <c r="L930" i="6"/>
  <c r="L265" i="6"/>
  <c r="L780" i="6"/>
  <c r="L696" i="6"/>
  <c r="L891" i="6"/>
  <c r="L911" i="6"/>
  <c r="L769" i="6"/>
  <c r="L971" i="6"/>
  <c r="L660" i="6"/>
  <c r="L634" i="6"/>
  <c r="L278" i="6"/>
  <c r="L973" i="6"/>
  <c r="L830" i="6"/>
  <c r="L441" i="6"/>
  <c r="L640" i="6"/>
  <c r="L114" i="6"/>
  <c r="L389" i="6"/>
  <c r="L951" i="6"/>
  <c r="L766" i="6"/>
  <c r="L419" i="6"/>
  <c r="L539" i="6"/>
  <c r="L781" i="6"/>
  <c r="L961" i="6"/>
  <c r="L888" i="6"/>
  <c r="L480" i="6"/>
  <c r="L938" i="6"/>
  <c r="L547" i="6"/>
  <c r="L646" i="6"/>
  <c r="L287" i="6"/>
  <c r="L244" i="6"/>
  <c r="L113" i="6"/>
  <c r="L838" i="6"/>
  <c r="L607" i="6"/>
  <c r="L500" i="6"/>
  <c r="L405" i="6"/>
  <c r="L1001" i="6"/>
  <c r="L648" i="6"/>
  <c r="L706" i="6"/>
  <c r="L688" i="6"/>
  <c r="L189" i="6"/>
  <c r="L981" i="6"/>
  <c r="L743" i="6"/>
  <c r="L814" i="6"/>
  <c r="L941" i="6"/>
  <c r="L879" i="6"/>
  <c r="L180" i="6"/>
  <c r="L288" i="6"/>
  <c r="L412" i="6"/>
  <c r="L212" i="6"/>
  <c r="L636" i="6"/>
  <c r="L829" i="6"/>
  <c r="L873" i="6"/>
  <c r="L763" i="6"/>
  <c r="L614" i="6"/>
  <c r="L943" i="6"/>
  <c r="L875" i="6"/>
  <c r="L584" i="6"/>
  <c r="L757" i="6"/>
  <c r="L466" i="6"/>
  <c r="L798" i="6"/>
  <c r="L522" i="6"/>
  <c r="L323" i="6"/>
  <c r="L968" i="6"/>
  <c r="L552" i="6"/>
  <c r="L232" i="6"/>
  <c r="L627" i="6"/>
  <c r="L310" i="6"/>
  <c r="L896" i="6"/>
  <c r="L201" i="6"/>
  <c r="L787" i="6"/>
  <c r="L826" i="6"/>
  <c r="L747" i="6"/>
  <c r="L413" i="6"/>
  <c r="L800" i="6"/>
  <c r="L1007" i="6"/>
  <c r="L946" i="6"/>
  <c r="L789" i="6"/>
  <c r="L280" i="6"/>
  <c r="L909" i="6"/>
  <c r="L568" i="6"/>
  <c r="L452" i="6"/>
  <c r="L221" i="6"/>
  <c r="L569" i="6"/>
  <c r="L335" i="6"/>
  <c r="L304" i="6"/>
  <c r="L745" i="6"/>
  <c r="L812" i="6"/>
  <c r="L418" i="6"/>
  <c r="L784" i="6"/>
  <c r="L366" i="6"/>
  <c r="L760" i="6"/>
  <c r="L562" i="6"/>
  <c r="L853" i="6"/>
  <c r="L139" i="6"/>
  <c r="L892" i="6"/>
  <c r="L158" i="6"/>
  <c r="L748" i="6"/>
  <c r="L392" i="6"/>
  <c r="L895" i="6"/>
  <c r="L902" i="6"/>
  <c r="L671" i="6"/>
  <c r="L586" i="6"/>
  <c r="L504" i="6"/>
  <c r="L656" i="6"/>
  <c r="L409" i="6"/>
  <c r="L920" i="6"/>
  <c r="L670" i="6"/>
  <c r="L574" i="6"/>
  <c r="L663" i="6"/>
  <c r="L360" i="6"/>
  <c r="L626" i="6"/>
  <c r="L859" i="6"/>
  <c r="L575" i="6"/>
  <c r="L737" i="6"/>
  <c r="L673" i="6"/>
  <c r="L494" i="6"/>
  <c r="L1003" i="6"/>
  <c r="L219" i="6"/>
  <c r="L411" i="6"/>
  <c r="L690" i="6"/>
  <c r="L925" i="6"/>
  <c r="L246" i="6"/>
  <c r="L884" i="6"/>
  <c r="L406" i="6"/>
  <c r="L625" i="6"/>
  <c r="L440" i="6"/>
  <c r="L492" i="6"/>
  <c r="L240" i="6"/>
  <c r="L579" i="6"/>
  <c r="L230" i="6"/>
  <c r="L788" i="6"/>
  <c r="L1006" i="6"/>
  <c r="L486" i="6"/>
  <c r="L570" i="6"/>
  <c r="L864" i="6"/>
  <c r="L833" i="6"/>
  <c r="L566" i="6"/>
  <c r="L211" i="6"/>
  <c r="L742" i="6"/>
  <c r="L351" i="6"/>
  <c r="L464" i="6"/>
  <c r="L270" i="6"/>
  <c r="L550" i="6"/>
  <c r="L921" i="6"/>
  <c r="L426" i="6"/>
  <c r="L820" i="6"/>
  <c r="L438" i="6"/>
  <c r="L401" i="6"/>
  <c r="L169" i="6"/>
  <c r="L886" i="6"/>
  <c r="L193" i="6"/>
  <c r="L377" i="6"/>
  <c r="L469" i="6"/>
  <c r="L617" i="6"/>
  <c r="L476" i="6"/>
  <c r="L449" i="6"/>
  <c r="L226" i="6"/>
  <c r="L732" i="6"/>
  <c r="L755" i="6"/>
  <c r="L365" i="6"/>
  <c r="L865" i="6"/>
  <c r="L371" i="6"/>
  <c r="L955" i="6"/>
  <c r="L1009" i="6"/>
  <c r="L460" i="6"/>
  <c r="L187" i="6"/>
  <c r="L239" i="6"/>
  <c r="L827" i="6"/>
  <c r="L290" i="6"/>
  <c r="L422" i="6"/>
  <c r="L339" i="6"/>
  <c r="L805" i="6"/>
  <c r="L942" i="6"/>
  <c r="L861" i="6"/>
  <c r="L483" i="6"/>
  <c r="L361" i="6"/>
  <c r="L714" i="6"/>
  <c r="L980" i="6"/>
  <c r="L668" i="6"/>
  <c r="L676" i="6"/>
  <c r="L974" i="6"/>
  <c r="L178" i="6"/>
  <c r="L130" i="6"/>
  <c r="L191" i="6"/>
  <c r="L430" i="6"/>
  <c r="L546" i="6"/>
  <c r="L498" i="6"/>
  <c r="L807" i="6"/>
  <c r="L999" i="6"/>
  <c r="L661" i="6"/>
  <c r="L149" i="6"/>
  <c r="L353" i="6"/>
  <c r="L142" i="6"/>
  <c r="L428" i="6"/>
  <c r="L443" i="6"/>
  <c r="L293" i="6"/>
  <c r="L347" i="6"/>
  <c r="L591" i="6"/>
  <c r="L649" i="6"/>
  <c r="L988" i="6"/>
  <c r="L320" i="6"/>
  <c r="L956" i="6"/>
  <c r="L345" i="6"/>
  <c r="L852" i="6"/>
  <c r="L854" i="6"/>
  <c r="L704" i="6"/>
  <c r="L751" i="6"/>
  <c r="L131" i="6"/>
  <c r="L720" i="6"/>
  <c r="L767" i="6"/>
  <c r="L429" i="6"/>
  <c r="L144" i="6"/>
  <c r="L887" i="6"/>
  <c r="L592" i="6"/>
  <c r="L373" i="6"/>
  <c r="L604" i="6"/>
  <c r="L845" i="6"/>
  <c r="L338" i="6"/>
  <c r="L674" i="6"/>
  <c r="L986" i="6"/>
  <c r="L638" i="6"/>
  <c r="L520" i="6"/>
  <c r="L154" i="6"/>
  <c r="L472" i="6"/>
  <c r="L407" i="6"/>
  <c r="L810" i="6"/>
  <c r="L252" i="6"/>
  <c r="L332" i="6"/>
  <c r="L160" i="6"/>
  <c r="L253" i="6"/>
  <c r="L196" i="6"/>
  <c r="L514" i="6"/>
  <c r="L179" i="6"/>
  <c r="L404" i="6"/>
  <c r="L931" i="6"/>
  <c r="L616" i="6"/>
  <c r="L933" i="6"/>
  <c r="L651" i="6"/>
  <c r="L213" i="6"/>
  <c r="L198" i="6"/>
  <c r="L746" i="6"/>
  <c r="L375" i="6"/>
  <c r="L761" i="6"/>
  <c r="L744" i="6"/>
  <c r="L453" i="6"/>
  <c r="L295" i="6"/>
  <c r="L878" i="6"/>
  <c r="L534" i="6"/>
  <c r="L445" i="6"/>
  <c r="L217" i="6"/>
  <c r="L496" i="6"/>
  <c r="L495" i="6"/>
  <c r="L581" i="6"/>
  <c r="L176" i="6"/>
  <c r="L292" i="6"/>
  <c r="L653" i="6"/>
  <c r="L302" i="6"/>
  <c r="L949" i="6"/>
  <c r="L386" i="6"/>
  <c r="L415" i="6"/>
  <c r="L146" i="6"/>
  <c r="L919" i="6"/>
  <c r="L824" i="6"/>
  <c r="L530" i="6"/>
  <c r="L518" i="6"/>
  <c r="L395" i="6"/>
  <c r="L195" i="6"/>
  <c r="L573" i="6"/>
  <c r="L869" i="6"/>
  <c r="L611" i="6"/>
  <c r="L318" i="6"/>
  <c r="L738" i="6"/>
  <c r="L262" i="6"/>
  <c r="L832" i="6"/>
  <c r="L721" i="6"/>
  <c r="L629" i="6"/>
  <c r="L1011" i="6"/>
  <c r="L847" i="6"/>
  <c r="L322" i="6"/>
  <c r="L922" i="6"/>
  <c r="L277" i="6"/>
  <c r="L432" i="6"/>
  <c r="L856" i="6"/>
  <c r="L606" i="6"/>
  <c r="L702" i="6"/>
  <c r="L383" i="6"/>
  <c r="L849" i="6"/>
  <c r="L381" i="6"/>
  <c r="L850" i="6"/>
  <c r="L834" i="6"/>
  <c r="L881" i="6"/>
  <c r="L475" i="6"/>
  <c r="L725" i="6"/>
  <c r="L645" i="6"/>
  <c r="L583" i="6"/>
  <c r="L582" i="6"/>
  <c r="L929" i="6"/>
  <c r="L924" i="6"/>
  <c r="L341" i="6"/>
  <c r="L752" i="6"/>
  <c r="L306" i="6"/>
  <c r="L571" i="6"/>
  <c r="L605" i="6"/>
  <c r="L138" i="6"/>
  <c r="L821" i="6"/>
  <c r="L594" i="6"/>
  <c r="L815" i="6"/>
  <c r="L822" i="6"/>
  <c r="L872" i="6"/>
  <c r="L641" i="6"/>
  <c r="L215" i="6"/>
  <c r="L863" i="6"/>
  <c r="L842" i="6"/>
  <c r="L989" i="6"/>
  <c r="L136" i="6"/>
  <c r="L225" i="6"/>
  <c r="L994" i="6"/>
  <c r="L237" i="6"/>
  <c r="L336" i="6"/>
  <c r="L536" i="6"/>
  <c r="L870" i="6"/>
  <c r="L243" i="6"/>
  <c r="L448" i="6"/>
  <c r="L284" i="6"/>
  <c r="L948" i="6"/>
  <c r="L218" i="6"/>
  <c r="L340" i="6"/>
  <c r="L647" i="6"/>
  <c r="L996" i="6"/>
  <c r="L184" i="6"/>
  <c r="L410" i="6"/>
  <c r="L655" i="6"/>
  <c r="L224" i="6"/>
  <c r="L551" i="6"/>
  <c r="L898" i="6"/>
  <c r="L442" i="6"/>
  <c r="L998" i="6"/>
  <c r="L166" i="6"/>
  <c r="L703" i="6"/>
  <c r="L589" i="6"/>
  <c r="L387" i="6"/>
  <c r="L115" i="6"/>
  <c r="L772" i="6"/>
  <c r="L610" i="6"/>
  <c r="L380" i="6"/>
  <c r="L161" i="6"/>
  <c r="L444" i="6"/>
  <c r="L708" i="6"/>
  <c r="L778" i="6"/>
  <c r="L858" i="6"/>
  <c r="L376" i="6"/>
  <c r="L882" i="6"/>
  <c r="L923" i="6"/>
  <c r="L783" i="6"/>
  <c r="L214" i="6"/>
  <c r="L839" i="6"/>
  <c r="L615" i="6"/>
  <c r="L400" i="6"/>
  <c r="L806" i="6"/>
  <c r="L285" i="6"/>
  <c r="L900" i="6"/>
  <c r="L291" i="6"/>
  <c r="L782" i="6"/>
  <c r="L167" i="6"/>
  <c r="L785" i="6"/>
  <c r="L957" i="6"/>
  <c r="L125" i="6"/>
  <c r="L876" i="6"/>
  <c r="L181" i="6"/>
  <c r="L632" i="6"/>
  <c r="L665" i="6"/>
  <c r="L997" i="6"/>
  <c r="L529" i="6"/>
  <c r="L397" i="6"/>
  <c r="L414" i="6"/>
  <c r="L595" i="6"/>
  <c r="L936" i="6"/>
  <c r="L124" i="6"/>
  <c r="L279" i="6"/>
  <c r="L927" i="6"/>
  <c r="L928" i="6"/>
  <c r="L368" i="6"/>
  <c r="L236" i="6"/>
  <c r="L216" i="6"/>
  <c r="L274" i="6"/>
  <c r="L985" i="6"/>
  <c r="L965" i="6"/>
  <c r="L271" i="6"/>
  <c r="L417" i="6"/>
  <c r="L152" i="6"/>
  <c r="L369" i="6"/>
  <c r="L603" i="6"/>
  <c r="L560" i="6"/>
  <c r="L544" i="6"/>
  <c r="L612" i="6"/>
  <c r="L599" i="6"/>
  <c r="L507" i="6"/>
  <c r="L261" i="6"/>
  <c r="L241" i="6"/>
  <c r="L355" i="6"/>
  <c r="L467" i="6"/>
  <c r="L694" i="6"/>
  <c r="L378" i="6"/>
  <c r="L556" i="6"/>
  <c r="L1010" i="6"/>
  <c r="L596" i="6"/>
  <c r="L532" i="6"/>
  <c r="L461" i="6"/>
  <c r="L963" i="6"/>
  <c r="L578" i="6"/>
  <c r="L754" i="6"/>
  <c r="L182" i="6"/>
  <c r="L717" i="6"/>
  <c r="L505" i="6"/>
  <c r="L554" i="6"/>
  <c r="L728" i="6"/>
  <c r="L324" i="6"/>
  <c r="L488" i="6"/>
  <c r="L493" i="6"/>
  <c r="L356" i="6"/>
  <c r="L470" i="6"/>
  <c r="L511" i="6"/>
  <c r="L362" i="6"/>
  <c r="L367" i="6"/>
  <c r="L174" i="6"/>
  <c r="L260" i="6"/>
  <c r="L487" i="6"/>
  <c r="L786" i="6"/>
  <c r="L273" i="6"/>
  <c r="L918" i="6"/>
  <c r="L207" i="6"/>
  <c r="L150" i="6"/>
  <c r="L251" i="6"/>
  <c r="L425" i="6"/>
  <c r="L917" i="6"/>
  <c r="L248" i="6"/>
  <c r="L129" i="6"/>
  <c r="L699" i="6"/>
  <c r="L512" i="6"/>
  <c r="L192" i="6"/>
  <c r="L700" i="6"/>
  <c r="L128" i="6"/>
  <c r="L396" i="6"/>
  <c r="L557" i="6"/>
  <c r="L908" i="6"/>
  <c r="L346" i="6"/>
  <c r="L726" i="6"/>
  <c r="L790" i="6"/>
  <c r="L990" i="6"/>
  <c r="L724" i="6"/>
  <c r="L208" i="6"/>
  <c r="L269" i="6"/>
  <c r="L643" i="6"/>
  <c r="L779" i="6"/>
  <c r="L904" i="6"/>
  <c r="L630" i="6"/>
  <c r="L709" i="6"/>
  <c r="L681" i="6"/>
  <c r="L549" i="6"/>
  <c r="L729" i="6"/>
  <c r="L121" i="6"/>
  <c r="L947" i="6"/>
  <c r="L979" i="6"/>
  <c r="L978" i="6"/>
  <c r="L126" i="6"/>
  <c r="L855" i="6"/>
  <c r="L652" i="6"/>
  <c r="L682" i="6"/>
  <c r="L127" i="6"/>
  <c r="L116" i="6"/>
  <c r="L618" i="6"/>
  <c r="L669" i="6"/>
  <c r="L220" i="6"/>
  <c r="L163" i="6"/>
  <c r="L677" i="6"/>
  <c r="L874" i="6"/>
  <c r="L711" i="6"/>
  <c r="L117" i="6"/>
  <c r="L303" i="6"/>
  <c r="L173" i="6"/>
  <c r="L436" i="6"/>
  <c r="L312" i="6"/>
  <c r="L329" i="6"/>
  <c r="L499" i="6"/>
  <c r="L893" i="6"/>
  <c r="L867" i="6"/>
  <c r="L463" i="6"/>
  <c r="L204" i="6"/>
  <c r="L559" i="6"/>
  <c r="L623" i="6"/>
  <c r="L637" i="6"/>
  <c r="L811" i="6"/>
  <c r="L298" i="6"/>
  <c r="L588" i="6"/>
  <c r="L609" i="6"/>
  <c r="L793" i="6"/>
  <c r="L249" i="6"/>
  <c r="L593" i="6"/>
  <c r="L257" i="6"/>
  <c r="L983" i="6"/>
  <c r="L749" i="6"/>
  <c r="L145" i="6"/>
  <c r="L143" i="6"/>
  <c r="L906" i="6"/>
  <c r="L658" i="6"/>
  <c r="L477" i="6"/>
  <c r="L203" i="6"/>
  <c r="L828" i="6"/>
  <c r="L275" i="6"/>
  <c r="L953" i="6"/>
  <c r="L880" i="6"/>
  <c r="L692" i="6"/>
  <c r="L940" i="6"/>
  <c r="L565" i="6"/>
  <c r="L423" i="6"/>
  <c r="L140" i="6"/>
  <c r="L156" i="6"/>
  <c r="L509" i="6"/>
  <c r="L188" i="6"/>
  <c r="L538" i="6"/>
  <c r="L506" i="6"/>
  <c r="L600" i="6"/>
  <c r="L903" i="6"/>
  <c r="L370" i="6"/>
  <c r="L685" i="6"/>
  <c r="L328" i="6"/>
  <c r="L914" i="6"/>
  <c r="L309" i="6"/>
  <c r="L433" i="6"/>
  <c r="L314" i="6"/>
  <c r="L813" i="6"/>
  <c r="L608" i="6"/>
  <c r="L678" i="6"/>
  <c r="L132" i="6"/>
  <c r="L964" i="6"/>
  <c r="L190" i="6"/>
  <c r="L937" i="6"/>
  <c r="L913" i="6"/>
  <c r="L952" i="6"/>
  <c r="L523" i="6"/>
  <c r="L657" i="6"/>
  <c r="L753" i="6"/>
  <c r="L489" i="6"/>
  <c r="L311" i="6"/>
  <c r="L633" i="6"/>
  <c r="L315" i="6"/>
  <c r="L944" i="6"/>
  <c r="L242" i="6"/>
  <c r="L462" i="6"/>
  <c r="L899" i="6"/>
  <c r="L976" i="6"/>
  <c r="L137" i="6"/>
  <c r="L319" i="6"/>
  <c r="L342" i="6"/>
  <c r="L982" i="6"/>
  <c r="L768" i="6"/>
  <c r="L897" i="6"/>
  <c r="L259" i="6"/>
  <c r="L354" i="6"/>
  <c r="L926" i="6"/>
  <c r="L662" i="6"/>
  <c r="L733" i="6"/>
  <c r="L621" i="6"/>
  <c r="L531" i="6"/>
  <c r="L628" i="6"/>
  <c r="L202" i="6"/>
  <c r="L722" i="6"/>
  <c r="L388" i="6"/>
  <c r="L465" i="6"/>
  <c r="L508" i="6"/>
  <c r="L666" i="6"/>
  <c r="L385" i="6"/>
  <c r="L474" i="6"/>
  <c r="L118" i="6"/>
  <c r="L797" i="6"/>
  <c r="L521" i="6"/>
  <c r="L844" i="6"/>
  <c r="L622" i="6"/>
  <c r="L816" i="6"/>
  <c r="L771" i="6"/>
  <c r="L801" i="6"/>
  <c r="L526" i="6"/>
  <c r="L364" i="6"/>
  <c r="L307" i="6"/>
  <c r="L553" i="6"/>
  <c r="L567" i="6"/>
  <c r="L301" i="6"/>
  <c r="L135" i="6"/>
  <c r="L484" i="6"/>
  <c r="L718" i="6"/>
  <c r="L305" i="6"/>
  <c r="L736" i="6"/>
  <c r="L229" i="6"/>
  <c r="L165" i="6"/>
  <c r="L175" i="6"/>
  <c r="L675" i="6"/>
  <c r="L358" i="6"/>
  <c r="L294" i="6"/>
  <c r="L162" i="6"/>
  <c r="L823" i="6"/>
  <c r="L841" i="6"/>
  <c r="L561" i="6"/>
  <c r="L435" i="6"/>
  <c r="L133" i="6"/>
  <c r="L984" i="6"/>
  <c r="L372" i="6"/>
  <c r="L619" i="6"/>
  <c r="L620" i="6"/>
  <c r="L153" i="6"/>
  <c r="L679" i="6"/>
  <c r="L325" i="6"/>
  <c r="L564" i="6"/>
  <c r="L890" i="6"/>
  <c r="L513" i="6"/>
  <c r="L334" i="6"/>
  <c r="L991" i="6"/>
  <c r="L459" i="6"/>
  <c r="L558" i="6"/>
  <c r="L535" i="6"/>
  <c r="L473" i="6"/>
  <c r="L894" i="6"/>
  <c r="L308" i="6"/>
  <c r="L846" i="6"/>
  <c r="C38" i="6"/>
  <c r="M38" i="6" s="1"/>
  <c r="C77" i="6"/>
  <c r="M77" i="6" s="1"/>
  <c r="C75" i="6"/>
  <c r="M75" i="6" s="1"/>
  <c r="C15" i="6"/>
  <c r="M15" i="6" s="1"/>
  <c r="C73" i="6"/>
  <c r="M73" i="6" s="1"/>
  <c r="C18" i="6"/>
  <c r="M18" i="6" s="1"/>
  <c r="C53" i="6"/>
  <c r="M53" i="6" s="1"/>
  <c r="C28" i="6"/>
  <c r="M28" i="6" s="1"/>
  <c r="C40" i="6"/>
  <c r="M40" i="6" s="1"/>
  <c r="C16" i="6"/>
  <c r="M16" i="6" s="1"/>
  <c r="C39" i="6"/>
  <c r="M39" i="6" s="1"/>
  <c r="C17" i="6"/>
  <c r="M17" i="6" s="1"/>
  <c r="C63" i="6"/>
  <c r="M63" i="6" s="1"/>
  <c r="C50" i="6"/>
  <c r="M50" i="6" s="1"/>
  <c r="C74" i="6"/>
  <c r="M74" i="6" s="1"/>
  <c r="C72" i="6"/>
  <c r="M72" i="6" s="1"/>
  <c r="C14" i="6"/>
  <c r="M14" i="6" s="1"/>
  <c r="C49" i="6"/>
  <c r="M49" i="6" s="1"/>
  <c r="C60" i="6"/>
  <c r="M60" i="6" s="1"/>
  <c r="C61" i="6"/>
  <c r="M61" i="6" s="1"/>
  <c r="C32" i="6"/>
  <c r="M32" i="6" s="1"/>
  <c r="C37" i="6"/>
  <c r="M37" i="6" s="1"/>
  <c r="C100" i="6"/>
  <c r="M100" i="6" s="1"/>
  <c r="C79" i="6"/>
  <c r="M79" i="6" s="1"/>
  <c r="C43" i="6"/>
  <c r="M43" i="6" s="1"/>
  <c r="C25" i="6"/>
  <c r="M25" i="6" s="1"/>
  <c r="C106" i="6"/>
  <c r="M106" i="6" s="1"/>
  <c r="C66" i="6"/>
  <c r="M66" i="6" s="1"/>
  <c r="C19" i="6"/>
  <c r="M19" i="6" s="1"/>
  <c r="C13" i="6"/>
  <c r="M13" i="6" s="1"/>
  <c r="C94" i="6"/>
  <c r="M94" i="6" s="1"/>
  <c r="C29" i="6"/>
  <c r="M29" i="6" s="1"/>
  <c r="C54" i="6"/>
  <c r="M54" i="6" s="1"/>
  <c r="C56" i="6"/>
  <c r="M56" i="6" s="1"/>
  <c r="C87" i="6"/>
  <c r="M87" i="6" s="1"/>
  <c r="C26" i="6"/>
  <c r="M26" i="6" s="1"/>
  <c r="C76" i="6"/>
  <c r="M76" i="6" s="1"/>
  <c r="C30" i="6"/>
  <c r="M30" i="6" s="1"/>
  <c r="C12" i="6"/>
  <c r="M12" i="6" s="1"/>
  <c r="C48" i="6"/>
  <c r="M48" i="6" s="1"/>
  <c r="C36" i="6"/>
  <c r="M36" i="6" s="1"/>
  <c r="C24" i="6"/>
  <c r="M24" i="6" s="1"/>
  <c r="C44" i="6"/>
  <c r="M44" i="6" s="1"/>
  <c r="C31" i="6"/>
  <c r="M31" i="6" s="1"/>
  <c r="C78" i="6"/>
  <c r="M78" i="6" s="1"/>
  <c r="C65" i="6"/>
  <c r="M65" i="6" s="1"/>
  <c r="C64" i="6"/>
  <c r="M64" i="6" s="1"/>
  <c r="C71" i="6"/>
  <c r="M71" i="6" s="1"/>
  <c r="C59" i="6"/>
  <c r="M59" i="6" s="1"/>
  <c r="C47" i="6"/>
  <c r="M47" i="6" s="1"/>
  <c r="C35" i="6"/>
  <c r="M35" i="6" s="1"/>
  <c r="C23" i="6"/>
  <c r="M23" i="6" s="1"/>
  <c r="C80" i="6"/>
  <c r="M80" i="6" s="1"/>
  <c r="C20" i="6"/>
  <c r="M20" i="6" s="1"/>
  <c r="C67" i="6"/>
  <c r="M67" i="6" s="1"/>
  <c r="C42" i="6"/>
  <c r="M42" i="6" s="1"/>
  <c r="C27" i="6"/>
  <c r="M27" i="6" s="1"/>
  <c r="C70" i="6"/>
  <c r="M70" i="6" s="1"/>
  <c r="C58" i="6"/>
  <c r="M58" i="6" s="1"/>
  <c r="C46" i="6"/>
  <c r="M46" i="6" s="1"/>
  <c r="C34" i="6"/>
  <c r="M34" i="6" s="1"/>
  <c r="C22" i="6"/>
  <c r="M22" i="6" s="1"/>
  <c r="C68" i="6"/>
  <c r="M68" i="6" s="1"/>
  <c r="C55" i="6"/>
  <c r="M55" i="6" s="1"/>
  <c r="C41" i="6"/>
  <c r="M41" i="6" s="1"/>
  <c r="C52" i="6"/>
  <c r="M52" i="6" s="1"/>
  <c r="C51" i="6"/>
  <c r="M51" i="6" s="1"/>
  <c r="C62" i="6"/>
  <c r="M62" i="6" s="1"/>
  <c r="C81" i="6"/>
  <c r="M81" i="6" s="1"/>
  <c r="C69" i="6"/>
  <c r="M69" i="6" s="1"/>
  <c r="C57" i="6"/>
  <c r="M57" i="6" s="1"/>
  <c r="C45" i="6"/>
  <c r="M45" i="6" s="1"/>
  <c r="C33" i="6"/>
  <c r="M33" i="6" s="1"/>
  <c r="C90" i="6"/>
  <c r="M90" i="6" s="1"/>
  <c r="C110" i="6"/>
  <c r="M110" i="6" s="1"/>
  <c r="C83" i="6"/>
  <c r="M83" i="6" s="1"/>
  <c r="C103" i="6"/>
  <c r="M103" i="6" s="1"/>
  <c r="C97" i="6"/>
  <c r="M97" i="6" s="1"/>
  <c r="C105" i="6"/>
  <c r="M105" i="6" s="1"/>
  <c r="C108" i="6"/>
  <c r="M108" i="6" s="1"/>
  <c r="C104" i="6"/>
  <c r="M104" i="6" s="1"/>
  <c r="C82" i="6"/>
  <c r="M82" i="6" s="1"/>
  <c r="C89" i="6"/>
  <c r="M89" i="6" s="1"/>
  <c r="C84" i="6"/>
  <c r="M84" i="6" s="1"/>
  <c r="C21" i="6"/>
  <c r="M21" i="6" s="1"/>
  <c r="C112" i="6"/>
  <c r="M112" i="6" s="1"/>
  <c r="C91" i="6"/>
  <c r="M91" i="6" s="1"/>
  <c r="C109" i="6"/>
  <c r="M109" i="6" s="1"/>
  <c r="C93" i="6"/>
  <c r="M93" i="6" s="1"/>
  <c r="C92" i="6"/>
  <c r="M92" i="6" s="1"/>
  <c r="C88" i="6"/>
  <c r="M88" i="6" s="1"/>
  <c r="C86" i="6"/>
  <c r="M86" i="6" s="1"/>
  <c r="C96" i="6"/>
  <c r="M96" i="6" s="1"/>
  <c r="C111" i="6"/>
  <c r="M111" i="6" s="1"/>
  <c r="C102" i="6"/>
  <c r="M102" i="6" s="1"/>
  <c r="C85" i="6"/>
  <c r="M85" i="6" s="1"/>
  <c r="C98" i="6"/>
  <c r="M98" i="6" s="1"/>
  <c r="C95" i="6"/>
  <c r="M95" i="6" s="1"/>
  <c r="C107" i="6"/>
  <c r="M107" i="6" s="1"/>
  <c r="C99" i="6"/>
  <c r="M99" i="6" s="1"/>
  <c r="C101" i="6"/>
  <c r="M101" i="6" s="1"/>
  <c r="P385" i="6" l="1"/>
  <c r="Q385" i="6"/>
  <c r="H385" i="6"/>
  <c r="H175" i="6"/>
  <c r="P175" i="6"/>
  <c r="Q175" i="6"/>
  <c r="H423" i="6"/>
  <c r="Q423" i="6"/>
  <c r="P423" i="6"/>
  <c r="Q487" i="6"/>
  <c r="P487" i="6"/>
  <c r="H487" i="6"/>
  <c r="H703" i="6"/>
  <c r="P703" i="6"/>
  <c r="Q703" i="6"/>
  <c r="H761" i="6"/>
  <c r="P761" i="6"/>
  <c r="Q761" i="6"/>
  <c r="H742" i="6"/>
  <c r="Q742" i="6"/>
  <c r="P742" i="6"/>
  <c r="Q814" i="6"/>
  <c r="H814" i="6"/>
  <c r="P814" i="6"/>
  <c r="H352" i="6"/>
  <c r="P352" i="6"/>
  <c r="Q352" i="6"/>
  <c r="P331" i="6"/>
  <c r="Q331" i="6"/>
  <c r="H331" i="6"/>
  <c r="Q733" i="6"/>
  <c r="P733" i="6"/>
  <c r="H733" i="6"/>
  <c r="H855" i="6"/>
  <c r="P855" i="6"/>
  <c r="Q855" i="6"/>
  <c r="P124" i="6"/>
  <c r="Q124" i="6"/>
  <c r="H124" i="6"/>
  <c r="P432" i="6"/>
  <c r="H432" i="6"/>
  <c r="Q432" i="6"/>
  <c r="P980" i="6"/>
  <c r="H980" i="6"/>
  <c r="Q980" i="6"/>
  <c r="H800" i="6"/>
  <c r="P800" i="6"/>
  <c r="Q800" i="6"/>
  <c r="H231" i="6"/>
  <c r="Q231" i="6"/>
  <c r="P231" i="6"/>
  <c r="Q730" i="6"/>
  <c r="P730" i="6"/>
  <c r="H730" i="6"/>
  <c r="P153" i="6"/>
  <c r="H153" i="6"/>
  <c r="Q153" i="6"/>
  <c r="H940" i="6"/>
  <c r="Q940" i="6"/>
  <c r="P940" i="6"/>
  <c r="H963" i="6"/>
  <c r="Q963" i="6"/>
  <c r="P963" i="6"/>
  <c r="H821" i="6"/>
  <c r="Q821" i="6"/>
  <c r="P821" i="6"/>
  <c r="Q720" i="6"/>
  <c r="P720" i="6"/>
  <c r="H720" i="6"/>
  <c r="P748" i="6"/>
  <c r="H748" i="6"/>
  <c r="Q748" i="6"/>
  <c r="P686" i="6"/>
  <c r="H686" i="6"/>
  <c r="Q686" i="6"/>
  <c r="H868" i="6"/>
  <c r="P868" i="6"/>
  <c r="Q868" i="6"/>
  <c r="Q620" i="6"/>
  <c r="H620" i="6"/>
  <c r="P620" i="6"/>
  <c r="Q538" i="6"/>
  <c r="H538" i="6"/>
  <c r="P538" i="6"/>
  <c r="H728" i="6"/>
  <c r="P728" i="6"/>
  <c r="Q728" i="6"/>
  <c r="H647" i="6"/>
  <c r="Q647" i="6"/>
  <c r="P647" i="6"/>
  <c r="H198" i="6"/>
  <c r="Q198" i="6"/>
  <c r="P198" i="6"/>
  <c r="P833" i="6"/>
  <c r="H833" i="6"/>
  <c r="Q833" i="6"/>
  <c r="Q450" i="6"/>
  <c r="P450" i="6"/>
  <c r="H450" i="6"/>
  <c r="H797" i="6"/>
  <c r="Q797" i="6"/>
  <c r="P797" i="6"/>
  <c r="H340" i="6"/>
  <c r="P340" i="6"/>
  <c r="Q340" i="6"/>
  <c r="P411" i="6"/>
  <c r="H411" i="6"/>
  <c r="Q411" i="6"/>
  <c r="P276" i="6"/>
  <c r="H276" i="6"/>
  <c r="Q276" i="6"/>
  <c r="H210" i="6"/>
  <c r="P210" i="6"/>
  <c r="Q210" i="6"/>
  <c r="Q501" i="6"/>
  <c r="P501" i="6"/>
  <c r="H501" i="6"/>
  <c r="H791" i="6"/>
  <c r="Q791" i="6"/>
  <c r="P791" i="6"/>
  <c r="P995" i="6"/>
  <c r="H995" i="6"/>
  <c r="Q995" i="6"/>
  <c r="Q555" i="6"/>
  <c r="P555" i="6"/>
  <c r="H555" i="6"/>
  <c r="H541" i="6"/>
  <c r="P541" i="6"/>
  <c r="Q541" i="6"/>
  <c r="H155" i="6"/>
  <c r="Q155" i="6"/>
  <c r="P155" i="6"/>
  <c r="Q613" i="6"/>
  <c r="P613" i="6"/>
  <c r="H613" i="6"/>
  <c r="H321" i="6"/>
  <c r="Q321" i="6"/>
  <c r="P321" i="6"/>
  <c r="H533" i="6"/>
  <c r="Q533" i="6"/>
  <c r="P533" i="6"/>
  <c r="H762" i="6"/>
  <c r="P762" i="6"/>
  <c r="Q762" i="6"/>
  <c r="Q794" i="6"/>
  <c r="H794" i="6"/>
  <c r="P794" i="6"/>
  <c r="P540" i="6"/>
  <c r="Q540" i="6"/>
  <c r="H540" i="6"/>
  <c r="H344" i="6"/>
  <c r="P344" i="6"/>
  <c r="Q344" i="6"/>
  <c r="P572" i="6"/>
  <c r="H572" i="6"/>
  <c r="Q572" i="6"/>
  <c r="P642" i="6"/>
  <c r="H642" i="6"/>
  <c r="Q642" i="6"/>
  <c r="P282" i="6"/>
  <c r="Q282" i="6"/>
  <c r="H282" i="6"/>
  <c r="P564" i="6"/>
  <c r="H564" i="6"/>
  <c r="Q564" i="6"/>
  <c r="Q771" i="6"/>
  <c r="H771" i="6"/>
  <c r="P771" i="6"/>
  <c r="H768" i="6"/>
  <c r="Q768" i="6"/>
  <c r="P768" i="6"/>
  <c r="Q242" i="6"/>
  <c r="H242" i="6"/>
  <c r="P242" i="6"/>
  <c r="H608" i="6"/>
  <c r="P608" i="6"/>
  <c r="Q608" i="6"/>
  <c r="H983" i="6"/>
  <c r="P983" i="6"/>
  <c r="Q983" i="6"/>
  <c r="H325" i="6"/>
  <c r="Q325" i="6"/>
  <c r="P325" i="6"/>
  <c r="H301" i="6"/>
  <c r="Q301" i="6"/>
  <c r="P301" i="6"/>
  <c r="Q666" i="6"/>
  <c r="P666" i="6"/>
  <c r="H666" i="6"/>
  <c r="H982" i="6"/>
  <c r="P982" i="6"/>
  <c r="Q982" i="6"/>
  <c r="P952" i="6"/>
  <c r="H952" i="6"/>
  <c r="Q952" i="6"/>
  <c r="H903" i="6"/>
  <c r="P903" i="6"/>
  <c r="Q903" i="6"/>
  <c r="Q257" i="6"/>
  <c r="P257" i="6"/>
  <c r="H257" i="6"/>
  <c r="Q329" i="6"/>
  <c r="P329" i="6"/>
  <c r="H329" i="6"/>
  <c r="H652" i="6"/>
  <c r="P652" i="6"/>
  <c r="Q652" i="6"/>
  <c r="P208" i="6"/>
  <c r="H208" i="6"/>
  <c r="Q208" i="6"/>
  <c r="H396" i="6"/>
  <c r="P396" i="6"/>
  <c r="Q396" i="6"/>
  <c r="Q493" i="6"/>
  <c r="P493" i="6"/>
  <c r="H493" i="6"/>
  <c r="Q378" i="6"/>
  <c r="H378" i="6"/>
  <c r="P378" i="6"/>
  <c r="H965" i="6"/>
  <c r="Q965" i="6"/>
  <c r="P965" i="6"/>
  <c r="P665" i="6"/>
  <c r="H665" i="6"/>
  <c r="Q665" i="6"/>
  <c r="H444" i="6"/>
  <c r="Q444" i="6"/>
  <c r="P444" i="6"/>
  <c r="P448" i="6"/>
  <c r="Q448" i="6"/>
  <c r="H448" i="6"/>
  <c r="H136" i="6"/>
  <c r="P136" i="6"/>
  <c r="Q136" i="6"/>
  <c r="P881" i="6"/>
  <c r="Q881" i="6"/>
  <c r="H881" i="6"/>
  <c r="P721" i="6"/>
  <c r="H721" i="6"/>
  <c r="Q721" i="6"/>
  <c r="Q386" i="6"/>
  <c r="P386" i="6"/>
  <c r="H386" i="6"/>
  <c r="H931" i="6"/>
  <c r="Q931" i="6"/>
  <c r="P931" i="6"/>
  <c r="P674" i="6"/>
  <c r="H674" i="6"/>
  <c r="Q674" i="6"/>
  <c r="H345" i="6"/>
  <c r="Q345" i="6"/>
  <c r="P345" i="6"/>
  <c r="P668" i="6"/>
  <c r="H668" i="6"/>
  <c r="Q668" i="6"/>
  <c r="H955" i="6"/>
  <c r="P955" i="6"/>
  <c r="Q955" i="6"/>
  <c r="H438" i="6"/>
  <c r="P438" i="6"/>
  <c r="Q438" i="6"/>
  <c r="Q884" i="6"/>
  <c r="H884" i="6"/>
  <c r="P884" i="6"/>
  <c r="H670" i="6"/>
  <c r="Q670" i="6"/>
  <c r="P670" i="6"/>
  <c r="P760" i="6"/>
  <c r="Q760" i="6"/>
  <c r="H760" i="6"/>
  <c r="P569" i="6"/>
  <c r="H569" i="6"/>
  <c r="Q569" i="6"/>
  <c r="H310" i="6"/>
  <c r="Q310" i="6"/>
  <c r="P310" i="6"/>
  <c r="H829" i="6"/>
  <c r="Q829" i="6"/>
  <c r="P829" i="6"/>
  <c r="P547" i="6"/>
  <c r="H547" i="6"/>
  <c r="Q547" i="6"/>
  <c r="P278" i="6"/>
  <c r="Q278" i="6"/>
  <c r="H278" i="6"/>
  <c r="H831" i="6"/>
  <c r="P831" i="6"/>
  <c r="Q831" i="6"/>
  <c r="P598" i="6"/>
  <c r="H598" i="6"/>
  <c r="Q598" i="6"/>
  <c r="P803" i="6"/>
  <c r="Q803" i="6"/>
  <c r="H803" i="6"/>
  <c r="P796" i="6"/>
  <c r="Q796" i="6"/>
  <c r="H796" i="6"/>
  <c r="P394" i="6"/>
  <c r="Q394" i="6"/>
  <c r="H394" i="6"/>
  <c r="H363" i="6"/>
  <c r="P363" i="6"/>
  <c r="Q363" i="6"/>
  <c r="P330" i="6"/>
  <c r="Q330" i="6"/>
  <c r="H330" i="6"/>
  <c r="H503" i="6"/>
  <c r="P503" i="6"/>
  <c r="Q503" i="6"/>
  <c r="H958" i="6"/>
  <c r="Q958" i="6"/>
  <c r="P958" i="6"/>
  <c r="Q134" i="6"/>
  <c r="P134" i="6"/>
  <c r="H134" i="6"/>
  <c r="Q1002" i="6"/>
  <c r="H1002" i="6"/>
  <c r="P1002" i="6"/>
  <c r="P403" i="6"/>
  <c r="H403" i="6"/>
  <c r="Q403" i="6"/>
  <c r="P580" i="6"/>
  <c r="H580" i="6"/>
  <c r="Q580" i="6"/>
  <c r="H935" i="6"/>
  <c r="P935" i="6"/>
  <c r="Q935" i="6"/>
  <c r="H1000" i="6"/>
  <c r="P1000" i="6"/>
  <c r="Q1000" i="6"/>
  <c r="H468" i="6"/>
  <c r="P468" i="6"/>
  <c r="Q468" i="6"/>
  <c r="H558" i="6"/>
  <c r="P558" i="6"/>
  <c r="Q558" i="6"/>
  <c r="H561" i="6"/>
  <c r="Q561" i="6"/>
  <c r="P561" i="6"/>
  <c r="H567" i="6"/>
  <c r="Q567" i="6"/>
  <c r="P567" i="6"/>
  <c r="P508" i="6"/>
  <c r="H508" i="6"/>
  <c r="Q508" i="6"/>
  <c r="Q315" i="6"/>
  <c r="H315" i="6"/>
  <c r="P315" i="6"/>
  <c r="P314" i="6"/>
  <c r="Q314" i="6"/>
  <c r="H314" i="6"/>
  <c r="P477" i="6"/>
  <c r="H477" i="6"/>
  <c r="Q477" i="6"/>
  <c r="H623" i="6"/>
  <c r="Q623" i="6"/>
  <c r="P623" i="6"/>
  <c r="P163" i="6"/>
  <c r="H163" i="6"/>
  <c r="Q163" i="6"/>
  <c r="H724" i="6"/>
  <c r="P724" i="6"/>
  <c r="Q724" i="6"/>
  <c r="H425" i="6"/>
  <c r="Q425" i="6"/>
  <c r="P425" i="6"/>
  <c r="H488" i="6"/>
  <c r="P488" i="6"/>
  <c r="Q488" i="6"/>
  <c r="H578" i="6"/>
  <c r="Q578" i="6"/>
  <c r="P578" i="6"/>
  <c r="H544" i="6"/>
  <c r="P544" i="6"/>
  <c r="Q544" i="6"/>
  <c r="P632" i="6"/>
  <c r="Q632" i="6"/>
  <c r="H632" i="6"/>
  <c r="P161" i="6"/>
  <c r="H161" i="6"/>
  <c r="Q161" i="6"/>
  <c r="P184" i="6"/>
  <c r="Q184" i="6"/>
  <c r="H184" i="6"/>
  <c r="H243" i="6"/>
  <c r="P243" i="6"/>
  <c r="Q243" i="6"/>
  <c r="Q594" i="6"/>
  <c r="H594" i="6"/>
  <c r="P594" i="6"/>
  <c r="P834" i="6"/>
  <c r="H834" i="6"/>
  <c r="Q834" i="6"/>
  <c r="H395" i="6"/>
  <c r="P395" i="6"/>
  <c r="Q395" i="6"/>
  <c r="P217" i="6"/>
  <c r="H217" i="6"/>
  <c r="Q217" i="6"/>
  <c r="H404" i="6"/>
  <c r="Q404" i="6"/>
  <c r="P404" i="6"/>
  <c r="H338" i="6"/>
  <c r="Q338" i="6"/>
  <c r="P338" i="6"/>
  <c r="H956" i="6"/>
  <c r="Q956" i="6"/>
  <c r="P956" i="6"/>
  <c r="P428" i="6"/>
  <c r="H428" i="6"/>
  <c r="Q428" i="6"/>
  <c r="P371" i="6"/>
  <c r="Q371" i="6"/>
  <c r="H371" i="6"/>
  <c r="H820" i="6"/>
  <c r="P820" i="6"/>
  <c r="Q820" i="6"/>
  <c r="H230" i="6"/>
  <c r="Q230" i="6"/>
  <c r="P230" i="6"/>
  <c r="Q246" i="6"/>
  <c r="H246" i="6"/>
  <c r="P246" i="6"/>
  <c r="P920" i="6"/>
  <c r="H920" i="6"/>
  <c r="Q920" i="6"/>
  <c r="H366" i="6"/>
  <c r="P366" i="6"/>
  <c r="Q366" i="6"/>
  <c r="P627" i="6"/>
  <c r="H627" i="6"/>
  <c r="Q627" i="6"/>
  <c r="H743" i="6"/>
  <c r="Q743" i="6"/>
  <c r="P743" i="6"/>
  <c r="Q500" i="6"/>
  <c r="P500" i="6"/>
  <c r="H500" i="6"/>
  <c r="P951" i="6"/>
  <c r="Q951" i="6"/>
  <c r="H951" i="6"/>
  <c r="P975" i="6"/>
  <c r="Q975" i="6"/>
  <c r="H975" i="6"/>
  <c r="H862" i="6"/>
  <c r="P862" i="6"/>
  <c r="Q862" i="6"/>
  <c r="P851" i="6"/>
  <c r="H851" i="6"/>
  <c r="Q851" i="6"/>
  <c r="H597" i="6"/>
  <c r="Q597" i="6"/>
  <c r="P597" i="6"/>
  <c r="H197" i="6"/>
  <c r="Q197" i="6"/>
  <c r="P197" i="6"/>
  <c r="H122" i="6"/>
  <c r="Q122" i="6"/>
  <c r="P122" i="6"/>
  <c r="P1012" i="6"/>
  <c r="H1012" i="6"/>
  <c r="Q1012" i="6"/>
  <c r="H759" i="6"/>
  <c r="P759" i="6"/>
  <c r="Q759" i="6"/>
  <c r="Q286" i="6"/>
  <c r="P286" i="6"/>
  <c r="H286" i="6"/>
  <c r="P390" i="6"/>
  <c r="H390" i="6"/>
  <c r="Q390" i="6"/>
  <c r="H416" i="6"/>
  <c r="P416" i="6"/>
  <c r="Q416" i="6"/>
  <c r="P705" i="6"/>
  <c r="H705" i="6"/>
  <c r="Q705" i="6"/>
  <c r="H950" i="6"/>
  <c r="Q950" i="6"/>
  <c r="P950" i="6"/>
  <c r="H601" i="6"/>
  <c r="P601" i="6"/>
  <c r="Q601" i="6"/>
  <c r="H740" i="6"/>
  <c r="Q740" i="6"/>
  <c r="P740" i="6"/>
  <c r="P537" i="6"/>
  <c r="H537" i="6"/>
  <c r="Q537" i="6"/>
  <c r="Q841" i="6"/>
  <c r="H841" i="6"/>
  <c r="P841" i="6"/>
  <c r="P553" i="6"/>
  <c r="H553" i="6"/>
  <c r="Q553" i="6"/>
  <c r="H465" i="6"/>
  <c r="Q465" i="6"/>
  <c r="P465" i="6"/>
  <c r="H319" i="6"/>
  <c r="P319" i="6"/>
  <c r="Q319" i="6"/>
  <c r="P937" i="6"/>
  <c r="H937" i="6"/>
  <c r="Q937" i="6"/>
  <c r="H506" i="6"/>
  <c r="Q506" i="6"/>
  <c r="P506" i="6"/>
  <c r="Q249" i="6"/>
  <c r="H249" i="6"/>
  <c r="P249" i="6"/>
  <c r="P436" i="6"/>
  <c r="H436" i="6"/>
  <c r="Q436" i="6"/>
  <c r="H126" i="6"/>
  <c r="P126" i="6"/>
  <c r="Q126" i="6"/>
  <c r="H990" i="6"/>
  <c r="Q990" i="6"/>
  <c r="P990" i="6"/>
  <c r="Q251" i="6"/>
  <c r="H251" i="6"/>
  <c r="P251" i="6"/>
  <c r="H174" i="6"/>
  <c r="P174" i="6"/>
  <c r="Q174" i="6"/>
  <c r="H560" i="6"/>
  <c r="Q560" i="6"/>
  <c r="P560" i="6"/>
  <c r="P274" i="6"/>
  <c r="H274" i="6"/>
  <c r="Q274" i="6"/>
  <c r="P181" i="6"/>
  <c r="Q181" i="6"/>
  <c r="H181" i="6"/>
  <c r="P923" i="6"/>
  <c r="H923" i="6"/>
  <c r="Q923" i="6"/>
  <c r="P998" i="6"/>
  <c r="H998" i="6"/>
  <c r="Q998" i="6"/>
  <c r="H870" i="6"/>
  <c r="Q870" i="6"/>
  <c r="P870" i="6"/>
  <c r="H929" i="6"/>
  <c r="P929" i="6"/>
  <c r="Q929" i="6"/>
  <c r="H277" i="6"/>
  <c r="P277" i="6"/>
  <c r="Q277" i="6"/>
  <c r="H518" i="6"/>
  <c r="Q518" i="6"/>
  <c r="P518" i="6"/>
  <c r="H445" i="6"/>
  <c r="Q445" i="6"/>
  <c r="P445" i="6"/>
  <c r="Q179" i="6"/>
  <c r="H179" i="6"/>
  <c r="P179" i="6"/>
  <c r="Q845" i="6"/>
  <c r="P845" i="6"/>
  <c r="H845" i="6"/>
  <c r="P142" i="6"/>
  <c r="Q142" i="6"/>
  <c r="H142" i="6"/>
  <c r="P714" i="6"/>
  <c r="H714" i="6"/>
  <c r="Q714" i="6"/>
  <c r="Q865" i="6"/>
  <c r="P865" i="6"/>
  <c r="H865" i="6"/>
  <c r="P426" i="6"/>
  <c r="Q426" i="6"/>
  <c r="H426" i="6"/>
  <c r="P579" i="6"/>
  <c r="Q579" i="6"/>
  <c r="H579" i="6"/>
  <c r="H575" i="6"/>
  <c r="P575" i="6"/>
  <c r="Q575" i="6"/>
  <c r="H784" i="6"/>
  <c r="P784" i="6"/>
  <c r="Q784" i="6"/>
  <c r="Q413" i="6"/>
  <c r="H413" i="6"/>
  <c r="P413" i="6"/>
  <c r="P584" i="6"/>
  <c r="H584" i="6"/>
  <c r="Q584" i="6"/>
  <c r="H981" i="6"/>
  <c r="P981" i="6"/>
  <c r="Q981" i="6"/>
  <c r="H480" i="6"/>
  <c r="P480" i="6"/>
  <c r="Q480" i="6"/>
  <c r="H660" i="6"/>
  <c r="Q660" i="6"/>
  <c r="P660" i="6"/>
  <c r="P431" i="6"/>
  <c r="H431" i="6"/>
  <c r="Q431" i="6"/>
  <c r="Q639" i="6"/>
  <c r="P639" i="6"/>
  <c r="H639" i="6"/>
  <c r="H254" i="6"/>
  <c r="P254" i="6"/>
  <c r="Q254" i="6"/>
  <c r="P1008" i="6"/>
  <c r="Q1008" i="6"/>
  <c r="H1008" i="6"/>
  <c r="H421" i="6"/>
  <c r="Q421" i="6"/>
  <c r="P421" i="6"/>
  <c r="P289" i="6"/>
  <c r="H289" i="6"/>
  <c r="Q289" i="6"/>
  <c r="P848" i="6"/>
  <c r="Q848" i="6"/>
  <c r="H848" i="6"/>
  <c r="H563" i="6"/>
  <c r="P563" i="6"/>
  <c r="Q563" i="6"/>
  <c r="P697" i="6"/>
  <c r="H697" i="6"/>
  <c r="Q697" i="6"/>
  <c r="H151" i="6"/>
  <c r="Q151" i="6"/>
  <c r="P151" i="6"/>
  <c r="P756" i="6"/>
  <c r="H756" i="6"/>
  <c r="Q756" i="6"/>
  <c r="H659" i="6"/>
  <c r="P659" i="6"/>
  <c r="Q659" i="6"/>
  <c r="H548" i="6"/>
  <c r="Q548" i="6"/>
  <c r="P548" i="6"/>
  <c r="H698" i="6"/>
  <c r="P698" i="6"/>
  <c r="Q698" i="6"/>
  <c r="Q877" i="6"/>
  <c r="H877" i="6"/>
  <c r="P877" i="6"/>
  <c r="H1004" i="6"/>
  <c r="Q1004" i="6"/>
  <c r="P1004" i="6"/>
  <c r="H991" i="6"/>
  <c r="Q991" i="6"/>
  <c r="P991" i="6"/>
  <c r="H736" i="6"/>
  <c r="Q736" i="6"/>
  <c r="P736" i="6"/>
  <c r="P521" i="6"/>
  <c r="Q521" i="6"/>
  <c r="H521" i="6"/>
  <c r="H926" i="6"/>
  <c r="Q926" i="6"/>
  <c r="P926" i="6"/>
  <c r="H311" i="6"/>
  <c r="Q311" i="6"/>
  <c r="P311" i="6"/>
  <c r="H190" i="6"/>
  <c r="P190" i="6"/>
  <c r="Q190" i="6"/>
  <c r="P692" i="6"/>
  <c r="H692" i="6"/>
  <c r="Q692" i="6"/>
  <c r="P793" i="6"/>
  <c r="H793" i="6"/>
  <c r="Q793" i="6"/>
  <c r="H173" i="6"/>
  <c r="P173" i="6"/>
  <c r="P978" i="6"/>
  <c r="H978" i="6"/>
  <c r="Q978" i="6"/>
  <c r="H790" i="6"/>
  <c r="Q790" i="6"/>
  <c r="P790" i="6"/>
  <c r="P367" i="6"/>
  <c r="Q367" i="6"/>
  <c r="H367" i="6"/>
  <c r="P355" i="6"/>
  <c r="Q355" i="6"/>
  <c r="H355" i="6"/>
  <c r="P216" i="6"/>
  <c r="Q216" i="6"/>
  <c r="H216" i="6"/>
  <c r="Q595" i="6"/>
  <c r="H595" i="6"/>
  <c r="P595" i="6"/>
  <c r="H285" i="6"/>
  <c r="P285" i="6"/>
  <c r="Q285" i="6"/>
  <c r="Q610" i="6"/>
  <c r="P610" i="6"/>
  <c r="H610" i="6"/>
  <c r="H536" i="6"/>
  <c r="P536" i="6"/>
  <c r="Q536" i="6"/>
  <c r="H138" i="6"/>
  <c r="Q138" i="6"/>
  <c r="P138" i="6"/>
  <c r="H922" i="6"/>
  <c r="P922" i="6"/>
  <c r="Q922" i="6"/>
  <c r="P530" i="6"/>
  <c r="H530" i="6"/>
  <c r="Q530" i="6"/>
  <c r="P534" i="6"/>
  <c r="Q534" i="6"/>
  <c r="H534" i="6"/>
  <c r="H472" i="6"/>
  <c r="P472" i="6"/>
  <c r="Q472" i="6"/>
  <c r="P131" i="6"/>
  <c r="Q131" i="6"/>
  <c r="H131" i="6"/>
  <c r="P353" i="6"/>
  <c r="H353" i="6"/>
  <c r="Q353" i="6"/>
  <c r="P361" i="6"/>
  <c r="H361" i="6"/>
  <c r="Q361" i="6"/>
  <c r="H365" i="6"/>
  <c r="Q365" i="6"/>
  <c r="P365" i="6"/>
  <c r="P377" i="6"/>
  <c r="Q377" i="6"/>
  <c r="H377" i="6"/>
  <c r="H240" i="6"/>
  <c r="Q240" i="6"/>
  <c r="P240" i="6"/>
  <c r="P859" i="6"/>
  <c r="H859" i="6"/>
  <c r="Q859" i="6"/>
  <c r="H158" i="6"/>
  <c r="P158" i="6"/>
  <c r="Q158" i="6"/>
  <c r="Q568" i="6"/>
  <c r="H568" i="6"/>
  <c r="P568" i="6"/>
  <c r="H552" i="6"/>
  <c r="Q552" i="6"/>
  <c r="P552" i="6"/>
  <c r="P412" i="6"/>
  <c r="H412" i="6"/>
  <c r="Q412" i="6"/>
  <c r="Q838" i="6"/>
  <c r="P838" i="6"/>
  <c r="H838" i="6"/>
  <c r="P971" i="6"/>
  <c r="Q971" i="6"/>
  <c r="H971" i="6"/>
  <c r="Q758" i="6"/>
  <c r="H758" i="6"/>
  <c r="P758" i="6"/>
  <c r="Q765" i="6"/>
  <c r="P765" i="6"/>
  <c r="H765" i="6"/>
  <c r="H454" i="6"/>
  <c r="Q454" i="6"/>
  <c r="P454" i="6"/>
  <c r="P602" i="6"/>
  <c r="Q602" i="6"/>
  <c r="H602" i="6"/>
  <c r="Q959" i="6"/>
  <c r="H959" i="6"/>
  <c r="P959" i="6"/>
  <c r="P1005" i="6"/>
  <c r="Q1005" i="6"/>
  <c r="H1005" i="6"/>
  <c r="Q987" i="6"/>
  <c r="P987" i="6"/>
  <c r="H987" i="6"/>
  <c r="P969" i="6"/>
  <c r="Q969" i="6"/>
  <c r="H969" i="6"/>
  <c r="P519" i="6"/>
  <c r="H519" i="6"/>
  <c r="Q519" i="6"/>
  <c r="Q349" i="6"/>
  <c r="P349" i="6"/>
  <c r="H349" i="6"/>
  <c r="P490" i="6"/>
  <c r="Q490" i="6"/>
  <c r="H490" i="6"/>
  <c r="P804" i="6"/>
  <c r="H804" i="6"/>
  <c r="Q804" i="6"/>
  <c r="Q194" i="6"/>
  <c r="H194" i="6"/>
  <c r="P194" i="6"/>
  <c r="P247" i="6"/>
  <c r="Q247" i="6"/>
  <c r="H247" i="6"/>
  <c r="P664" i="6"/>
  <c r="Q664" i="6"/>
  <c r="H664" i="6"/>
  <c r="P792" i="6"/>
  <c r="H792" i="6"/>
  <c r="Q792" i="6"/>
  <c r="H846" i="6"/>
  <c r="Q846" i="6"/>
  <c r="P846" i="6"/>
  <c r="H619" i="6"/>
  <c r="Q619" i="6"/>
  <c r="P619" i="6"/>
  <c r="P305" i="6"/>
  <c r="H305" i="6"/>
  <c r="Q305" i="6"/>
  <c r="H722" i="6"/>
  <c r="P722" i="6"/>
  <c r="Q722" i="6"/>
  <c r="Q976" i="6"/>
  <c r="H976" i="6"/>
  <c r="P976" i="6"/>
  <c r="Q964" i="6"/>
  <c r="P964" i="6"/>
  <c r="H964" i="6"/>
  <c r="H188" i="6"/>
  <c r="Q188" i="6"/>
  <c r="P188" i="6"/>
  <c r="H143" i="6"/>
  <c r="Q143" i="6"/>
  <c r="P143" i="6"/>
  <c r="Q463" i="6"/>
  <c r="H463" i="6"/>
  <c r="P463" i="6"/>
  <c r="P618" i="6"/>
  <c r="H618" i="6"/>
  <c r="Q618" i="6"/>
  <c r="Q904" i="6"/>
  <c r="H904" i="6"/>
  <c r="P904" i="6"/>
  <c r="H512" i="6"/>
  <c r="P512" i="6"/>
  <c r="Q512" i="6"/>
  <c r="H362" i="6"/>
  <c r="P362" i="6"/>
  <c r="Q362" i="6"/>
  <c r="Q532" i="6"/>
  <c r="P532" i="6"/>
  <c r="H532" i="6"/>
  <c r="H369" i="6"/>
  <c r="P369" i="6"/>
  <c r="Q369" i="6"/>
  <c r="P414" i="6"/>
  <c r="H414" i="6"/>
  <c r="Q414" i="6"/>
  <c r="H806" i="6"/>
  <c r="Q806" i="6"/>
  <c r="P806" i="6"/>
  <c r="P772" i="6"/>
  <c r="H772" i="6"/>
  <c r="Q772" i="6"/>
  <c r="Q336" i="6"/>
  <c r="P336" i="6"/>
  <c r="H336" i="6"/>
  <c r="H605" i="6"/>
  <c r="Q605" i="6"/>
  <c r="P605" i="6"/>
  <c r="H849" i="6"/>
  <c r="Q849" i="6"/>
  <c r="P849" i="6"/>
  <c r="H318" i="6"/>
  <c r="Q318" i="6"/>
  <c r="P318" i="6"/>
  <c r="H292" i="6"/>
  <c r="P292" i="6"/>
  <c r="Q292" i="6"/>
  <c r="H213" i="6"/>
  <c r="Q213" i="6"/>
  <c r="P213" i="6"/>
  <c r="P154" i="6"/>
  <c r="Q154" i="6"/>
  <c r="H154" i="6"/>
  <c r="Q751" i="6"/>
  <c r="P751" i="6"/>
  <c r="H751" i="6"/>
  <c r="Q149" i="6"/>
  <c r="H149" i="6"/>
  <c r="P149" i="6"/>
  <c r="P483" i="6"/>
  <c r="H483" i="6"/>
  <c r="Q483" i="6"/>
  <c r="H239" i="6"/>
  <c r="Q239" i="6"/>
  <c r="P239" i="6"/>
  <c r="P193" i="6"/>
  <c r="H193" i="6"/>
  <c r="Q193" i="6"/>
  <c r="P864" i="6"/>
  <c r="H864" i="6"/>
  <c r="Q864" i="6"/>
  <c r="H626" i="6"/>
  <c r="Q626" i="6"/>
  <c r="P626" i="6"/>
  <c r="Q892" i="6"/>
  <c r="H892" i="6"/>
  <c r="P892" i="6"/>
  <c r="H909" i="6"/>
  <c r="Q909" i="6"/>
  <c r="P909" i="6"/>
  <c r="H943" i="6"/>
  <c r="P943" i="6"/>
  <c r="Q943" i="6"/>
  <c r="H688" i="6"/>
  <c r="P688" i="6"/>
  <c r="Q688" i="6"/>
  <c r="P961" i="6"/>
  <c r="H961" i="6"/>
  <c r="Q961" i="6"/>
  <c r="P769" i="6"/>
  <c r="H769" i="6"/>
  <c r="Q769" i="6"/>
  <c r="H818" i="6"/>
  <c r="P818" i="6"/>
  <c r="Q818" i="6"/>
  <c r="H750" i="6"/>
  <c r="Q750" i="6"/>
  <c r="P750" i="6"/>
  <c r="P379" i="6"/>
  <c r="H379" i="6"/>
  <c r="Q379" i="6"/>
  <c r="H374" i="6"/>
  <c r="Q374" i="6"/>
  <c r="P374" i="6"/>
  <c r="P316" i="6"/>
  <c r="H316" i="6"/>
  <c r="Q316" i="6"/>
  <c r="Q910" i="6"/>
  <c r="P910" i="6"/>
  <c r="H910" i="6"/>
  <c r="Q447" i="6"/>
  <c r="H447" i="6"/>
  <c r="P447" i="6"/>
  <c r="H683" i="6"/>
  <c r="Q683" i="6"/>
  <c r="P683" i="6"/>
  <c r="H308" i="6"/>
  <c r="Q308" i="6"/>
  <c r="P308" i="6"/>
  <c r="P513" i="6"/>
  <c r="H513" i="6"/>
  <c r="Q513" i="6"/>
  <c r="P372" i="6"/>
  <c r="H372" i="6"/>
  <c r="Q372" i="6"/>
  <c r="Q294" i="6"/>
  <c r="P294" i="6"/>
  <c r="H294" i="6"/>
  <c r="H718" i="6"/>
  <c r="Q718" i="6"/>
  <c r="P718" i="6"/>
  <c r="H526" i="6"/>
  <c r="Q526" i="6"/>
  <c r="P526" i="6"/>
  <c r="Q118" i="6"/>
  <c r="H118" i="6"/>
  <c r="P118" i="6"/>
  <c r="P202" i="6"/>
  <c r="H202" i="6"/>
  <c r="Q202" i="6"/>
  <c r="P259" i="6"/>
  <c r="H259" i="6"/>
  <c r="Q259" i="6"/>
  <c r="P899" i="6"/>
  <c r="H899" i="6"/>
  <c r="Q899" i="6"/>
  <c r="H753" i="6"/>
  <c r="Q753" i="6"/>
  <c r="P753" i="6"/>
  <c r="H132" i="6"/>
  <c r="Q132" i="6"/>
  <c r="P132" i="6"/>
  <c r="H328" i="6"/>
  <c r="Q328" i="6"/>
  <c r="P328" i="6"/>
  <c r="H509" i="6"/>
  <c r="Q509" i="6"/>
  <c r="P509" i="6"/>
  <c r="H953" i="6"/>
  <c r="Q953" i="6"/>
  <c r="P953" i="6"/>
  <c r="H145" i="6"/>
  <c r="Q145" i="6"/>
  <c r="P145" i="6"/>
  <c r="P588" i="6"/>
  <c r="H588" i="6"/>
  <c r="Q588" i="6"/>
  <c r="H867" i="6"/>
  <c r="P867" i="6"/>
  <c r="Q867" i="6"/>
  <c r="H117" i="6"/>
  <c r="P117" i="6"/>
  <c r="Q117" i="6"/>
  <c r="P116" i="6"/>
  <c r="Q116" i="6"/>
  <c r="H116" i="6"/>
  <c r="H947" i="6"/>
  <c r="P947" i="6"/>
  <c r="Q947" i="6"/>
  <c r="P779" i="6"/>
  <c r="H779" i="6"/>
  <c r="Q779" i="6"/>
  <c r="H346" i="6"/>
  <c r="Q346" i="6"/>
  <c r="P346" i="6"/>
  <c r="H699" i="6"/>
  <c r="P699" i="6"/>
  <c r="Q699" i="6"/>
  <c r="Q918" i="6"/>
  <c r="H918" i="6"/>
  <c r="P918" i="6"/>
  <c r="Q511" i="6"/>
  <c r="P511" i="6"/>
  <c r="H511" i="6"/>
  <c r="P505" i="6"/>
  <c r="Q505" i="6"/>
  <c r="H505" i="6"/>
  <c r="P596" i="6"/>
  <c r="H596" i="6"/>
  <c r="Q596" i="6"/>
  <c r="H261" i="6"/>
  <c r="P261" i="6"/>
  <c r="Q261" i="6"/>
  <c r="H152" i="6"/>
  <c r="P152" i="6"/>
  <c r="Q152" i="6"/>
  <c r="H368" i="6"/>
  <c r="Q368" i="6"/>
  <c r="P368" i="6"/>
  <c r="Q397" i="6"/>
  <c r="P397" i="6"/>
  <c r="H397" i="6"/>
  <c r="H957" i="6"/>
  <c r="P957" i="6"/>
  <c r="Q957" i="6"/>
  <c r="P400" i="6"/>
  <c r="Q400" i="6"/>
  <c r="H400" i="6"/>
  <c r="P858" i="6"/>
  <c r="H858" i="6"/>
  <c r="Q858" i="6"/>
  <c r="P115" i="6"/>
  <c r="Q115" i="6"/>
  <c r="H115" i="6"/>
  <c r="Q551" i="6"/>
  <c r="P551" i="6"/>
  <c r="H551" i="6"/>
  <c r="Q218" i="6"/>
  <c r="P218" i="6"/>
  <c r="H218" i="6"/>
  <c r="H237" i="6"/>
  <c r="Q237" i="6"/>
  <c r="P237" i="6"/>
  <c r="P641" i="6"/>
  <c r="H641" i="6"/>
  <c r="Q641" i="6"/>
  <c r="P571" i="6"/>
  <c r="H571" i="6"/>
  <c r="Q571" i="6"/>
  <c r="H645" i="6"/>
  <c r="Q645" i="6"/>
  <c r="P645" i="6"/>
  <c r="H383" i="6"/>
  <c r="Q383" i="6"/>
  <c r="P383" i="6"/>
  <c r="H847" i="6"/>
  <c r="Q847" i="6"/>
  <c r="P847" i="6"/>
  <c r="Q611" i="6"/>
  <c r="H611" i="6"/>
  <c r="P611" i="6"/>
  <c r="H919" i="6"/>
  <c r="P919" i="6"/>
  <c r="Q919" i="6"/>
  <c r="H176" i="6"/>
  <c r="Q176" i="6"/>
  <c r="P176" i="6"/>
  <c r="H295" i="6"/>
  <c r="P295" i="6"/>
  <c r="Q295" i="6"/>
  <c r="P651" i="6"/>
  <c r="Q651" i="6"/>
  <c r="H651" i="6"/>
  <c r="H253" i="6"/>
  <c r="Q253" i="6"/>
  <c r="P253" i="6"/>
  <c r="P520" i="6"/>
  <c r="Q520" i="6"/>
  <c r="H520" i="6"/>
  <c r="H592" i="6"/>
  <c r="Q592" i="6"/>
  <c r="P592" i="6"/>
  <c r="Q704" i="6"/>
  <c r="P704" i="6"/>
  <c r="H704" i="6"/>
  <c r="P591" i="6"/>
  <c r="H591" i="6"/>
  <c r="Q591" i="6"/>
  <c r="P661" i="6"/>
  <c r="H661" i="6"/>
  <c r="Q661" i="6"/>
  <c r="H178" i="6"/>
  <c r="P178" i="6"/>
  <c r="Q178" i="6"/>
  <c r="H861" i="6"/>
  <c r="P861" i="6"/>
  <c r="Q861" i="6"/>
  <c r="Q187" i="6"/>
  <c r="H187" i="6"/>
  <c r="P187" i="6"/>
  <c r="P732" i="6"/>
  <c r="H732" i="6"/>
  <c r="Q732" i="6"/>
  <c r="H886" i="6"/>
  <c r="P886" i="6"/>
  <c r="Q886" i="6"/>
  <c r="H270" i="6"/>
  <c r="Q270" i="6"/>
  <c r="P270" i="6"/>
  <c r="Q570" i="6"/>
  <c r="P570" i="6"/>
  <c r="H570" i="6"/>
  <c r="H440" i="6"/>
  <c r="Q440" i="6"/>
  <c r="P440" i="6"/>
  <c r="H219" i="6"/>
  <c r="Q219" i="6"/>
  <c r="P219" i="6"/>
  <c r="H360" i="6"/>
  <c r="Q360" i="6"/>
  <c r="P360" i="6"/>
  <c r="P586" i="6"/>
  <c r="H586" i="6"/>
  <c r="Q586" i="6"/>
  <c r="H139" i="6"/>
  <c r="Q139" i="6"/>
  <c r="P139" i="6"/>
  <c r="Q745" i="6"/>
  <c r="P745" i="6"/>
  <c r="H745" i="6"/>
  <c r="H280" i="6"/>
  <c r="Q280" i="6"/>
  <c r="P280" i="6"/>
  <c r="H787" i="6"/>
  <c r="P787" i="6"/>
  <c r="Q787" i="6"/>
  <c r="P323" i="6"/>
  <c r="Q323" i="6"/>
  <c r="H323" i="6"/>
  <c r="P614" i="6"/>
  <c r="Q614" i="6"/>
  <c r="H614" i="6"/>
  <c r="P180" i="6"/>
  <c r="H180" i="6"/>
  <c r="Q180" i="6"/>
  <c r="Q706" i="6"/>
  <c r="H706" i="6"/>
  <c r="P706" i="6"/>
  <c r="Q244" i="6"/>
  <c r="H244" i="6"/>
  <c r="P244" i="6"/>
  <c r="H781" i="6"/>
  <c r="Q781" i="6"/>
  <c r="P781" i="6"/>
  <c r="H441" i="6"/>
  <c r="P441" i="6"/>
  <c r="Q441" i="6"/>
  <c r="Q911" i="6"/>
  <c r="P911" i="6"/>
  <c r="H911" i="6"/>
  <c r="P497" i="6"/>
  <c r="H497" i="6"/>
  <c r="Q497" i="6"/>
  <c r="H427" i="6"/>
  <c r="Q427" i="6"/>
  <c r="P427" i="6"/>
  <c r="P481" i="6"/>
  <c r="H481" i="6"/>
  <c r="Q481" i="6"/>
  <c r="Q960" i="6"/>
  <c r="H960" i="6"/>
  <c r="P960" i="6"/>
  <c r="P268" i="6"/>
  <c r="Q268" i="6"/>
  <c r="H268" i="6"/>
  <c r="Q802" i="6"/>
  <c r="H802" i="6"/>
  <c r="P802" i="6"/>
  <c r="H545" i="6"/>
  <c r="Q545" i="6"/>
  <c r="P545" i="6"/>
  <c r="Q482" i="6"/>
  <c r="H482" i="6"/>
  <c r="P482" i="6"/>
  <c r="H420" i="6"/>
  <c r="P420" i="6"/>
  <c r="Q420" i="6"/>
  <c r="H695" i="6"/>
  <c r="Q695" i="6"/>
  <c r="P695" i="6"/>
  <c r="H932" i="6"/>
  <c r="P932" i="6"/>
  <c r="Q932" i="6"/>
  <c r="H357" i="6"/>
  <c r="P357" i="6"/>
  <c r="Q357" i="6"/>
  <c r="P455" i="6"/>
  <c r="H455" i="6"/>
  <c r="Q455" i="6"/>
  <c r="Q735" i="6"/>
  <c r="H735" i="6"/>
  <c r="P735" i="6"/>
  <c r="Q701" i="6"/>
  <c r="P701" i="6"/>
  <c r="H701" i="6"/>
  <c r="Q424" i="6"/>
  <c r="P424" i="6"/>
  <c r="H424" i="6"/>
  <c r="P993" i="6"/>
  <c r="H993" i="6"/>
  <c r="Q993" i="6"/>
  <c r="P939" i="6"/>
  <c r="H939" i="6"/>
  <c r="Q939" i="6"/>
  <c r="H809" i="6"/>
  <c r="P809" i="6"/>
  <c r="Q809" i="6"/>
  <c r="P715" i="6"/>
  <c r="Q715" i="6"/>
  <c r="H715" i="6"/>
  <c r="H205" i="6"/>
  <c r="P205" i="6"/>
  <c r="Q205" i="6"/>
  <c r="P707" i="6"/>
  <c r="H707" i="6"/>
  <c r="Q707" i="6"/>
  <c r="H120" i="6"/>
  <c r="Q120" i="6"/>
  <c r="P120" i="6"/>
  <c r="P667" i="6"/>
  <c r="H667" i="6"/>
  <c r="Q667" i="6"/>
  <c r="Q119" i="6"/>
  <c r="P119" i="6"/>
  <c r="H119" i="6"/>
  <c r="H817" i="6"/>
  <c r="P817" i="6"/>
  <c r="Q817" i="6"/>
  <c r="P348" i="6"/>
  <c r="H348" i="6"/>
  <c r="Q348" i="6"/>
  <c r="P916" i="6"/>
  <c r="H916" i="6"/>
  <c r="Q916" i="6"/>
  <c r="P185" i="6"/>
  <c r="H185" i="6"/>
  <c r="Q185" i="6"/>
  <c r="P713" i="6"/>
  <c r="Q713" i="6"/>
  <c r="H713" i="6"/>
  <c r="P157" i="6"/>
  <c r="Q157" i="6"/>
  <c r="H157" i="6"/>
  <c r="Q517" i="6"/>
  <c r="P517" i="6"/>
  <c r="H517" i="6"/>
  <c r="Q515" i="6"/>
  <c r="P515" i="6"/>
  <c r="H515" i="6"/>
  <c r="Q915" i="6"/>
  <c r="H915" i="6"/>
  <c r="P915" i="6"/>
  <c r="H382" i="6"/>
  <c r="Q382" i="6"/>
  <c r="P382" i="6"/>
  <c r="P473" i="6"/>
  <c r="H473" i="6"/>
  <c r="Q473" i="6"/>
  <c r="H133" i="6"/>
  <c r="Q133" i="6"/>
  <c r="P133" i="6"/>
  <c r="H135" i="6"/>
  <c r="Q135" i="6"/>
  <c r="P135" i="6"/>
  <c r="P531" i="6"/>
  <c r="Q531" i="6"/>
  <c r="H531" i="6"/>
  <c r="Q523" i="6"/>
  <c r="H523" i="6"/>
  <c r="P523" i="6"/>
  <c r="P370" i="6"/>
  <c r="Q370" i="6"/>
  <c r="H370" i="6"/>
  <c r="H828" i="6"/>
  <c r="P828" i="6"/>
  <c r="Q828" i="6"/>
  <c r="H535" i="6"/>
  <c r="Q535" i="6"/>
  <c r="P535" i="6"/>
  <c r="Q435" i="6"/>
  <c r="H435" i="6"/>
  <c r="P435" i="6"/>
  <c r="Q816" i="6"/>
  <c r="P816" i="6"/>
  <c r="H816" i="6"/>
  <c r="Q621" i="6"/>
  <c r="P621" i="6"/>
  <c r="H621" i="6"/>
  <c r="H944" i="6"/>
  <c r="P944" i="6"/>
  <c r="Q944" i="6"/>
  <c r="P813" i="6"/>
  <c r="H813" i="6"/>
  <c r="Q813" i="6"/>
  <c r="H203" i="6"/>
  <c r="P203" i="6"/>
  <c r="Q203" i="6"/>
  <c r="H637" i="6"/>
  <c r="Q637" i="6"/>
  <c r="P637" i="6"/>
  <c r="P677" i="6"/>
  <c r="Q677" i="6"/>
  <c r="H677" i="6"/>
  <c r="H549" i="6"/>
  <c r="Q549" i="6"/>
  <c r="P549" i="6"/>
  <c r="Q917" i="6"/>
  <c r="P917" i="6"/>
  <c r="H917" i="6"/>
  <c r="P754" i="6"/>
  <c r="H754" i="6"/>
  <c r="Q754" i="6"/>
  <c r="P612" i="6"/>
  <c r="H612" i="6"/>
  <c r="Q612" i="6"/>
  <c r="H279" i="6"/>
  <c r="P279" i="6"/>
  <c r="Q279" i="6"/>
  <c r="P782" i="6"/>
  <c r="Q782" i="6"/>
  <c r="H782" i="6"/>
  <c r="Q214" i="6"/>
  <c r="P214" i="6"/>
  <c r="H214" i="6"/>
  <c r="P410" i="6"/>
  <c r="H410" i="6"/>
  <c r="Q410" i="6"/>
  <c r="Q815" i="6"/>
  <c r="P815" i="6"/>
  <c r="H815" i="6"/>
  <c r="Q341" i="6"/>
  <c r="P341" i="6"/>
  <c r="H341" i="6"/>
  <c r="Q856" i="6"/>
  <c r="H856" i="6"/>
  <c r="P856" i="6"/>
  <c r="Q195" i="6"/>
  <c r="P195" i="6"/>
  <c r="H195" i="6"/>
  <c r="H496" i="6"/>
  <c r="P496" i="6"/>
  <c r="Q496" i="6"/>
  <c r="P252" i="6"/>
  <c r="H252" i="6"/>
  <c r="Q252" i="6"/>
  <c r="H429" i="6"/>
  <c r="Q429" i="6"/>
  <c r="P429" i="6"/>
  <c r="P443" i="6"/>
  <c r="H443" i="6"/>
  <c r="Q443" i="6"/>
  <c r="P498" i="6"/>
  <c r="H498" i="6"/>
  <c r="Q498" i="6"/>
  <c r="P339" i="6"/>
  <c r="Q339" i="6"/>
  <c r="H339" i="6"/>
  <c r="P476" i="6"/>
  <c r="H476" i="6"/>
  <c r="Q476" i="6"/>
  <c r="H788" i="6"/>
  <c r="P788" i="6"/>
  <c r="Q788" i="6"/>
  <c r="H673" i="6"/>
  <c r="P673" i="6"/>
  <c r="Q673" i="6"/>
  <c r="H895" i="6"/>
  <c r="Q895" i="6"/>
  <c r="P895" i="6"/>
  <c r="H1007" i="6"/>
  <c r="P1007" i="6"/>
  <c r="Q1007" i="6"/>
  <c r="Q466" i="6"/>
  <c r="P466" i="6"/>
  <c r="H466" i="6"/>
  <c r="Q405" i="6"/>
  <c r="P405" i="6"/>
  <c r="H405" i="6"/>
  <c r="H766" i="6"/>
  <c r="Q766" i="6"/>
  <c r="P766" i="6"/>
  <c r="H780" i="6"/>
  <c r="P780" i="6"/>
  <c r="Q780" i="6"/>
  <c r="P300" i="6"/>
  <c r="H300" i="6"/>
  <c r="Q300" i="6"/>
  <c r="H687" i="6"/>
  <c r="P687" i="6"/>
  <c r="Q687" i="6"/>
  <c r="H885" i="6"/>
  <c r="Q885" i="6"/>
  <c r="P885" i="6"/>
  <c r="P770" i="6"/>
  <c r="H770" i="6"/>
  <c r="Q770" i="6"/>
  <c r="H516" i="6"/>
  <c r="Q516" i="6"/>
  <c r="P516" i="6"/>
  <c r="Q680" i="6"/>
  <c r="H680" i="6"/>
  <c r="P680" i="6"/>
  <c r="Q451" i="6"/>
  <c r="P451" i="6"/>
  <c r="H451" i="6"/>
  <c r="H200" i="6"/>
  <c r="Q200" i="6"/>
  <c r="P200" i="6"/>
  <c r="H644" i="6"/>
  <c r="Q644" i="6"/>
  <c r="P644" i="6"/>
  <c r="Q159" i="6"/>
  <c r="P159" i="6"/>
  <c r="H159" i="6"/>
  <c r="P719" i="6"/>
  <c r="Q719" i="6"/>
  <c r="H719" i="6"/>
  <c r="H222" i="6"/>
  <c r="Q222" i="6"/>
  <c r="P222" i="6"/>
  <c r="Q327" i="6"/>
  <c r="P327" i="6"/>
  <c r="H327" i="6"/>
  <c r="Q585" i="6"/>
  <c r="P585" i="6"/>
  <c r="H585" i="6"/>
  <c r="H901" i="6"/>
  <c r="P901" i="6"/>
  <c r="Q901" i="6"/>
  <c r="P255" i="6"/>
  <c r="H255" i="6"/>
  <c r="Q255" i="6"/>
  <c r="H679" i="6"/>
  <c r="Q679" i="6"/>
  <c r="P679" i="6"/>
  <c r="H165" i="6"/>
  <c r="P165" i="6"/>
  <c r="Q165" i="6"/>
  <c r="P622" i="6"/>
  <c r="H622" i="6"/>
  <c r="Q622" i="6"/>
  <c r="H342" i="6"/>
  <c r="Q342" i="6"/>
  <c r="P342" i="6"/>
  <c r="H913" i="6"/>
  <c r="P913" i="6"/>
  <c r="Q913" i="6"/>
  <c r="H600" i="6"/>
  <c r="P600" i="6"/>
  <c r="Q600" i="6"/>
  <c r="P565" i="6"/>
  <c r="H565" i="6"/>
  <c r="Q565" i="6"/>
  <c r="H593" i="6"/>
  <c r="Q593" i="6"/>
  <c r="P593" i="6"/>
  <c r="P312" i="6"/>
  <c r="H312" i="6"/>
  <c r="Q312" i="6"/>
  <c r="H681" i="6"/>
  <c r="P681" i="6"/>
  <c r="Q681" i="6"/>
  <c r="Q128" i="6"/>
  <c r="P128" i="6"/>
  <c r="H128" i="6"/>
  <c r="H260" i="6"/>
  <c r="Q260" i="6"/>
  <c r="P260" i="6"/>
  <c r="Q694" i="6"/>
  <c r="H694" i="6"/>
  <c r="P694" i="6"/>
  <c r="Q985" i="6"/>
  <c r="H985" i="6"/>
  <c r="P985" i="6"/>
  <c r="H291" i="6"/>
  <c r="Q291" i="6"/>
  <c r="P291" i="6"/>
  <c r="P783" i="6"/>
  <c r="H783" i="6"/>
  <c r="Q783" i="6"/>
  <c r="Q166" i="6"/>
  <c r="P166" i="6"/>
  <c r="H166" i="6"/>
  <c r="H989" i="6"/>
  <c r="Q989" i="6"/>
  <c r="P989" i="6"/>
  <c r="Q924" i="6"/>
  <c r="P924" i="6"/>
  <c r="H924" i="6"/>
  <c r="H832" i="6"/>
  <c r="P832" i="6"/>
  <c r="Q832" i="6"/>
  <c r="H949" i="6"/>
  <c r="P949" i="6"/>
  <c r="Q949" i="6"/>
  <c r="H375" i="6"/>
  <c r="P375" i="6"/>
  <c r="Q375" i="6"/>
  <c r="P810" i="6"/>
  <c r="Q810" i="6"/>
  <c r="H810" i="6"/>
  <c r="P767" i="6"/>
  <c r="H767" i="6"/>
  <c r="Q767" i="6"/>
  <c r="H546" i="6"/>
  <c r="Q546" i="6"/>
  <c r="P546" i="6"/>
  <c r="Q422" i="6"/>
  <c r="H422" i="6"/>
  <c r="P422" i="6"/>
  <c r="P617" i="6"/>
  <c r="H617" i="6"/>
  <c r="Q617" i="6"/>
  <c r="P211" i="6"/>
  <c r="H211" i="6"/>
  <c r="Q211" i="6"/>
  <c r="H737" i="6"/>
  <c r="Q737" i="6"/>
  <c r="P737" i="6"/>
  <c r="P392" i="6"/>
  <c r="Q392" i="6"/>
  <c r="H392" i="6"/>
  <c r="Q221" i="6"/>
  <c r="P221" i="6"/>
  <c r="H221" i="6"/>
  <c r="H757" i="6"/>
  <c r="Q757" i="6"/>
  <c r="P757" i="6"/>
  <c r="P636" i="6"/>
  <c r="Q636" i="6"/>
  <c r="H636" i="6"/>
  <c r="P938" i="6"/>
  <c r="H938" i="6"/>
  <c r="Q938" i="6"/>
  <c r="H634" i="6"/>
  <c r="Q634" i="6"/>
  <c r="P634" i="6"/>
  <c r="P265" i="6"/>
  <c r="Q265" i="6"/>
  <c r="H265" i="6"/>
  <c r="Q359" i="6"/>
  <c r="P359" i="6"/>
  <c r="H359" i="6"/>
  <c r="Q945" i="6"/>
  <c r="H945" i="6"/>
  <c r="P945" i="6"/>
  <c r="H587" i="6"/>
  <c r="P587" i="6"/>
  <c r="Q587" i="6"/>
  <c r="H317" i="6"/>
  <c r="P317" i="6"/>
  <c r="Q317" i="6"/>
  <c r="H283" i="6"/>
  <c r="Q283" i="6"/>
  <c r="P283" i="6"/>
  <c r="Q710" i="6"/>
  <c r="H710" i="6"/>
  <c r="P710" i="6"/>
  <c r="H773" i="6"/>
  <c r="Q773" i="6"/>
  <c r="P773" i="6"/>
  <c r="P228" i="6"/>
  <c r="H228" i="6"/>
  <c r="Q228" i="6"/>
  <c r="H825" i="6"/>
  <c r="P825" i="6"/>
  <c r="Q825" i="6"/>
  <c r="H543" i="6"/>
  <c r="Q543" i="6"/>
  <c r="P543" i="6"/>
  <c r="H712" i="6"/>
  <c r="P712" i="6"/>
  <c r="Q712" i="6"/>
  <c r="H734" i="6"/>
  <c r="P734" i="6"/>
  <c r="Q734" i="6"/>
  <c r="H590" i="6"/>
  <c r="Q590" i="6"/>
  <c r="P590" i="6"/>
  <c r="H199" i="6"/>
  <c r="P199" i="6"/>
  <c r="Q199" i="6"/>
  <c r="P970" i="6"/>
  <c r="H970" i="6"/>
  <c r="Q970" i="6"/>
  <c r="Q840" i="6"/>
  <c r="H840" i="6"/>
  <c r="P840" i="6"/>
  <c r="H459" i="6"/>
  <c r="P459" i="6"/>
  <c r="Q459" i="6"/>
  <c r="H229" i="6"/>
  <c r="Q229" i="6"/>
  <c r="P229" i="6"/>
  <c r="P844" i="6"/>
  <c r="H844" i="6"/>
  <c r="Q844" i="6"/>
  <c r="H662" i="6"/>
  <c r="Q662" i="6"/>
  <c r="P662" i="6"/>
  <c r="P633" i="6"/>
  <c r="H633" i="6"/>
  <c r="Q633" i="6"/>
  <c r="P433" i="6"/>
  <c r="H433" i="6"/>
  <c r="Q433" i="6"/>
  <c r="P658" i="6"/>
  <c r="Q658" i="6"/>
  <c r="H658" i="6"/>
  <c r="H559" i="6"/>
  <c r="Q559" i="6"/>
  <c r="P559" i="6"/>
  <c r="P220" i="6"/>
  <c r="Q220" i="6"/>
  <c r="H220" i="6"/>
  <c r="H709" i="6"/>
  <c r="Q709" i="6"/>
  <c r="P709" i="6"/>
  <c r="Q700" i="6"/>
  <c r="H700" i="6"/>
  <c r="P700" i="6"/>
  <c r="H324" i="6"/>
  <c r="Q324" i="6"/>
  <c r="P324" i="6"/>
  <c r="Q467" i="6"/>
  <c r="H467" i="6"/>
  <c r="P467" i="6"/>
  <c r="H936" i="6"/>
  <c r="P936" i="6"/>
  <c r="Q936" i="6"/>
  <c r="Q900" i="6"/>
  <c r="P900" i="6"/>
  <c r="H900" i="6"/>
  <c r="P380" i="6"/>
  <c r="H380" i="6"/>
  <c r="Q380" i="6"/>
  <c r="H996" i="6"/>
  <c r="Q996" i="6"/>
  <c r="P996" i="6"/>
  <c r="H842" i="6"/>
  <c r="Q842" i="6"/>
  <c r="P842" i="6"/>
  <c r="P850" i="6"/>
  <c r="Q850" i="6"/>
  <c r="H850" i="6"/>
  <c r="Q262" i="6"/>
  <c r="P262" i="6"/>
  <c r="H262" i="6"/>
  <c r="Q302" i="6"/>
  <c r="P302" i="6"/>
  <c r="H302" i="6"/>
  <c r="Q746" i="6"/>
  <c r="H746" i="6"/>
  <c r="P746" i="6"/>
  <c r="H407" i="6"/>
  <c r="P407" i="6"/>
  <c r="Q407" i="6"/>
  <c r="H320" i="6"/>
  <c r="Q320" i="6"/>
  <c r="P320" i="6"/>
  <c r="H430" i="6"/>
  <c r="P430" i="6"/>
  <c r="Q430" i="6"/>
  <c r="H290" i="6"/>
  <c r="Q290" i="6"/>
  <c r="P290" i="6"/>
  <c r="H469" i="6"/>
  <c r="Q469" i="6"/>
  <c r="P469" i="6"/>
  <c r="H566" i="6"/>
  <c r="Q566" i="6"/>
  <c r="P566" i="6"/>
  <c r="H925" i="6"/>
  <c r="Q925" i="6"/>
  <c r="P925" i="6"/>
  <c r="P409" i="6"/>
  <c r="H409" i="6"/>
  <c r="Q409" i="6"/>
  <c r="P452" i="6"/>
  <c r="H452" i="6"/>
  <c r="Q452" i="6"/>
  <c r="P232" i="6"/>
  <c r="H232" i="6"/>
  <c r="Q232" i="6"/>
  <c r="H212" i="6"/>
  <c r="Q212" i="6"/>
  <c r="P212" i="6"/>
  <c r="H607" i="6"/>
  <c r="P607" i="6"/>
  <c r="Q607" i="6"/>
  <c r="Q389" i="6"/>
  <c r="P389" i="6"/>
  <c r="H389" i="6"/>
  <c r="Q930" i="6"/>
  <c r="H930" i="6"/>
  <c r="P930" i="6"/>
  <c r="P624" i="6"/>
  <c r="H624" i="6"/>
  <c r="Q624" i="6"/>
  <c r="H223" i="6"/>
  <c r="Q223" i="6"/>
  <c r="P223" i="6"/>
  <c r="Q337" i="6"/>
  <c r="P337" i="6"/>
  <c r="H337" i="6"/>
  <c r="H250" i="6"/>
  <c r="P250" i="6"/>
  <c r="Q250" i="6"/>
  <c r="P434" i="6"/>
  <c r="Q434" i="6"/>
  <c r="H434" i="6"/>
  <c r="Q727" i="6"/>
  <c r="P727" i="6"/>
  <c r="H727" i="6"/>
  <c r="H776" i="6"/>
  <c r="P776" i="6"/>
  <c r="Q776" i="6"/>
  <c r="H716" i="6"/>
  <c r="Q716" i="6"/>
  <c r="P716" i="6"/>
  <c r="P502" i="6"/>
  <c r="Q502" i="6"/>
  <c r="H502" i="6"/>
  <c r="P799" i="6"/>
  <c r="H799" i="6"/>
  <c r="Q799" i="6"/>
  <c r="Q966" i="6"/>
  <c r="H966" i="6"/>
  <c r="P966" i="6"/>
  <c r="P233" i="6"/>
  <c r="H233" i="6"/>
  <c r="Q233" i="6"/>
  <c r="H479" i="6"/>
  <c r="P479" i="6"/>
  <c r="Q479" i="6"/>
  <c r="Q689" i="6"/>
  <c r="H689" i="6"/>
  <c r="P689" i="6"/>
  <c r="H542" i="6"/>
  <c r="Q542" i="6"/>
  <c r="P542" i="6"/>
  <c r="H528" i="6"/>
  <c r="Q528" i="6"/>
  <c r="P528" i="6"/>
  <c r="P823" i="6"/>
  <c r="H823" i="6"/>
  <c r="Q823" i="6"/>
  <c r="P307" i="6"/>
  <c r="H307" i="6"/>
  <c r="Q307" i="6"/>
  <c r="H388" i="6"/>
  <c r="P388" i="6"/>
  <c r="Q388" i="6"/>
  <c r="H137" i="6"/>
  <c r="Q137" i="6"/>
  <c r="P137" i="6"/>
  <c r="H309" i="6"/>
  <c r="P309" i="6"/>
  <c r="Q309" i="6"/>
  <c r="P906" i="6"/>
  <c r="H906" i="6"/>
  <c r="Q906" i="6"/>
  <c r="H204" i="6"/>
  <c r="P204" i="6"/>
  <c r="Q204" i="6"/>
  <c r="P669" i="6"/>
  <c r="H669" i="6"/>
  <c r="Q669" i="6"/>
  <c r="Q630" i="6"/>
  <c r="H630" i="6"/>
  <c r="P630" i="6"/>
  <c r="Q192" i="6"/>
  <c r="H192" i="6"/>
  <c r="P192" i="6"/>
  <c r="P150" i="6"/>
  <c r="H150" i="6"/>
  <c r="Q150" i="6"/>
  <c r="H461" i="6"/>
  <c r="Q461" i="6"/>
  <c r="P461" i="6"/>
  <c r="P603" i="6"/>
  <c r="Q603" i="6"/>
  <c r="H603" i="6"/>
  <c r="P876" i="6"/>
  <c r="H876" i="6"/>
  <c r="Q876" i="6"/>
  <c r="P882" i="6"/>
  <c r="H882" i="6"/>
  <c r="Q882" i="6"/>
  <c r="H442" i="6"/>
  <c r="Q442" i="6"/>
  <c r="P442" i="6"/>
  <c r="Q863" i="6"/>
  <c r="P863" i="6"/>
  <c r="H863" i="6"/>
  <c r="H582" i="6"/>
  <c r="Q582" i="6"/>
  <c r="P582" i="6"/>
  <c r="H381" i="6"/>
  <c r="Q381" i="6"/>
  <c r="P381" i="6"/>
  <c r="P738" i="6"/>
  <c r="H738" i="6"/>
  <c r="Q738" i="6"/>
  <c r="H653" i="6"/>
  <c r="P653" i="6"/>
  <c r="Q653" i="6"/>
  <c r="P514" i="6"/>
  <c r="H514" i="6"/>
  <c r="Q514" i="6"/>
  <c r="P604" i="6"/>
  <c r="H604" i="6"/>
  <c r="Q604" i="6"/>
  <c r="Q988" i="6"/>
  <c r="P988" i="6"/>
  <c r="H988" i="6"/>
  <c r="H191" i="6"/>
  <c r="Q191" i="6"/>
  <c r="P191" i="6"/>
  <c r="H827" i="6"/>
  <c r="Q827" i="6"/>
  <c r="P827" i="6"/>
  <c r="P921" i="6"/>
  <c r="Q921" i="6"/>
  <c r="H921" i="6"/>
  <c r="Q690" i="6"/>
  <c r="H690" i="6"/>
  <c r="P690" i="6"/>
  <c r="H656" i="6"/>
  <c r="P656" i="6"/>
  <c r="Q656" i="6"/>
  <c r="Q418" i="6"/>
  <c r="H418" i="6"/>
  <c r="P418" i="6"/>
  <c r="P747" i="6"/>
  <c r="H747" i="6"/>
  <c r="Q747" i="6"/>
  <c r="P875" i="6"/>
  <c r="Q875" i="6"/>
  <c r="H875" i="6"/>
  <c r="P189" i="6"/>
  <c r="H189" i="6"/>
  <c r="Q189" i="6"/>
  <c r="H888" i="6"/>
  <c r="P888" i="6"/>
  <c r="Q888" i="6"/>
  <c r="H114" i="6"/>
  <c r="Q114" i="6"/>
  <c r="P114" i="6"/>
  <c r="P962" i="6"/>
  <c r="H962" i="6"/>
  <c r="Q962" i="6"/>
  <c r="P384" i="6"/>
  <c r="H384" i="6"/>
  <c r="Q384" i="6"/>
  <c r="H299" i="6"/>
  <c r="Q299" i="6"/>
  <c r="P299" i="6"/>
  <c r="P171" i="6"/>
  <c r="Q171" i="6"/>
  <c r="H171" i="6"/>
  <c r="P183" i="6"/>
  <c r="H183" i="6"/>
  <c r="Q183" i="6"/>
  <c r="P172" i="6"/>
  <c r="H172" i="6"/>
  <c r="Q172" i="6"/>
  <c r="P206" i="6"/>
  <c r="H206" i="6"/>
  <c r="Q206" i="6"/>
  <c r="Q235" i="6"/>
  <c r="P235" i="6"/>
  <c r="H235" i="6"/>
  <c r="P723" i="6"/>
  <c r="Q723" i="6"/>
  <c r="H723" i="6"/>
  <c r="P227" i="6"/>
  <c r="H227" i="6"/>
  <c r="Q227" i="6"/>
  <c r="H471" i="6"/>
  <c r="Q471" i="6"/>
  <c r="P471" i="6"/>
  <c r="H164" i="6"/>
  <c r="P164" i="6"/>
  <c r="Q164" i="6"/>
  <c r="P446" i="6"/>
  <c r="H446" i="6"/>
  <c r="Q446" i="6"/>
  <c r="P977" i="6"/>
  <c r="H977" i="6"/>
  <c r="Q977" i="6"/>
  <c r="H437" i="6"/>
  <c r="Q437" i="6"/>
  <c r="P437" i="6"/>
  <c r="P333" i="6"/>
  <c r="H333" i="6"/>
  <c r="Q333" i="6"/>
  <c r="Q819" i="6"/>
  <c r="P819" i="6"/>
  <c r="H819" i="6"/>
  <c r="P835" i="6"/>
  <c r="H835" i="6"/>
  <c r="Q835" i="6"/>
  <c r="H334" i="6"/>
  <c r="Q334" i="6"/>
  <c r="P334" i="6"/>
  <c r="H162" i="6"/>
  <c r="Q162" i="6"/>
  <c r="P162" i="6"/>
  <c r="Q364" i="6"/>
  <c r="P364" i="6"/>
  <c r="H364" i="6"/>
  <c r="P354" i="6"/>
  <c r="H354" i="6"/>
  <c r="Q354" i="6"/>
  <c r="P489" i="6"/>
  <c r="H489" i="6"/>
  <c r="Q489" i="6"/>
  <c r="P914" i="6"/>
  <c r="H914" i="6"/>
  <c r="Q914" i="6"/>
  <c r="Q880" i="6"/>
  <c r="P880" i="6"/>
  <c r="H880" i="6"/>
  <c r="P609" i="6"/>
  <c r="H609" i="6"/>
  <c r="Q609" i="6"/>
  <c r="Q303" i="6"/>
  <c r="H303" i="6"/>
  <c r="P303" i="6"/>
  <c r="Q979" i="6"/>
  <c r="P979" i="6"/>
  <c r="H979" i="6"/>
  <c r="H726" i="6"/>
  <c r="Q726" i="6"/>
  <c r="P726" i="6"/>
  <c r="P207" i="6"/>
  <c r="Q207" i="6"/>
  <c r="H207" i="6"/>
  <c r="H554" i="6"/>
  <c r="P554" i="6"/>
  <c r="Q554" i="6"/>
  <c r="Q241" i="6"/>
  <c r="P241" i="6"/>
  <c r="H241" i="6"/>
  <c r="Q236" i="6"/>
  <c r="P236" i="6"/>
  <c r="H236" i="6"/>
  <c r="Q125" i="6"/>
  <c r="P125" i="6"/>
  <c r="H125" i="6"/>
  <c r="P376" i="6"/>
  <c r="H376" i="6"/>
  <c r="Q376" i="6"/>
  <c r="Q898" i="6"/>
  <c r="H898" i="6"/>
  <c r="P898" i="6"/>
  <c r="H215" i="6"/>
  <c r="P215" i="6"/>
  <c r="Q215" i="6"/>
  <c r="P583" i="6"/>
  <c r="Q583" i="6"/>
  <c r="H583" i="6"/>
  <c r="H322" i="6"/>
  <c r="Q322" i="6"/>
  <c r="P322" i="6"/>
  <c r="H824" i="6"/>
  <c r="Q824" i="6"/>
  <c r="P824" i="6"/>
  <c r="H878" i="6"/>
  <c r="Q878" i="6"/>
  <c r="P878" i="6"/>
  <c r="P196" i="6"/>
  <c r="H196" i="6"/>
  <c r="Q196" i="6"/>
  <c r="Q373" i="6"/>
  <c r="P373" i="6"/>
  <c r="H373" i="6"/>
  <c r="P649" i="6"/>
  <c r="H649" i="6"/>
  <c r="Q649" i="6"/>
  <c r="P130" i="6"/>
  <c r="H130" i="6"/>
  <c r="Q130" i="6"/>
  <c r="P755" i="6"/>
  <c r="H755" i="6"/>
  <c r="Q755" i="6"/>
  <c r="H550" i="6"/>
  <c r="Q550" i="6"/>
  <c r="P550" i="6"/>
  <c r="P492" i="6"/>
  <c r="H492" i="6"/>
  <c r="Q492" i="6"/>
  <c r="P504" i="6"/>
  <c r="Q504" i="6"/>
  <c r="H504" i="6"/>
  <c r="P812" i="6"/>
  <c r="Q812" i="6"/>
  <c r="H812" i="6"/>
  <c r="Q826" i="6"/>
  <c r="P826" i="6"/>
  <c r="H826" i="6"/>
  <c r="H968" i="6"/>
  <c r="P968" i="6"/>
  <c r="Q968" i="6"/>
  <c r="Q288" i="6"/>
  <c r="P288" i="6"/>
  <c r="H288" i="6"/>
  <c r="H113" i="6"/>
  <c r="P113" i="6"/>
  <c r="Q113" i="6"/>
  <c r="P640" i="6"/>
  <c r="H640" i="6"/>
  <c r="Q640" i="6"/>
  <c r="P267" i="6"/>
  <c r="H267" i="6"/>
  <c r="Q267" i="6"/>
  <c r="P510" i="6"/>
  <c r="Q510" i="6"/>
  <c r="H510" i="6"/>
  <c r="Q889" i="6"/>
  <c r="P889" i="6"/>
  <c r="H889" i="6"/>
  <c r="P256" i="6"/>
  <c r="H256" i="6"/>
  <c r="Q256" i="6"/>
  <c r="P439" i="6"/>
  <c r="H439" i="6"/>
  <c r="Q439" i="6"/>
  <c r="H478" i="6"/>
  <c r="Q478" i="6"/>
  <c r="P478" i="6"/>
  <c r="P297" i="6"/>
  <c r="Q297" i="6"/>
  <c r="H297" i="6"/>
  <c r="H525" i="6"/>
  <c r="Q525" i="6"/>
  <c r="P525" i="6"/>
  <c r="P272" i="6"/>
  <c r="H272" i="6"/>
  <c r="Q272" i="6"/>
  <c r="P894" i="6"/>
  <c r="H894" i="6"/>
  <c r="Q894" i="6"/>
  <c r="H890" i="6"/>
  <c r="Q890" i="6"/>
  <c r="P890" i="6"/>
  <c r="P984" i="6"/>
  <c r="Q984" i="6"/>
  <c r="H984" i="6"/>
  <c r="Q358" i="6"/>
  <c r="H358" i="6"/>
  <c r="P358" i="6"/>
  <c r="P484" i="6"/>
  <c r="Q484" i="6"/>
  <c r="H484" i="6"/>
  <c r="Q801" i="6"/>
  <c r="P801" i="6"/>
  <c r="H801" i="6"/>
  <c r="P474" i="6"/>
  <c r="H474" i="6"/>
  <c r="Q474" i="6"/>
  <c r="P628" i="6"/>
  <c r="H628" i="6"/>
  <c r="Q628" i="6"/>
  <c r="Q897" i="6"/>
  <c r="P897" i="6"/>
  <c r="H897" i="6"/>
  <c r="H462" i="6"/>
  <c r="Q462" i="6"/>
  <c r="P462" i="6"/>
  <c r="Q657" i="6"/>
  <c r="H657" i="6"/>
  <c r="P657" i="6"/>
  <c r="P678" i="6"/>
  <c r="H678" i="6"/>
  <c r="Q678" i="6"/>
  <c r="P685" i="6"/>
  <c r="H685" i="6"/>
  <c r="Q685" i="6"/>
  <c r="P156" i="6"/>
  <c r="H156" i="6"/>
  <c r="Q156" i="6"/>
  <c r="P275" i="6"/>
  <c r="Q275" i="6"/>
  <c r="H275" i="6"/>
  <c r="Q749" i="6"/>
  <c r="P749" i="6"/>
  <c r="H749" i="6"/>
  <c r="P298" i="6"/>
  <c r="H298" i="6"/>
  <c r="Q298" i="6"/>
  <c r="H893" i="6"/>
  <c r="Q893" i="6"/>
  <c r="P893" i="6"/>
  <c r="H711" i="6"/>
  <c r="P711" i="6"/>
  <c r="Q711" i="6"/>
  <c r="Q127" i="6"/>
  <c r="P127" i="6"/>
  <c r="H127" i="6"/>
  <c r="H121" i="6"/>
  <c r="Q121" i="6"/>
  <c r="P121" i="6"/>
  <c r="Q643" i="6"/>
  <c r="H643" i="6"/>
  <c r="P643" i="6"/>
  <c r="P908" i="6"/>
  <c r="H908" i="6"/>
  <c r="Q908" i="6"/>
  <c r="P129" i="6"/>
  <c r="H129" i="6"/>
  <c r="Q129" i="6"/>
  <c r="P273" i="6"/>
  <c r="H273" i="6"/>
  <c r="Q273" i="6"/>
  <c r="H470" i="6"/>
  <c r="Q470" i="6"/>
  <c r="P470" i="6"/>
  <c r="H717" i="6"/>
  <c r="P717" i="6"/>
  <c r="Q717" i="6"/>
  <c r="P1010" i="6"/>
  <c r="H1010" i="6"/>
  <c r="Q1010" i="6"/>
  <c r="Q507" i="6"/>
  <c r="H507" i="6"/>
  <c r="P507" i="6"/>
  <c r="H417" i="6"/>
  <c r="Q417" i="6"/>
  <c r="P417" i="6"/>
  <c r="P928" i="6"/>
  <c r="Q928" i="6"/>
  <c r="H928" i="6"/>
  <c r="Q529" i="6"/>
  <c r="H529" i="6"/>
  <c r="P529" i="6"/>
  <c r="Q785" i="6"/>
  <c r="H785" i="6"/>
  <c r="P785" i="6"/>
  <c r="P615" i="6"/>
  <c r="H615" i="6"/>
  <c r="Q615" i="6"/>
  <c r="P778" i="6"/>
  <c r="H778" i="6"/>
  <c r="Q778" i="6"/>
  <c r="H387" i="6"/>
  <c r="P387" i="6"/>
  <c r="Q387" i="6"/>
  <c r="H224" i="6"/>
  <c r="Q224" i="6"/>
  <c r="P224" i="6"/>
  <c r="P948" i="6"/>
  <c r="Q948" i="6"/>
  <c r="H948" i="6"/>
  <c r="P994" i="6"/>
  <c r="H994" i="6"/>
  <c r="Q994" i="6"/>
  <c r="H872" i="6"/>
  <c r="Q872" i="6"/>
  <c r="P872" i="6"/>
  <c r="Q306" i="6"/>
  <c r="P306" i="6"/>
  <c r="H306" i="6"/>
  <c r="P725" i="6"/>
  <c r="H725" i="6"/>
  <c r="Q725" i="6"/>
  <c r="H702" i="6"/>
  <c r="P702" i="6"/>
  <c r="Q702" i="6"/>
  <c r="P1011" i="6"/>
  <c r="H1011" i="6"/>
  <c r="Q1011" i="6"/>
  <c r="H869" i="6"/>
  <c r="Q869" i="6"/>
  <c r="P869" i="6"/>
  <c r="P146" i="6"/>
  <c r="H146" i="6"/>
  <c r="Q146" i="6"/>
  <c r="H581" i="6"/>
  <c r="Q581" i="6"/>
  <c r="P581" i="6"/>
  <c r="P453" i="6"/>
  <c r="H453" i="6"/>
  <c r="Q453" i="6"/>
  <c r="Q933" i="6"/>
  <c r="H933" i="6"/>
  <c r="P933" i="6"/>
  <c r="H160" i="6"/>
  <c r="P160" i="6"/>
  <c r="Q160" i="6"/>
  <c r="H638" i="6"/>
  <c r="Q638" i="6"/>
  <c r="P638" i="6"/>
  <c r="H887" i="6"/>
  <c r="P887" i="6"/>
  <c r="Q887" i="6"/>
  <c r="P854" i="6"/>
  <c r="Q854" i="6"/>
  <c r="H854" i="6"/>
  <c r="H347" i="6"/>
  <c r="P347" i="6"/>
  <c r="Q347" i="6"/>
  <c r="Q999" i="6"/>
  <c r="P999" i="6"/>
  <c r="H999" i="6"/>
  <c r="P974" i="6"/>
  <c r="Q974" i="6"/>
  <c r="H974" i="6"/>
  <c r="H942" i="6"/>
  <c r="Q942" i="6"/>
  <c r="P942" i="6"/>
  <c r="H460" i="6"/>
  <c r="P460" i="6"/>
  <c r="Q460" i="6"/>
  <c r="Q226" i="6"/>
  <c r="P226" i="6"/>
  <c r="H226" i="6"/>
  <c r="Q169" i="6"/>
  <c r="P169" i="6"/>
  <c r="H169" i="6"/>
  <c r="Q464" i="6"/>
  <c r="P464" i="6"/>
  <c r="H464" i="6"/>
  <c r="H486" i="6"/>
  <c r="P486" i="6"/>
  <c r="Q486" i="6"/>
  <c r="Q625" i="6"/>
  <c r="H625" i="6"/>
  <c r="P625" i="6"/>
  <c r="P1003" i="6"/>
  <c r="H1003" i="6"/>
  <c r="Q1003" i="6"/>
  <c r="H663" i="6"/>
  <c r="P663" i="6"/>
  <c r="Q663" i="6"/>
  <c r="H671" i="6"/>
  <c r="P671" i="6"/>
  <c r="Q671" i="6"/>
  <c r="H853" i="6"/>
  <c r="Q853" i="6"/>
  <c r="P853" i="6"/>
  <c r="H304" i="6"/>
  <c r="Q304" i="6"/>
  <c r="P304" i="6"/>
  <c r="H789" i="6"/>
  <c r="Q789" i="6"/>
  <c r="P789" i="6"/>
  <c r="H201" i="6"/>
  <c r="P201" i="6"/>
  <c r="Q201" i="6"/>
  <c r="Q522" i="6"/>
  <c r="H522" i="6"/>
  <c r="P522" i="6"/>
  <c r="H763" i="6"/>
  <c r="P763" i="6"/>
  <c r="Q763" i="6"/>
  <c r="H879" i="6"/>
  <c r="P879" i="6"/>
  <c r="Q879" i="6"/>
  <c r="P648" i="6"/>
  <c r="Q648" i="6"/>
  <c r="H648" i="6"/>
  <c r="P287" i="6"/>
  <c r="Q287" i="6"/>
  <c r="H287" i="6"/>
  <c r="H539" i="6"/>
  <c r="P539" i="6"/>
  <c r="Q539" i="6"/>
  <c r="H830" i="6"/>
  <c r="Q830" i="6"/>
  <c r="P830" i="6"/>
  <c r="Q891" i="6"/>
  <c r="H891" i="6"/>
  <c r="P891" i="6"/>
  <c r="H456" i="6"/>
  <c r="Q456" i="6"/>
  <c r="P456" i="6"/>
  <c r="H168" i="6"/>
  <c r="Q168" i="6"/>
  <c r="P168" i="6"/>
  <c r="H775" i="6"/>
  <c r="Q775" i="6"/>
  <c r="P775" i="6"/>
  <c r="H934" i="6"/>
  <c r="Q934" i="6"/>
  <c r="P934" i="6"/>
  <c r="P860" i="6"/>
  <c r="H860" i="6"/>
  <c r="Q860" i="6"/>
  <c r="P458" i="6"/>
  <c r="H458" i="6"/>
  <c r="Q458" i="6"/>
  <c r="P795" i="6"/>
  <c r="H795" i="6"/>
  <c r="Q795" i="6"/>
  <c r="P296" i="6"/>
  <c r="H296" i="6"/>
  <c r="Q296" i="6"/>
  <c r="H843" i="6"/>
  <c r="Q843" i="6"/>
  <c r="P843" i="6"/>
  <c r="H186" i="6"/>
  <c r="P186" i="6"/>
  <c r="Q186" i="6"/>
  <c r="P313" i="6"/>
  <c r="H313" i="6"/>
  <c r="Q313" i="6"/>
  <c r="P907" i="6"/>
  <c r="Q907" i="6"/>
  <c r="H907" i="6"/>
  <c r="P691" i="6"/>
  <c r="H691" i="6"/>
  <c r="Q691" i="6"/>
  <c r="P837" i="6"/>
  <c r="H837" i="6"/>
  <c r="Q837" i="6"/>
  <c r="P177" i="6"/>
  <c r="H177" i="6"/>
  <c r="Q177" i="6"/>
  <c r="H577" i="6"/>
  <c r="Q577" i="6"/>
  <c r="P577" i="6"/>
  <c r="P527" i="6"/>
  <c r="H527" i="6"/>
  <c r="Q527" i="6"/>
  <c r="H524" i="6"/>
  <c r="P524" i="6"/>
  <c r="Q524" i="6"/>
  <c r="H967" i="6"/>
  <c r="P967" i="6"/>
  <c r="Q967" i="6"/>
  <c r="H905" i="6"/>
  <c r="P905" i="6"/>
  <c r="Q905" i="6"/>
  <c r="H398" i="6"/>
  <c r="Q398" i="6"/>
  <c r="P398" i="6"/>
  <c r="P234" i="6"/>
  <c r="H234" i="6"/>
  <c r="Q234" i="6"/>
  <c r="H741" i="6"/>
  <c r="P741" i="6"/>
  <c r="Q741" i="6"/>
  <c r="Q391" i="6"/>
  <c r="H391" i="6"/>
  <c r="P391" i="6"/>
  <c r="P170" i="6"/>
  <c r="Q170" i="6"/>
  <c r="H170" i="6"/>
  <c r="H141" i="6"/>
  <c r="Q141" i="6"/>
  <c r="P141" i="6"/>
  <c r="Q326" i="6"/>
  <c r="P326" i="6"/>
  <c r="H326" i="6"/>
  <c r="Q672" i="6"/>
  <c r="H672" i="6"/>
  <c r="P672" i="6"/>
  <c r="H857" i="6"/>
  <c r="Q857" i="6"/>
  <c r="P857" i="6"/>
  <c r="H871" i="6"/>
  <c r="Q871" i="6"/>
  <c r="P871" i="6"/>
  <c r="H281" i="6"/>
  <c r="P281" i="6"/>
  <c r="Q281" i="6"/>
  <c r="H399" i="6"/>
  <c r="Q399" i="6"/>
  <c r="P399" i="6"/>
  <c r="H209" i="6"/>
  <c r="Q209" i="6"/>
  <c r="P209" i="6"/>
  <c r="Q731" i="6"/>
  <c r="P731" i="6"/>
  <c r="H731" i="6"/>
  <c r="P684" i="6"/>
  <c r="H684" i="6"/>
  <c r="Q684" i="6"/>
  <c r="Q675" i="6"/>
  <c r="H675" i="6"/>
  <c r="P675" i="6"/>
  <c r="H140" i="6"/>
  <c r="P140" i="6"/>
  <c r="Q140" i="6"/>
  <c r="Q811" i="6"/>
  <c r="P811" i="6"/>
  <c r="H811" i="6"/>
  <c r="Q499" i="6"/>
  <c r="H499" i="6"/>
  <c r="P499" i="6"/>
  <c r="P874" i="6"/>
  <c r="H874" i="6"/>
  <c r="Q874" i="6"/>
  <c r="P682" i="6"/>
  <c r="Q682" i="6"/>
  <c r="H682" i="6"/>
  <c r="Q729" i="6"/>
  <c r="H729" i="6"/>
  <c r="P729" i="6"/>
  <c r="P269" i="6"/>
  <c r="Q269" i="6"/>
  <c r="H269" i="6"/>
  <c r="P557" i="6"/>
  <c r="H557" i="6"/>
  <c r="Q557" i="6"/>
  <c r="H248" i="6"/>
  <c r="P248" i="6"/>
  <c r="Q248" i="6"/>
  <c r="P786" i="6"/>
  <c r="Q786" i="6"/>
  <c r="H786" i="6"/>
  <c r="P356" i="6"/>
  <c r="H356" i="6"/>
  <c r="Q356" i="6"/>
  <c r="H182" i="6"/>
  <c r="P182" i="6"/>
  <c r="Q182" i="6"/>
  <c r="P556" i="6"/>
  <c r="H556" i="6"/>
  <c r="Q556" i="6"/>
  <c r="Q599" i="6"/>
  <c r="P599" i="6"/>
  <c r="H599" i="6"/>
  <c r="Q271" i="6"/>
  <c r="H271" i="6"/>
  <c r="P271" i="6"/>
  <c r="H927" i="6"/>
  <c r="Q927" i="6"/>
  <c r="P927" i="6"/>
  <c r="H997" i="6"/>
  <c r="P997" i="6"/>
  <c r="Q997" i="6"/>
  <c r="H167" i="6"/>
  <c r="Q167" i="6"/>
  <c r="P167" i="6"/>
  <c r="Q839" i="6"/>
  <c r="H839" i="6"/>
  <c r="P839" i="6"/>
  <c r="Q708" i="6"/>
  <c r="H708" i="6"/>
  <c r="P708" i="6"/>
  <c r="H589" i="6"/>
  <c r="Q589" i="6"/>
  <c r="P589" i="6"/>
  <c r="H655" i="6"/>
  <c r="P655" i="6"/>
  <c r="Q655" i="6"/>
  <c r="P284" i="6"/>
  <c r="Q284" i="6"/>
  <c r="H284" i="6"/>
  <c r="H225" i="6"/>
  <c r="Q225" i="6"/>
  <c r="P225" i="6"/>
  <c r="Q822" i="6"/>
  <c r="H822" i="6"/>
  <c r="P822" i="6"/>
  <c r="H752" i="6"/>
  <c r="P752" i="6"/>
  <c r="Q752" i="6"/>
  <c r="P475" i="6"/>
  <c r="H475" i="6"/>
  <c r="Q475" i="6"/>
  <c r="P606" i="6"/>
  <c r="H606" i="6"/>
  <c r="Q606" i="6"/>
  <c r="H629" i="6"/>
  <c r="Q629" i="6"/>
  <c r="P629" i="6"/>
  <c r="H573" i="6"/>
  <c r="Q573" i="6"/>
  <c r="P573" i="6"/>
  <c r="H415" i="6"/>
  <c r="P415" i="6"/>
  <c r="Q415" i="6"/>
  <c r="P495" i="6"/>
  <c r="H495" i="6"/>
  <c r="Q495" i="6"/>
  <c r="Q744" i="6"/>
  <c r="P744" i="6"/>
  <c r="H744" i="6"/>
  <c r="P616" i="6"/>
  <c r="H616" i="6"/>
  <c r="Q616" i="6"/>
  <c r="Q332" i="6"/>
  <c r="H332" i="6"/>
  <c r="P332" i="6"/>
  <c r="Q986" i="6"/>
  <c r="H986" i="6"/>
  <c r="P986" i="6"/>
  <c r="H144" i="6"/>
  <c r="Q144" i="6"/>
  <c r="P144" i="6"/>
  <c r="P852" i="6"/>
  <c r="Q852" i="6"/>
  <c r="H852" i="6"/>
  <c r="Q293" i="6"/>
  <c r="P293" i="6"/>
  <c r="H293" i="6"/>
  <c r="H807" i="6"/>
  <c r="Q807" i="6"/>
  <c r="P807" i="6"/>
  <c r="Q676" i="6"/>
  <c r="H676" i="6"/>
  <c r="P676" i="6"/>
  <c r="P805" i="6"/>
  <c r="H805" i="6"/>
  <c r="Q805" i="6"/>
  <c r="Q1009" i="6"/>
  <c r="P1009" i="6"/>
  <c r="H1009" i="6"/>
  <c r="P449" i="6"/>
  <c r="H449" i="6"/>
  <c r="Q449" i="6"/>
  <c r="P401" i="6"/>
  <c r="H401" i="6"/>
  <c r="Q401" i="6"/>
  <c r="Q351" i="6"/>
  <c r="H351" i="6"/>
  <c r="P351" i="6"/>
  <c r="H1006" i="6"/>
  <c r="P1006" i="6"/>
  <c r="Q1006" i="6"/>
  <c r="P406" i="6"/>
  <c r="Q406" i="6"/>
  <c r="H406" i="6"/>
  <c r="P494" i="6"/>
  <c r="Q494" i="6"/>
  <c r="H494" i="6"/>
  <c r="Q574" i="6"/>
  <c r="P574" i="6"/>
  <c r="H574" i="6"/>
  <c r="H902" i="6"/>
  <c r="Q902" i="6"/>
  <c r="P902" i="6"/>
  <c r="P562" i="6"/>
  <c r="Q562" i="6"/>
  <c r="H562" i="6"/>
  <c r="H335" i="6"/>
  <c r="P335" i="6"/>
  <c r="Q335" i="6"/>
  <c r="Q946" i="6"/>
  <c r="H946" i="6"/>
  <c r="P946" i="6"/>
  <c r="H896" i="6"/>
  <c r="Q896" i="6"/>
  <c r="P896" i="6"/>
  <c r="H798" i="6"/>
  <c r="P798" i="6"/>
  <c r="Q798" i="6"/>
  <c r="H873" i="6"/>
  <c r="Q873" i="6"/>
  <c r="P873" i="6"/>
  <c r="H941" i="6"/>
  <c r="P941" i="6"/>
  <c r="Q941" i="6"/>
  <c r="H1001" i="6"/>
  <c r="Q1001" i="6"/>
  <c r="P1001" i="6"/>
  <c r="Q646" i="6"/>
  <c r="P646" i="6"/>
  <c r="H646" i="6"/>
  <c r="P419" i="6"/>
  <c r="Q419" i="6"/>
  <c r="H419" i="6"/>
  <c r="H973" i="6"/>
  <c r="Q973" i="6"/>
  <c r="P973" i="6"/>
  <c r="H696" i="6"/>
  <c r="Q696" i="6"/>
  <c r="P696" i="6"/>
  <c r="H238" i="6"/>
  <c r="P238" i="6"/>
  <c r="Q238" i="6"/>
  <c r="H245" i="6"/>
  <c r="Q245" i="6"/>
  <c r="P245" i="6"/>
  <c r="H777" i="6"/>
  <c r="P777" i="6"/>
  <c r="Q777" i="6"/>
  <c r="H883" i="6"/>
  <c r="Q883" i="6"/>
  <c r="P883" i="6"/>
  <c r="P631" i="6"/>
  <c r="Q631" i="6"/>
  <c r="H631" i="6"/>
  <c r="H350" i="6"/>
  <c r="Q350" i="6"/>
  <c r="P350" i="6"/>
  <c r="Q972" i="6"/>
  <c r="H972" i="6"/>
  <c r="P972" i="6"/>
  <c r="H992" i="6"/>
  <c r="P992" i="6"/>
  <c r="Q992" i="6"/>
  <c r="H264" i="6"/>
  <c r="Q264" i="6"/>
  <c r="P264" i="6"/>
  <c r="H739" i="6"/>
  <c r="P739" i="6"/>
  <c r="Q739" i="6"/>
  <c r="P147" i="6"/>
  <c r="H147" i="6"/>
  <c r="Q147" i="6"/>
  <c r="H866" i="6"/>
  <c r="Q866" i="6"/>
  <c r="P866" i="6"/>
  <c r="P808" i="6"/>
  <c r="Q808" i="6"/>
  <c r="H808" i="6"/>
  <c r="H148" i="6"/>
  <c r="P148" i="6"/>
  <c r="Q148" i="6"/>
  <c r="P693" i="6"/>
  <c r="H693" i="6"/>
  <c r="Q693" i="6"/>
  <c r="P491" i="6"/>
  <c r="H491" i="6"/>
  <c r="Q491" i="6"/>
  <c r="Q402" i="6"/>
  <c r="P402" i="6"/>
  <c r="H402" i="6"/>
  <c r="H266" i="6"/>
  <c r="P266" i="6"/>
  <c r="Q266" i="6"/>
  <c r="P954" i="6"/>
  <c r="H954" i="6"/>
  <c r="Q954" i="6"/>
  <c r="H836" i="6"/>
  <c r="P836" i="6"/>
  <c r="Q836" i="6"/>
  <c r="P654" i="6"/>
  <c r="Q654" i="6"/>
  <c r="H654" i="6"/>
  <c r="P576" i="6"/>
  <c r="Q576" i="6"/>
  <c r="H576" i="6"/>
  <c r="P764" i="6"/>
  <c r="Q764" i="6"/>
  <c r="H764" i="6"/>
  <c r="H635" i="6"/>
  <c r="Q635" i="6"/>
  <c r="P635" i="6"/>
  <c r="P258" i="6"/>
  <c r="Q258" i="6"/>
  <c r="H258" i="6"/>
  <c r="H485" i="6"/>
  <c r="Q485" i="6"/>
  <c r="P485" i="6"/>
  <c r="P343" i="6"/>
  <c r="Q343" i="6"/>
  <c r="H343" i="6"/>
  <c r="P457" i="6"/>
  <c r="H457" i="6"/>
  <c r="Q457" i="6"/>
  <c r="H263" i="6"/>
  <c r="Q263" i="6"/>
  <c r="P263" i="6"/>
  <c r="H408" i="6"/>
  <c r="P408" i="6"/>
  <c r="Q408" i="6"/>
  <c r="P650" i="6"/>
  <c r="H650" i="6"/>
  <c r="Q650" i="6"/>
  <c r="H912" i="6"/>
  <c r="Q912" i="6"/>
  <c r="P912" i="6"/>
  <c r="H774" i="6"/>
  <c r="P774" i="6"/>
  <c r="Q774" i="6"/>
  <c r="P393" i="6"/>
  <c r="H393" i="6"/>
  <c r="Q393" i="6"/>
  <c r="Q123" i="6"/>
  <c r="H123" i="6"/>
  <c r="P123" i="6"/>
  <c r="H12" i="6"/>
  <c r="T7" i="6"/>
  <c r="I12" i="6" l="1"/>
  <c r="J12" i="6" s="1"/>
  <c r="P12" i="6"/>
  <c r="K12" i="6" l="1"/>
  <c r="L17" i="6"/>
  <c r="L41" i="6"/>
  <c r="H41" i="6" s="1"/>
  <c r="L52" i="6"/>
  <c r="H52" i="6" s="1"/>
  <c r="L62" i="6"/>
  <c r="Q62" i="6" s="1"/>
  <c r="L68" i="6"/>
  <c r="H68" i="6" s="1"/>
  <c r="L74" i="6"/>
  <c r="Q74" i="6" s="1"/>
  <c r="L80" i="6"/>
  <c r="L49" i="6"/>
  <c r="P49" i="6" s="1"/>
  <c r="L84" i="6"/>
  <c r="Q84" i="6" s="1"/>
  <c r="L16" i="6"/>
  <c r="H16" i="6" s="1"/>
  <c r="L63" i="6"/>
  <c r="P63" i="6" s="1"/>
  <c r="L105" i="6"/>
  <c r="P105" i="6" s="1"/>
  <c r="L111" i="6"/>
  <c r="H111" i="6" s="1"/>
  <c r="L18" i="6"/>
  <c r="H18" i="6" s="1"/>
  <c r="L28" i="6"/>
  <c r="P28" i="6" s="1"/>
  <c r="L31" i="6"/>
  <c r="Q31" i="6" s="1"/>
  <c r="L42" i="6"/>
  <c r="H42" i="6" s="1"/>
  <c r="L55" i="6"/>
  <c r="P55" i="6" s="1"/>
  <c r="L86" i="6"/>
  <c r="P86" i="6" s="1"/>
  <c r="L92" i="6"/>
  <c r="Q92" i="6" s="1"/>
  <c r="L98" i="6"/>
  <c r="Q98" i="6" s="1"/>
  <c r="L104" i="6"/>
  <c r="Q104" i="6" s="1"/>
  <c r="L110" i="6"/>
  <c r="H110" i="6" s="1"/>
  <c r="L107" i="6"/>
  <c r="L60" i="6"/>
  <c r="P60" i="6" s="1"/>
  <c r="L90" i="6"/>
  <c r="H90" i="6" s="1"/>
  <c r="L108" i="6"/>
  <c r="L20" i="6"/>
  <c r="Q20" i="6" s="1"/>
  <c r="L14" i="6"/>
  <c r="H14" i="6" s="1"/>
  <c r="L53" i="6"/>
  <c r="H53" i="6" s="1"/>
  <c r="L87" i="6"/>
  <c r="L19" i="6"/>
  <c r="Q19" i="6" s="1"/>
  <c r="L33" i="6"/>
  <c r="H33" i="6" s="1"/>
  <c r="L88" i="6"/>
  <c r="L100" i="6"/>
  <c r="H100" i="6" s="1"/>
  <c r="L70" i="6"/>
  <c r="P70" i="6" s="1"/>
  <c r="L21" i="6"/>
  <c r="H21" i="6" s="1"/>
  <c r="L32" i="6"/>
  <c r="L45" i="6"/>
  <c r="H45" i="6" s="1"/>
  <c r="L56" i="6"/>
  <c r="P56" i="6" s="1"/>
  <c r="L65" i="6"/>
  <c r="H65" i="6" s="1"/>
  <c r="L83" i="6"/>
  <c r="L101" i="6"/>
  <c r="P101" i="6" s="1"/>
  <c r="L36" i="6"/>
  <c r="H36" i="6" s="1"/>
  <c r="L89" i="6"/>
  <c r="H89" i="6" s="1"/>
  <c r="L95" i="6"/>
  <c r="P95" i="6" s="1"/>
  <c r="L39" i="6"/>
  <c r="H39" i="6" s="1"/>
  <c r="L66" i="6"/>
  <c r="Q66" i="6" s="1"/>
  <c r="L40" i="6"/>
  <c r="Q40" i="6" s="1"/>
  <c r="L69" i="6"/>
  <c r="H69" i="6" s="1"/>
  <c r="L77" i="6"/>
  <c r="P77" i="6" s="1"/>
  <c r="L30" i="6"/>
  <c r="H30" i="6" s="1"/>
  <c r="L64" i="6"/>
  <c r="H64" i="6" s="1"/>
  <c r="L106" i="6"/>
  <c r="H106" i="6" s="1"/>
  <c r="L22" i="6"/>
  <c r="Q22" i="6" s="1"/>
  <c r="L35" i="6"/>
  <c r="L46" i="6"/>
  <c r="Q46" i="6" s="1"/>
  <c r="L59" i="6"/>
  <c r="H59" i="6" s="1"/>
  <c r="L71" i="6"/>
  <c r="H71" i="6" s="1"/>
  <c r="L78" i="6"/>
  <c r="H78" i="6" s="1"/>
  <c r="L96" i="6"/>
  <c r="H96" i="6" s="1"/>
  <c r="L50" i="6"/>
  <c r="Q50" i="6" s="1"/>
  <c r="L81" i="6"/>
  <c r="H81" i="6" s="1"/>
  <c r="L99" i="6"/>
  <c r="H99" i="6" s="1"/>
  <c r="L54" i="6"/>
  <c r="Q54" i="6" s="1"/>
  <c r="L57" i="6"/>
  <c r="Q57" i="6" s="1"/>
  <c r="L82" i="6"/>
  <c r="P82" i="6" s="1"/>
  <c r="L15" i="6"/>
  <c r="H15" i="6" s="1"/>
  <c r="L27" i="6"/>
  <c r="P27" i="6" s="1"/>
  <c r="L38" i="6"/>
  <c r="L51" i="6"/>
  <c r="Q51" i="6" s="1"/>
  <c r="L25" i="6"/>
  <c r="P25" i="6" s="1"/>
  <c r="L72" i="6"/>
  <c r="P72" i="6" s="1"/>
  <c r="L102" i="6"/>
  <c r="P102" i="6" s="1"/>
  <c r="L26" i="6"/>
  <c r="L29" i="6"/>
  <c r="L75" i="6"/>
  <c r="H75" i="6" s="1"/>
  <c r="L93" i="6"/>
  <c r="H93" i="6" s="1"/>
  <c r="L43" i="6"/>
  <c r="Q43" i="6" s="1"/>
  <c r="L44" i="6"/>
  <c r="H44" i="6" s="1"/>
  <c r="L76" i="6"/>
  <c r="L94" i="6"/>
  <c r="Q94" i="6" s="1"/>
  <c r="L24" i="6"/>
  <c r="P24" i="6" s="1"/>
  <c r="L103" i="6"/>
  <c r="P103" i="6" s="1"/>
  <c r="L13" i="6"/>
  <c r="Q13" i="6" s="1"/>
  <c r="L112" i="6"/>
  <c r="H112" i="6" s="1"/>
  <c r="L97" i="6"/>
  <c r="L47" i="6"/>
  <c r="Q47" i="6" s="1"/>
  <c r="L85" i="6"/>
  <c r="P85" i="6" s="1"/>
  <c r="L91" i="6"/>
  <c r="L58" i="6"/>
  <c r="Q58" i="6" s="1"/>
  <c r="L48" i="6"/>
  <c r="H48" i="6" s="1"/>
  <c r="L67" i="6"/>
  <c r="L34" i="6"/>
  <c r="L109" i="6"/>
  <c r="Q109" i="6" s="1"/>
  <c r="L61" i="6"/>
  <c r="H61" i="6" s="1"/>
  <c r="L73" i="6"/>
  <c r="H73" i="6" s="1"/>
  <c r="L37" i="6"/>
  <c r="H37" i="6" s="1"/>
  <c r="L79" i="6"/>
  <c r="H79" i="6" s="1"/>
  <c r="L23" i="6"/>
  <c r="P92" i="6" l="1"/>
  <c r="P66" i="6"/>
  <c r="Q89" i="6"/>
  <c r="Q95" i="6"/>
  <c r="Q77" i="6"/>
  <c r="H40" i="6"/>
  <c r="P16" i="6"/>
  <c r="Q68" i="6"/>
  <c r="Q90" i="6"/>
  <c r="P13" i="6"/>
  <c r="Q44" i="6"/>
  <c r="P65" i="6"/>
  <c r="P58" i="6"/>
  <c r="Q65" i="6"/>
  <c r="H28" i="6"/>
  <c r="Q103" i="6"/>
  <c r="Q72" i="6"/>
  <c r="P40" i="6"/>
  <c r="Q55" i="6"/>
  <c r="P44" i="6"/>
  <c r="Q86" i="6"/>
  <c r="P59" i="6"/>
  <c r="P37" i="6"/>
  <c r="P46" i="6"/>
  <c r="H55" i="6"/>
  <c r="H95" i="6"/>
  <c r="P48" i="6"/>
  <c r="Q41" i="6"/>
  <c r="Q18" i="6"/>
  <c r="H86" i="6"/>
  <c r="H72" i="6"/>
  <c r="H13" i="6"/>
  <c r="I13" i="6" s="1"/>
  <c r="J13" i="6" s="1"/>
  <c r="H60" i="6"/>
  <c r="Q28" i="6"/>
  <c r="Q60" i="6"/>
  <c r="P18" i="6"/>
  <c r="P31" i="6"/>
  <c r="H58" i="6"/>
  <c r="Q71" i="6"/>
  <c r="H56" i="6"/>
  <c r="Q48" i="6"/>
  <c r="H104" i="6"/>
  <c r="H84" i="6"/>
  <c r="P21" i="6"/>
  <c r="P19" i="6"/>
  <c r="Q15" i="6"/>
  <c r="Q53" i="6"/>
  <c r="P71" i="6"/>
  <c r="P50" i="6"/>
  <c r="H19" i="6"/>
  <c r="H31" i="6"/>
  <c r="Q16" i="6"/>
  <c r="Q33" i="6"/>
  <c r="P84" i="6"/>
  <c r="P42" i="6"/>
  <c r="P69" i="6"/>
  <c r="P81" i="6"/>
  <c r="Q49" i="6"/>
  <c r="P33" i="6"/>
  <c r="Q56" i="6"/>
  <c r="P112" i="6"/>
  <c r="Q52" i="6"/>
  <c r="P43" i="6"/>
  <c r="P14" i="6"/>
  <c r="P62" i="6"/>
  <c r="Q42" i="6"/>
  <c r="P98" i="6"/>
  <c r="H50" i="6"/>
  <c r="H43" i="6"/>
  <c r="H46" i="6"/>
  <c r="H70" i="6"/>
  <c r="Q112" i="6"/>
  <c r="P104" i="6"/>
  <c r="H62" i="6"/>
  <c r="P52" i="6"/>
  <c r="Q14" i="6"/>
  <c r="Q59" i="6"/>
  <c r="P111" i="6"/>
  <c r="H17" i="6"/>
  <c r="P17" i="6"/>
  <c r="H24" i="6"/>
  <c r="H66" i="6"/>
  <c r="Q80" i="6"/>
  <c r="H80" i="6"/>
  <c r="P80" i="6"/>
  <c r="P76" i="6"/>
  <c r="H76" i="6"/>
  <c r="H57" i="6"/>
  <c r="H105" i="6"/>
  <c r="H63" i="6"/>
  <c r="Q25" i="6"/>
  <c r="P88" i="6"/>
  <c r="H88" i="6"/>
  <c r="P79" i="6"/>
  <c r="H109" i="6"/>
  <c r="P93" i="6"/>
  <c r="Q93" i="6"/>
  <c r="H51" i="6"/>
  <c r="H77" i="6"/>
  <c r="H20" i="6"/>
  <c r="Q100" i="6"/>
  <c r="Q88" i="6"/>
  <c r="Q63" i="6"/>
  <c r="P41" i="6"/>
  <c r="P110" i="6"/>
  <c r="P30" i="6"/>
  <c r="Q79" i="6"/>
  <c r="H82" i="6"/>
  <c r="H83" i="6"/>
  <c r="Q83" i="6"/>
  <c r="P83" i="6"/>
  <c r="H74" i="6"/>
  <c r="P74" i="6"/>
  <c r="H54" i="6"/>
  <c r="P54" i="6"/>
  <c r="H25" i="6"/>
  <c r="Q38" i="6"/>
  <c r="H38" i="6"/>
  <c r="P35" i="6"/>
  <c r="Q35" i="6"/>
  <c r="Q76" i="6"/>
  <c r="Q32" i="6"/>
  <c r="P32" i="6"/>
  <c r="Q64" i="6"/>
  <c r="P57" i="6"/>
  <c r="Q106" i="6"/>
  <c r="Q110" i="6"/>
  <c r="Q30" i="6"/>
  <c r="Q99" i="6"/>
  <c r="Q26" i="6"/>
  <c r="P26" i="6"/>
  <c r="H26" i="6"/>
  <c r="Q91" i="6"/>
  <c r="P91" i="6"/>
  <c r="Q101" i="6"/>
  <c r="H101" i="6"/>
  <c r="Q73" i="6"/>
  <c r="P73" i="6"/>
  <c r="Q87" i="6"/>
  <c r="P87" i="6"/>
  <c r="H87" i="6"/>
  <c r="Q70" i="6"/>
  <c r="Q17" i="6"/>
  <c r="P100" i="6"/>
  <c r="Q34" i="6"/>
  <c r="P34" i="6"/>
  <c r="H34" i="6"/>
  <c r="P67" i="6"/>
  <c r="Q67" i="6"/>
  <c r="H67" i="6"/>
  <c r="Q75" i="6"/>
  <c r="P75" i="6"/>
  <c r="H27" i="6"/>
  <c r="Q27" i="6"/>
  <c r="P96" i="6"/>
  <c r="Q96" i="6"/>
  <c r="H35" i="6"/>
  <c r="P89" i="6"/>
  <c r="H32" i="6"/>
  <c r="P20" i="6"/>
  <c r="P64" i="6"/>
  <c r="P106" i="6"/>
  <c r="Q105" i="6"/>
  <c r="P39" i="6"/>
  <c r="P99" i="6"/>
  <c r="H91" i="6"/>
  <c r="H92" i="6"/>
  <c r="Q61" i="6"/>
  <c r="P61" i="6"/>
  <c r="P45" i="6"/>
  <c r="Q45" i="6"/>
  <c r="Q108" i="6"/>
  <c r="P108" i="6"/>
  <c r="H108" i="6"/>
  <c r="P22" i="6"/>
  <c r="Q82" i="6"/>
  <c r="Q39" i="6"/>
  <c r="H94" i="6"/>
  <c r="P94" i="6"/>
  <c r="H85" i="6"/>
  <c r="P107" i="6"/>
  <c r="Q107" i="6"/>
  <c r="P47" i="6"/>
  <c r="H47" i="6"/>
  <c r="H107" i="6"/>
  <c r="P97" i="6"/>
  <c r="Q97" i="6"/>
  <c r="H97" i="6"/>
  <c r="P23" i="6"/>
  <c r="Q23" i="6"/>
  <c r="H23" i="6"/>
  <c r="H103" i="6"/>
  <c r="P29" i="6"/>
  <c r="Q29" i="6"/>
  <c r="H29" i="6"/>
  <c r="Q85" i="6"/>
  <c r="P78" i="6"/>
  <c r="Q78" i="6"/>
  <c r="H22" i="6"/>
  <c r="P36" i="6"/>
  <c r="Q36" i="6"/>
  <c r="H98" i="6"/>
  <c r="Q24" i="6"/>
  <c r="H49" i="6"/>
  <c r="P38" i="6"/>
  <c r="P53" i="6"/>
  <c r="P109" i="6"/>
  <c r="P51" i="6"/>
  <c r="P90" i="6"/>
  <c r="Q81" i="6"/>
  <c r="Q69" i="6"/>
  <c r="Q111" i="6"/>
  <c r="P68" i="6"/>
  <c r="Q37" i="6"/>
  <c r="P15" i="6"/>
  <c r="Q102" i="6"/>
  <c r="H102" i="6"/>
  <c r="K13" i="6" l="1"/>
  <c r="I14" i="6"/>
  <c r="J14" i="6" s="1"/>
  <c r="K14" i="6" l="1"/>
  <c r="I15" i="6"/>
  <c r="J15" i="6" l="1"/>
  <c r="K15" i="6"/>
  <c r="I16" i="6"/>
  <c r="I17" i="6" l="1"/>
  <c r="J16" i="6"/>
  <c r="K16" i="6"/>
  <c r="K17" i="6" l="1"/>
  <c r="J17" i="6"/>
  <c r="I18" i="6"/>
  <c r="K18" i="6" l="1"/>
  <c r="J18" i="6"/>
  <c r="I19" i="6"/>
  <c r="J19" i="6" l="1"/>
  <c r="K19" i="6"/>
  <c r="I20" i="6"/>
  <c r="K20" i="6" l="1"/>
  <c r="J20" i="6"/>
  <c r="I21" i="6"/>
  <c r="J21" i="6" l="1"/>
  <c r="K21" i="6"/>
  <c r="I22" i="6"/>
  <c r="K22" i="6" l="1"/>
  <c r="J22" i="6"/>
  <c r="I23" i="6"/>
  <c r="J23" i="6" l="1"/>
  <c r="K23" i="6"/>
  <c r="I24" i="6"/>
  <c r="K24" i="6" l="1"/>
  <c r="J24" i="6"/>
  <c r="I25" i="6"/>
  <c r="K25" i="6" l="1"/>
  <c r="J25" i="6"/>
  <c r="I26" i="6"/>
  <c r="J26" i="6" l="1"/>
  <c r="K26" i="6"/>
  <c r="I27" i="6"/>
  <c r="K27" i="6" l="1"/>
  <c r="J27" i="6"/>
  <c r="I28" i="6"/>
  <c r="K28" i="6" l="1"/>
  <c r="J28" i="6"/>
  <c r="I29" i="6"/>
  <c r="K29" i="6" l="1"/>
  <c r="J29" i="6"/>
  <c r="I30" i="6"/>
  <c r="K30" i="6" l="1"/>
  <c r="J30" i="6"/>
  <c r="I31" i="6"/>
  <c r="J31" i="6" l="1"/>
  <c r="K31" i="6"/>
  <c r="I32" i="6"/>
  <c r="K32" i="6" l="1"/>
  <c r="J32" i="6"/>
  <c r="I33" i="6"/>
  <c r="K33" i="6" l="1"/>
  <c r="J33" i="6"/>
  <c r="I34" i="6"/>
  <c r="J34" i="6" l="1"/>
  <c r="K34" i="6"/>
  <c r="I35" i="6"/>
  <c r="K35" i="6" l="1"/>
  <c r="J35" i="6"/>
  <c r="I36" i="6"/>
  <c r="K36" i="6" l="1"/>
  <c r="J36" i="6"/>
  <c r="I37" i="6"/>
  <c r="J37" i="6" l="1"/>
  <c r="K37" i="6"/>
  <c r="I38" i="6"/>
  <c r="J38" i="6" l="1"/>
  <c r="K38" i="6"/>
  <c r="I39" i="6"/>
  <c r="J39" i="6" l="1"/>
  <c r="K39" i="6"/>
  <c r="I40" i="6"/>
  <c r="K40" i="6" l="1"/>
  <c r="J40" i="6"/>
  <c r="I41" i="6"/>
  <c r="J41" i="6" l="1"/>
  <c r="K41" i="6"/>
  <c r="I42" i="6"/>
  <c r="J42" i="6" l="1"/>
  <c r="I43" i="6"/>
  <c r="K42" i="6"/>
  <c r="J43" i="6" l="1"/>
  <c r="K43" i="6"/>
  <c r="I44" i="6"/>
  <c r="J44" i="6" l="1"/>
  <c r="K44" i="6"/>
  <c r="I45" i="6"/>
  <c r="K45" i="6" l="1"/>
  <c r="J45" i="6"/>
  <c r="I46" i="6"/>
  <c r="J46" i="6" l="1"/>
  <c r="K46" i="6"/>
  <c r="I47" i="6"/>
  <c r="J47" i="6" l="1"/>
  <c r="K47" i="6"/>
  <c r="I48" i="6"/>
  <c r="K48" i="6" l="1"/>
  <c r="J48" i="6"/>
  <c r="I49" i="6"/>
  <c r="K49" i="6" l="1"/>
  <c r="J49" i="6"/>
  <c r="I50" i="6"/>
  <c r="J50" i="6" l="1"/>
  <c r="K50" i="6"/>
  <c r="I51" i="6"/>
  <c r="K51" i="6" l="1"/>
  <c r="J51" i="6"/>
  <c r="I52" i="6"/>
  <c r="K52" i="6" l="1"/>
  <c r="J52" i="6"/>
  <c r="I53" i="6"/>
  <c r="K53" i="6" l="1"/>
  <c r="J53" i="6"/>
  <c r="I54" i="6"/>
  <c r="J54" i="6" l="1"/>
  <c r="K54" i="6"/>
  <c r="I55" i="6"/>
  <c r="J55" i="6" l="1"/>
  <c r="K55" i="6"/>
  <c r="I56" i="6"/>
  <c r="J56" i="6" l="1"/>
  <c r="K56" i="6"/>
  <c r="I57" i="6"/>
  <c r="J57" i="6" l="1"/>
  <c r="K57" i="6"/>
  <c r="I58" i="6"/>
  <c r="J58" i="6" l="1"/>
  <c r="K58" i="6"/>
  <c r="I59" i="6"/>
  <c r="J59" i="6" l="1"/>
  <c r="K59" i="6"/>
  <c r="I60" i="6"/>
  <c r="K60" i="6" l="1"/>
  <c r="J60" i="6"/>
  <c r="I61" i="6"/>
  <c r="K61" i="6" l="1"/>
  <c r="J61" i="6"/>
  <c r="I62" i="6"/>
  <c r="K62" i="6" l="1"/>
  <c r="J62" i="6"/>
  <c r="I63" i="6"/>
  <c r="K63" i="6" l="1"/>
  <c r="J63" i="6"/>
  <c r="I64" i="6"/>
  <c r="J64" i="6" l="1"/>
  <c r="K64" i="6"/>
  <c r="I65" i="6"/>
  <c r="K65" i="6" l="1"/>
  <c r="J65" i="6"/>
  <c r="I66" i="6"/>
  <c r="K66" i="6" l="1"/>
  <c r="J66" i="6"/>
  <c r="I67" i="6"/>
  <c r="J67" i="6" l="1"/>
  <c r="K67" i="6"/>
  <c r="I68" i="6"/>
  <c r="J68" i="6" l="1"/>
  <c r="K68" i="6"/>
  <c r="I69" i="6"/>
  <c r="J69" i="6" l="1"/>
  <c r="K69" i="6"/>
  <c r="I70" i="6"/>
  <c r="J70" i="6" l="1"/>
  <c r="K70" i="6"/>
  <c r="I71" i="6"/>
  <c r="J71" i="6" l="1"/>
  <c r="K71" i="6"/>
  <c r="I72" i="6"/>
  <c r="J72" i="6" l="1"/>
  <c r="K72" i="6"/>
  <c r="I73" i="6"/>
  <c r="K73" i="6" l="1"/>
  <c r="J73" i="6"/>
  <c r="I74" i="6"/>
  <c r="K74" i="6" l="1"/>
  <c r="J74" i="6"/>
  <c r="I75" i="6"/>
  <c r="K75" i="6" l="1"/>
  <c r="J75" i="6"/>
  <c r="I76" i="6"/>
  <c r="K76" i="6" l="1"/>
  <c r="J76" i="6"/>
  <c r="I77" i="6"/>
  <c r="J77" i="6" l="1"/>
  <c r="K77" i="6"/>
  <c r="I78" i="6"/>
  <c r="J78" i="6" l="1"/>
  <c r="I79" i="6"/>
  <c r="K78" i="6"/>
  <c r="K79" i="6" l="1"/>
  <c r="J79" i="6"/>
  <c r="I80" i="6"/>
  <c r="J80" i="6" l="1"/>
  <c r="K80" i="6"/>
  <c r="I81" i="6"/>
  <c r="K81" i="6" l="1"/>
  <c r="J81" i="6"/>
  <c r="I82" i="6"/>
  <c r="J82" i="6" l="1"/>
  <c r="K82" i="6"/>
  <c r="I83" i="6"/>
  <c r="K83" i="6" l="1"/>
  <c r="J83" i="6"/>
  <c r="I84" i="6"/>
  <c r="K84" i="6" l="1"/>
  <c r="J84" i="6"/>
  <c r="I85" i="6"/>
  <c r="J85" i="6" l="1"/>
  <c r="K85" i="6"/>
  <c r="I86" i="6"/>
  <c r="J86" i="6" l="1"/>
  <c r="K86" i="6"/>
  <c r="I87" i="6"/>
  <c r="J87" i="6" l="1"/>
  <c r="K87" i="6"/>
  <c r="I88" i="6"/>
  <c r="K88" i="6" l="1"/>
  <c r="J88" i="6"/>
  <c r="I89" i="6"/>
  <c r="J89" i="6" l="1"/>
  <c r="K89" i="6"/>
  <c r="I90" i="6"/>
  <c r="K90" i="6" l="1"/>
  <c r="J90" i="6"/>
  <c r="I91" i="6"/>
  <c r="J91" i="6" l="1"/>
  <c r="K91" i="6"/>
  <c r="I92" i="6"/>
  <c r="K92" i="6" l="1"/>
  <c r="J92" i="6"/>
  <c r="I93" i="6"/>
  <c r="J93" i="6" l="1"/>
  <c r="K93" i="6"/>
  <c r="I94" i="6"/>
  <c r="J94" i="6" l="1"/>
  <c r="K94" i="6"/>
  <c r="I95" i="6"/>
  <c r="J95" i="6" l="1"/>
  <c r="K95" i="6"/>
  <c r="I96" i="6"/>
  <c r="J96" i="6" l="1"/>
  <c r="K96" i="6"/>
  <c r="I97" i="6"/>
  <c r="K97" i="6" l="1"/>
  <c r="J97" i="6"/>
  <c r="I98" i="6"/>
  <c r="K98" i="6" l="1"/>
  <c r="J98" i="6"/>
  <c r="I99" i="6"/>
  <c r="K99" i="6" l="1"/>
  <c r="J99" i="6"/>
  <c r="I100" i="6"/>
  <c r="K100" i="6" l="1"/>
  <c r="J100" i="6"/>
  <c r="I101" i="6"/>
  <c r="K101" i="6" l="1"/>
  <c r="J101" i="6"/>
  <c r="I102" i="6"/>
  <c r="K102" i="6" l="1"/>
  <c r="J102" i="6"/>
  <c r="I103" i="6"/>
  <c r="J103" i="6" l="1"/>
  <c r="K103" i="6"/>
  <c r="I104" i="6"/>
  <c r="K104" i="6" l="1"/>
  <c r="J104" i="6"/>
  <c r="I105" i="6"/>
  <c r="K105" i="6" l="1"/>
  <c r="J105" i="6"/>
  <c r="I106" i="6"/>
  <c r="K106" i="6" l="1"/>
  <c r="J106" i="6"/>
  <c r="I107" i="6"/>
  <c r="K107" i="6" l="1"/>
  <c r="J107" i="6"/>
  <c r="I108" i="6"/>
  <c r="K108" i="6" l="1"/>
  <c r="J108" i="6"/>
  <c r="I109" i="6"/>
  <c r="K109" i="6" l="1"/>
  <c r="J109" i="6"/>
  <c r="I110" i="6"/>
  <c r="K110" i="6" l="1"/>
  <c r="J110" i="6"/>
  <c r="I111" i="6"/>
  <c r="J111" i="6" l="1"/>
  <c r="K111" i="6"/>
  <c r="I112" i="6"/>
  <c r="I113" i="6" s="1"/>
  <c r="J113" i="6" l="1"/>
  <c r="K113" i="6"/>
  <c r="I114" i="6"/>
  <c r="J112" i="6"/>
  <c r="K112" i="6"/>
  <c r="J114" i="6" l="1"/>
  <c r="I115" i="6"/>
  <c r="K114" i="6"/>
  <c r="J115" i="6" l="1"/>
  <c r="K115" i="6"/>
  <c r="I116" i="6"/>
  <c r="I117" i="6" l="1"/>
  <c r="J116" i="6"/>
  <c r="K116" i="6"/>
  <c r="K117" i="6" l="1"/>
  <c r="J117" i="6"/>
  <c r="I118" i="6"/>
  <c r="K118" i="6" l="1"/>
  <c r="J118" i="6"/>
  <c r="I119" i="6"/>
  <c r="K119" i="6" l="1"/>
  <c r="J119" i="6"/>
  <c r="I120" i="6"/>
  <c r="J120" i="6" l="1"/>
  <c r="I121" i="6"/>
  <c r="K120" i="6"/>
  <c r="I122" i="6" l="1"/>
  <c r="K121" i="6"/>
  <c r="J121" i="6"/>
  <c r="J122" i="6" l="1"/>
  <c r="K122" i="6"/>
  <c r="I123" i="6"/>
  <c r="I124" i="6" l="1"/>
  <c r="K123" i="6"/>
  <c r="J123" i="6"/>
  <c r="I125" i="6" l="1"/>
  <c r="J124" i="6"/>
  <c r="K124" i="6"/>
  <c r="I126" i="6" l="1"/>
  <c r="K125" i="6"/>
  <c r="J125" i="6"/>
  <c r="I127" i="6" l="1"/>
  <c r="K126" i="6"/>
  <c r="J126" i="6"/>
  <c r="K127" i="6" l="1"/>
  <c r="I128" i="6"/>
  <c r="J127" i="6"/>
  <c r="I129" i="6" l="1"/>
  <c r="J128" i="6"/>
  <c r="K128" i="6"/>
  <c r="K129" i="6" l="1"/>
  <c r="I130" i="6"/>
  <c r="J129" i="6"/>
  <c r="K130" i="6" l="1"/>
  <c r="I131" i="6"/>
  <c r="J130" i="6"/>
  <c r="I132" i="6" l="1"/>
  <c r="K131" i="6"/>
  <c r="J131" i="6"/>
  <c r="I133" i="6" l="1"/>
  <c r="K132" i="6"/>
  <c r="J132" i="6"/>
  <c r="K133" i="6" l="1"/>
  <c r="I134" i="6"/>
  <c r="J133" i="6"/>
  <c r="I135" i="6" l="1"/>
  <c r="J134" i="6"/>
  <c r="K134" i="6"/>
  <c r="I136" i="6" l="1"/>
  <c r="K135" i="6"/>
  <c r="J135" i="6"/>
  <c r="I137" i="6" l="1"/>
  <c r="K136" i="6"/>
  <c r="J136" i="6"/>
  <c r="I138" i="6" l="1"/>
  <c r="J137" i="6"/>
  <c r="K137" i="6"/>
  <c r="I139" i="6" l="1"/>
  <c r="K138" i="6"/>
  <c r="J138" i="6"/>
  <c r="I140" i="6" l="1"/>
  <c r="J139" i="6"/>
  <c r="K139" i="6"/>
  <c r="I141" i="6" l="1"/>
  <c r="K140" i="6"/>
  <c r="J140" i="6"/>
  <c r="I142" i="6" l="1"/>
  <c r="K141" i="6"/>
  <c r="J141" i="6"/>
  <c r="I143" i="6" l="1"/>
  <c r="J142" i="6"/>
  <c r="K142" i="6"/>
  <c r="K143" i="6" l="1"/>
  <c r="J143" i="6"/>
  <c r="I144" i="6"/>
  <c r="I145" i="6" l="1"/>
  <c r="K144" i="6"/>
  <c r="J144" i="6"/>
  <c r="I146" i="6" l="1"/>
  <c r="J145" i="6"/>
  <c r="K145" i="6"/>
  <c r="I147" i="6" l="1"/>
  <c r="J146" i="6"/>
  <c r="K146" i="6"/>
  <c r="I148" i="6" l="1"/>
  <c r="J147" i="6"/>
  <c r="K147" i="6"/>
  <c r="I149" i="6" l="1"/>
  <c r="K148" i="6"/>
  <c r="J148" i="6"/>
  <c r="I150" i="6" l="1"/>
  <c r="K149" i="6"/>
  <c r="J149" i="6"/>
  <c r="I151" i="6" l="1"/>
  <c r="K150" i="6"/>
  <c r="J150" i="6"/>
  <c r="I152" i="6" l="1"/>
  <c r="K151" i="6"/>
  <c r="J151" i="6"/>
  <c r="I153" i="6" l="1"/>
  <c r="J152" i="6"/>
  <c r="K152" i="6"/>
  <c r="I154" i="6" l="1"/>
  <c r="J153" i="6"/>
  <c r="K153" i="6"/>
  <c r="I155" i="6" l="1"/>
  <c r="J154" i="6"/>
  <c r="K154" i="6"/>
  <c r="I156" i="6" l="1"/>
  <c r="J155" i="6"/>
  <c r="K155" i="6"/>
  <c r="I157" i="6" l="1"/>
  <c r="K156" i="6"/>
  <c r="J156" i="6"/>
  <c r="I158" i="6" l="1"/>
  <c r="K157" i="6"/>
  <c r="J157" i="6"/>
  <c r="I159" i="6" l="1"/>
  <c r="K158" i="6"/>
  <c r="J158" i="6"/>
  <c r="I160" i="6" l="1"/>
  <c r="K159" i="6"/>
  <c r="J159" i="6"/>
  <c r="I161" i="6" l="1"/>
  <c r="K160" i="6"/>
  <c r="J160" i="6"/>
  <c r="I162" i="6" l="1"/>
  <c r="K161" i="6"/>
  <c r="J161" i="6"/>
  <c r="I163" i="6" l="1"/>
  <c r="J162" i="6"/>
  <c r="K162" i="6"/>
  <c r="I164" i="6" l="1"/>
  <c r="K163" i="6"/>
  <c r="J163" i="6"/>
  <c r="I165" i="6" l="1"/>
  <c r="K164" i="6"/>
  <c r="J164" i="6"/>
  <c r="I166" i="6" l="1"/>
  <c r="K165" i="6"/>
  <c r="J165" i="6"/>
  <c r="I167" i="6" l="1"/>
  <c r="K166" i="6"/>
  <c r="J166" i="6"/>
  <c r="I168" i="6" l="1"/>
  <c r="J167" i="6"/>
  <c r="K167" i="6"/>
  <c r="I169" i="6" l="1"/>
  <c r="K168" i="6"/>
  <c r="J168" i="6"/>
  <c r="I170" i="6" l="1"/>
  <c r="J169" i="6"/>
  <c r="K169" i="6"/>
  <c r="I171" i="6" l="1"/>
  <c r="K170" i="6"/>
  <c r="J170" i="6"/>
  <c r="I172" i="6" l="1"/>
  <c r="K171" i="6"/>
  <c r="J171" i="6"/>
  <c r="I173" i="6" l="1"/>
  <c r="K172" i="6"/>
  <c r="J172" i="6"/>
  <c r="I174" i="6" l="1"/>
  <c r="K173" i="6"/>
  <c r="J173" i="6"/>
  <c r="I175" i="6" l="1"/>
  <c r="K174" i="6"/>
  <c r="J174" i="6"/>
  <c r="I176" i="6" l="1"/>
  <c r="K175" i="6"/>
  <c r="J175" i="6"/>
  <c r="I177" i="6" l="1"/>
  <c r="J176" i="6"/>
  <c r="K176" i="6"/>
  <c r="I178" i="6" l="1"/>
  <c r="J177" i="6"/>
  <c r="K177" i="6"/>
  <c r="I179" i="6" l="1"/>
  <c r="J178" i="6"/>
  <c r="K178" i="6"/>
  <c r="I180" i="6" l="1"/>
  <c r="J179" i="6"/>
  <c r="K179" i="6"/>
  <c r="I181" i="6" l="1"/>
  <c r="K180" i="6"/>
  <c r="J180" i="6"/>
  <c r="I182" i="6" l="1"/>
  <c r="K181" i="6"/>
  <c r="J181" i="6"/>
  <c r="I183" i="6" l="1"/>
  <c r="K182" i="6"/>
  <c r="J182" i="6"/>
  <c r="I184" i="6" l="1"/>
  <c r="K183" i="6"/>
  <c r="J183" i="6"/>
  <c r="I185" i="6" l="1"/>
  <c r="J184" i="6"/>
  <c r="K184" i="6"/>
  <c r="I186" i="6" l="1"/>
  <c r="K185" i="6"/>
  <c r="J185" i="6"/>
  <c r="I187" i="6" l="1"/>
  <c r="K186" i="6"/>
  <c r="J186" i="6"/>
  <c r="I188" i="6" l="1"/>
  <c r="K187" i="6"/>
  <c r="J187" i="6"/>
  <c r="I189" i="6" l="1"/>
  <c r="K188" i="6"/>
  <c r="J188" i="6"/>
  <c r="I190" i="6" l="1"/>
  <c r="J189" i="6"/>
  <c r="K189" i="6"/>
  <c r="I191" i="6" l="1"/>
  <c r="K190" i="6"/>
  <c r="J190" i="6"/>
  <c r="I192" i="6" l="1"/>
  <c r="K191" i="6"/>
  <c r="J191" i="6"/>
  <c r="I193" i="6" l="1"/>
  <c r="K192" i="6"/>
  <c r="J192" i="6"/>
  <c r="I194" i="6" l="1"/>
  <c r="J193" i="6"/>
  <c r="K193" i="6"/>
  <c r="I195" i="6" l="1"/>
  <c r="J194" i="6"/>
  <c r="K194" i="6"/>
  <c r="I196" i="6" l="1"/>
  <c r="K195" i="6"/>
  <c r="J195" i="6"/>
  <c r="I197" i="6" l="1"/>
  <c r="K196" i="6"/>
  <c r="J196" i="6"/>
  <c r="I198" i="6" l="1"/>
  <c r="K197" i="6"/>
  <c r="J197" i="6"/>
  <c r="I199" i="6" l="1"/>
  <c r="K198" i="6"/>
  <c r="J198" i="6"/>
  <c r="I200" i="6" l="1"/>
  <c r="J199" i="6"/>
  <c r="K199" i="6"/>
  <c r="I201" i="6" l="1"/>
  <c r="K200" i="6"/>
  <c r="J200" i="6"/>
  <c r="I202" i="6" l="1"/>
  <c r="J201" i="6"/>
  <c r="K201" i="6"/>
  <c r="I203" i="6" l="1"/>
  <c r="J202" i="6"/>
  <c r="K202" i="6"/>
  <c r="I204" i="6" l="1"/>
  <c r="K203" i="6"/>
  <c r="J203" i="6"/>
  <c r="I205" i="6" l="1"/>
  <c r="J204" i="6"/>
  <c r="K204" i="6"/>
  <c r="I206" i="6" l="1"/>
  <c r="K205" i="6"/>
  <c r="J205" i="6"/>
  <c r="I207" i="6" l="1"/>
  <c r="K206" i="6"/>
  <c r="J206" i="6"/>
  <c r="I208" i="6" l="1"/>
  <c r="K207" i="6"/>
  <c r="J207" i="6"/>
  <c r="I209" i="6" l="1"/>
  <c r="K208" i="6"/>
  <c r="J208" i="6"/>
  <c r="I210" i="6" l="1"/>
  <c r="K209" i="6"/>
  <c r="J209" i="6"/>
  <c r="I211" i="6" l="1"/>
  <c r="K210" i="6"/>
  <c r="J210" i="6"/>
  <c r="I212" i="6" l="1"/>
  <c r="K211" i="6"/>
  <c r="J211" i="6"/>
  <c r="I213" i="6" l="1"/>
  <c r="J212" i="6"/>
  <c r="K212" i="6"/>
  <c r="I214" i="6" l="1"/>
  <c r="J213" i="6"/>
  <c r="K213" i="6"/>
  <c r="I215" i="6" l="1"/>
  <c r="K214" i="6"/>
  <c r="J214" i="6"/>
  <c r="I216" i="6" l="1"/>
  <c r="K215" i="6"/>
  <c r="J215" i="6"/>
  <c r="I217" i="6" l="1"/>
  <c r="J216" i="6"/>
  <c r="K216" i="6"/>
  <c r="I218" i="6" l="1"/>
  <c r="J217" i="6"/>
  <c r="K217" i="6"/>
  <c r="I219" i="6" l="1"/>
  <c r="J218" i="6"/>
  <c r="K218" i="6"/>
  <c r="I220" i="6" l="1"/>
  <c r="J219" i="6"/>
  <c r="K219" i="6"/>
  <c r="I221" i="6" l="1"/>
  <c r="K220" i="6"/>
  <c r="J220" i="6"/>
  <c r="I222" i="6" l="1"/>
  <c r="K221" i="6"/>
  <c r="J221" i="6"/>
  <c r="I223" i="6" l="1"/>
  <c r="K222" i="6"/>
  <c r="J222" i="6"/>
  <c r="I224" i="6" l="1"/>
  <c r="K223" i="6"/>
  <c r="J223" i="6"/>
  <c r="I225" i="6" l="1"/>
  <c r="K224" i="6"/>
  <c r="J224" i="6"/>
  <c r="I226" i="6" l="1"/>
  <c r="K225" i="6"/>
  <c r="J225" i="6"/>
  <c r="I227" i="6" l="1"/>
  <c r="K226" i="6"/>
  <c r="J226" i="6"/>
  <c r="I228" i="6" l="1"/>
  <c r="K227" i="6"/>
  <c r="J227" i="6"/>
  <c r="I229" i="6" l="1"/>
  <c r="K228" i="6"/>
  <c r="J228" i="6"/>
  <c r="I230" i="6" l="1"/>
  <c r="K229" i="6"/>
  <c r="J229" i="6"/>
  <c r="I231" i="6" l="1"/>
  <c r="K230" i="6"/>
  <c r="J230" i="6"/>
  <c r="I232" i="6" l="1"/>
  <c r="K231" i="6"/>
  <c r="J231" i="6"/>
  <c r="I233" i="6" l="1"/>
  <c r="J232" i="6"/>
  <c r="K232" i="6"/>
  <c r="I234" i="6" l="1"/>
  <c r="J233" i="6"/>
  <c r="K233" i="6"/>
  <c r="I235" i="6" l="1"/>
  <c r="K234" i="6"/>
  <c r="J234" i="6"/>
  <c r="I236" i="6" l="1"/>
  <c r="K235" i="6"/>
  <c r="J235" i="6"/>
  <c r="I237" i="6" l="1"/>
  <c r="K236" i="6"/>
  <c r="J236" i="6"/>
  <c r="I238" i="6" l="1"/>
  <c r="K237" i="6"/>
  <c r="J237" i="6"/>
  <c r="I239" i="6" l="1"/>
  <c r="K238" i="6"/>
  <c r="J238" i="6"/>
  <c r="I240" i="6" l="1"/>
  <c r="K239" i="6"/>
  <c r="J239" i="6"/>
  <c r="I241" i="6" l="1"/>
  <c r="J240" i="6"/>
  <c r="K240" i="6"/>
  <c r="I242" i="6" l="1"/>
  <c r="J241" i="6"/>
  <c r="K241" i="6"/>
  <c r="I243" i="6" l="1"/>
  <c r="J242" i="6"/>
  <c r="K242" i="6"/>
  <c r="I244" i="6" l="1"/>
  <c r="K243" i="6"/>
  <c r="J243" i="6"/>
  <c r="I245" i="6" l="1"/>
  <c r="K244" i="6"/>
  <c r="J244" i="6"/>
  <c r="I246" i="6" l="1"/>
  <c r="K245" i="6"/>
  <c r="J245" i="6"/>
  <c r="I247" i="6" l="1"/>
  <c r="K246" i="6"/>
  <c r="J246" i="6"/>
  <c r="I248" i="6" l="1"/>
  <c r="K247" i="6"/>
  <c r="J247" i="6"/>
  <c r="I249" i="6" l="1"/>
  <c r="K248" i="6"/>
  <c r="J248" i="6"/>
  <c r="I250" i="6" l="1"/>
  <c r="K249" i="6"/>
  <c r="J249" i="6"/>
  <c r="I251" i="6" l="1"/>
  <c r="K250" i="6"/>
  <c r="J250" i="6"/>
  <c r="I252" i="6" l="1"/>
  <c r="K251" i="6"/>
  <c r="J251" i="6"/>
  <c r="I253" i="6" l="1"/>
  <c r="J252" i="6"/>
  <c r="K252" i="6"/>
  <c r="I254" i="6" l="1"/>
  <c r="K253" i="6"/>
  <c r="J253" i="6"/>
  <c r="I255" i="6" l="1"/>
  <c r="K254" i="6"/>
  <c r="J254" i="6"/>
  <c r="I256" i="6" l="1"/>
  <c r="K255" i="6"/>
  <c r="J255" i="6"/>
  <c r="I257" i="6" l="1"/>
  <c r="K256" i="6"/>
  <c r="J256" i="6"/>
  <c r="I258" i="6" l="1"/>
  <c r="J257" i="6"/>
  <c r="K257" i="6"/>
  <c r="I259" i="6" l="1"/>
  <c r="J258" i="6"/>
  <c r="K258" i="6"/>
  <c r="I260" i="6" l="1"/>
  <c r="J259" i="6"/>
  <c r="K259" i="6"/>
  <c r="I261" i="6" l="1"/>
  <c r="K260" i="6"/>
  <c r="J260" i="6"/>
  <c r="I262" i="6" l="1"/>
  <c r="K261" i="6"/>
  <c r="J261" i="6"/>
  <c r="I263" i="6" l="1"/>
  <c r="K262" i="6"/>
  <c r="J262" i="6"/>
  <c r="I264" i="6" l="1"/>
  <c r="J263" i="6"/>
  <c r="K263" i="6"/>
  <c r="I265" i="6" l="1"/>
  <c r="K264" i="6"/>
  <c r="J264" i="6"/>
  <c r="I266" i="6" l="1"/>
  <c r="K265" i="6"/>
  <c r="J265" i="6"/>
  <c r="I267" i="6" l="1"/>
  <c r="K266" i="6"/>
  <c r="J266" i="6"/>
  <c r="I268" i="6" l="1"/>
  <c r="K267" i="6"/>
  <c r="J267" i="6"/>
  <c r="I269" i="6" l="1"/>
  <c r="K268" i="6"/>
  <c r="J268" i="6"/>
  <c r="I270" i="6" l="1"/>
  <c r="K269" i="6"/>
  <c r="J269" i="6"/>
  <c r="I271" i="6" l="1"/>
  <c r="K270" i="6"/>
  <c r="J270" i="6"/>
  <c r="I272" i="6" l="1"/>
  <c r="K271" i="6"/>
  <c r="J271" i="6"/>
  <c r="I273" i="6" l="1"/>
  <c r="J272" i="6"/>
  <c r="K272" i="6"/>
  <c r="I274" i="6" l="1"/>
  <c r="K273" i="6"/>
  <c r="J273" i="6"/>
  <c r="I275" i="6" l="1"/>
  <c r="K274" i="6"/>
  <c r="J274" i="6"/>
  <c r="I276" i="6" l="1"/>
  <c r="K275" i="6"/>
  <c r="J275" i="6"/>
  <c r="I277" i="6" l="1"/>
  <c r="K276" i="6"/>
  <c r="J276" i="6"/>
  <c r="I278" i="6" l="1"/>
  <c r="K277" i="6"/>
  <c r="J277" i="6"/>
  <c r="I279" i="6" l="1"/>
  <c r="K278" i="6"/>
  <c r="J278" i="6"/>
  <c r="I280" i="6" l="1"/>
  <c r="K279" i="6"/>
  <c r="J279" i="6"/>
  <c r="I281" i="6" l="1"/>
  <c r="J280" i="6"/>
  <c r="K280" i="6"/>
  <c r="I282" i="6" l="1"/>
  <c r="J281" i="6"/>
  <c r="K281" i="6"/>
  <c r="I283" i="6" l="1"/>
  <c r="K282" i="6"/>
  <c r="J282" i="6"/>
  <c r="I284" i="6" l="1"/>
  <c r="K283" i="6"/>
  <c r="J283" i="6"/>
  <c r="I285" i="6" l="1"/>
  <c r="K284" i="6"/>
  <c r="J284" i="6"/>
  <c r="I286" i="6" l="1"/>
  <c r="K285" i="6"/>
  <c r="J285" i="6"/>
  <c r="I287" i="6" l="1"/>
  <c r="J286" i="6"/>
  <c r="K286" i="6"/>
  <c r="I288" i="6" l="1"/>
  <c r="K287" i="6"/>
  <c r="J287" i="6"/>
  <c r="I289" i="6" l="1"/>
  <c r="K288" i="6"/>
  <c r="J288" i="6"/>
  <c r="I290" i="6" l="1"/>
  <c r="J289" i="6"/>
  <c r="K289" i="6"/>
  <c r="I291" i="6" l="1"/>
  <c r="K290" i="6"/>
  <c r="J290" i="6"/>
  <c r="I292" i="6" l="1"/>
  <c r="K291" i="6"/>
  <c r="J291" i="6"/>
  <c r="I293" i="6" l="1"/>
  <c r="K292" i="6"/>
  <c r="J292" i="6"/>
  <c r="I294" i="6" l="1"/>
  <c r="K293" i="6"/>
  <c r="J293" i="6"/>
  <c r="I295" i="6" l="1"/>
  <c r="K294" i="6"/>
  <c r="J294" i="6"/>
  <c r="I296" i="6" l="1"/>
  <c r="J295" i="6"/>
  <c r="K295" i="6"/>
  <c r="I297" i="6" l="1"/>
  <c r="K296" i="6"/>
  <c r="J296" i="6"/>
  <c r="I298" i="6" l="1"/>
  <c r="J297" i="6"/>
  <c r="K297" i="6"/>
  <c r="I299" i="6" l="1"/>
  <c r="K298" i="6"/>
  <c r="J298" i="6"/>
  <c r="I300" i="6" l="1"/>
  <c r="K299" i="6"/>
  <c r="J299" i="6"/>
  <c r="I301" i="6" l="1"/>
  <c r="K300" i="6"/>
  <c r="J300" i="6"/>
  <c r="I302" i="6" l="1"/>
  <c r="K301" i="6"/>
  <c r="J301" i="6"/>
  <c r="I303" i="6" l="1"/>
  <c r="K302" i="6"/>
  <c r="J302" i="6"/>
  <c r="I304" i="6" l="1"/>
  <c r="K303" i="6"/>
  <c r="J303" i="6"/>
  <c r="I305" i="6" l="1"/>
  <c r="J304" i="6"/>
  <c r="K304" i="6"/>
  <c r="I306" i="6" l="1"/>
  <c r="K305" i="6"/>
  <c r="J305" i="6"/>
  <c r="I307" i="6" l="1"/>
  <c r="K306" i="6"/>
  <c r="J306" i="6"/>
  <c r="I308" i="6" l="1"/>
  <c r="K307" i="6"/>
  <c r="J307" i="6"/>
  <c r="I309" i="6" l="1"/>
  <c r="K308" i="6"/>
  <c r="J308" i="6"/>
  <c r="I310" i="6" l="1"/>
  <c r="K309" i="6"/>
  <c r="J309" i="6"/>
  <c r="I311" i="6" l="1"/>
  <c r="J310" i="6"/>
  <c r="K310" i="6"/>
  <c r="I312" i="6" l="1"/>
  <c r="K311" i="6"/>
  <c r="J311" i="6"/>
  <c r="I313" i="6" l="1"/>
  <c r="K312" i="6"/>
  <c r="J312" i="6"/>
  <c r="I314" i="6" l="1"/>
  <c r="K313" i="6"/>
  <c r="J313" i="6"/>
  <c r="I315" i="6" l="1"/>
  <c r="K314" i="6"/>
  <c r="J314" i="6"/>
  <c r="I316" i="6" l="1"/>
  <c r="J315" i="6"/>
  <c r="K315" i="6"/>
  <c r="I317" i="6" l="1"/>
  <c r="K316" i="6"/>
  <c r="J316" i="6"/>
  <c r="I318" i="6" l="1"/>
  <c r="K317" i="6"/>
  <c r="J317" i="6"/>
  <c r="I319" i="6" l="1"/>
  <c r="J318" i="6"/>
  <c r="K318" i="6"/>
  <c r="I320" i="6" l="1"/>
  <c r="K319" i="6"/>
  <c r="J319" i="6"/>
  <c r="I321" i="6" l="1"/>
  <c r="K320" i="6"/>
  <c r="J320" i="6"/>
  <c r="I322" i="6" l="1"/>
  <c r="J321" i="6"/>
  <c r="K321" i="6"/>
  <c r="I323" i="6" l="1"/>
  <c r="J322" i="6"/>
  <c r="K322" i="6"/>
  <c r="I324" i="6" l="1"/>
  <c r="K323" i="6"/>
  <c r="J323" i="6"/>
  <c r="I325" i="6" l="1"/>
  <c r="K324" i="6"/>
  <c r="J324" i="6"/>
  <c r="I326" i="6" l="1"/>
  <c r="K325" i="6"/>
  <c r="J325" i="6"/>
  <c r="I327" i="6" l="1"/>
  <c r="K326" i="6"/>
  <c r="J326" i="6"/>
  <c r="K327" i="6" l="1"/>
  <c r="J327" i="6"/>
  <c r="I328" i="6"/>
  <c r="I329" i="6" l="1"/>
  <c r="K328" i="6"/>
  <c r="J328" i="6"/>
  <c r="I330" i="6" l="1"/>
  <c r="K329" i="6"/>
  <c r="J329" i="6"/>
  <c r="I331" i="6" l="1"/>
  <c r="J330" i="6"/>
  <c r="K330" i="6"/>
  <c r="I332" i="6" l="1"/>
  <c r="K331" i="6"/>
  <c r="J331" i="6"/>
  <c r="J332" i="6" l="1"/>
  <c r="K332" i="6"/>
  <c r="I333" i="6"/>
  <c r="I334" i="6" l="1"/>
  <c r="J333" i="6"/>
  <c r="K333" i="6"/>
  <c r="J334" i="6" l="1"/>
  <c r="I335" i="6"/>
  <c r="K334" i="6"/>
  <c r="I336" i="6" l="1"/>
  <c r="K335" i="6"/>
  <c r="J335" i="6"/>
  <c r="I337" i="6" l="1"/>
  <c r="J336" i="6"/>
  <c r="K336" i="6"/>
  <c r="I338" i="6" l="1"/>
  <c r="K337" i="6"/>
  <c r="J337" i="6"/>
  <c r="K338" i="6" l="1"/>
  <c r="J338" i="6"/>
  <c r="I339" i="6"/>
  <c r="J339" i="6" l="1"/>
  <c r="I340" i="6"/>
  <c r="K339" i="6"/>
  <c r="K340" i="6" l="1"/>
  <c r="I341" i="6"/>
  <c r="J340" i="6"/>
  <c r="I342" i="6" l="1"/>
  <c r="K341" i="6"/>
  <c r="J341" i="6"/>
  <c r="I343" i="6" l="1"/>
  <c r="J342" i="6"/>
  <c r="K342" i="6"/>
  <c r="J343" i="6" l="1"/>
  <c r="I344" i="6"/>
  <c r="K343" i="6"/>
  <c r="J344" i="6" l="1"/>
  <c r="K344" i="6"/>
  <c r="I345" i="6"/>
  <c r="I346" i="6" l="1"/>
  <c r="J345" i="6"/>
  <c r="K345" i="6"/>
  <c r="I347" i="6" l="1"/>
  <c r="K346" i="6"/>
  <c r="J346" i="6"/>
  <c r="J347" i="6" l="1"/>
  <c r="I348" i="6"/>
  <c r="K347" i="6"/>
  <c r="I349" i="6" l="1"/>
  <c r="K348" i="6"/>
  <c r="J348" i="6"/>
  <c r="I350" i="6" l="1"/>
  <c r="K349" i="6"/>
  <c r="J349" i="6"/>
  <c r="I351" i="6" l="1"/>
  <c r="K350" i="6"/>
  <c r="J350" i="6"/>
  <c r="K351" i="6" l="1"/>
  <c r="I352" i="6"/>
  <c r="J351" i="6"/>
  <c r="K352" i="6" l="1"/>
  <c r="I353" i="6"/>
  <c r="J352" i="6"/>
  <c r="K353" i="6" l="1"/>
  <c r="I354" i="6"/>
  <c r="J353" i="6"/>
  <c r="I355" i="6" l="1"/>
  <c r="J354" i="6"/>
  <c r="K354" i="6"/>
  <c r="I356" i="6" l="1"/>
  <c r="J355" i="6"/>
  <c r="K355" i="6"/>
  <c r="I357" i="6" l="1"/>
  <c r="J356" i="6"/>
  <c r="K356" i="6"/>
  <c r="K357" i="6" l="1"/>
  <c r="I358" i="6"/>
  <c r="J357" i="6"/>
  <c r="I359" i="6" l="1"/>
  <c r="K358" i="6"/>
  <c r="J358" i="6"/>
  <c r="I360" i="6" l="1"/>
  <c r="K359" i="6"/>
  <c r="J359" i="6"/>
  <c r="J360" i="6" l="1"/>
  <c r="I361" i="6"/>
  <c r="K360" i="6"/>
  <c r="J361" i="6" l="1"/>
  <c r="K361" i="6"/>
  <c r="I362" i="6"/>
  <c r="I363" i="6" l="1"/>
  <c r="J362" i="6"/>
  <c r="K362" i="6"/>
  <c r="K363" i="6" l="1"/>
  <c r="I364" i="6"/>
  <c r="J363" i="6"/>
  <c r="K364" i="6" l="1"/>
  <c r="I365" i="6"/>
  <c r="J364" i="6"/>
  <c r="I366" i="6" l="1"/>
  <c r="K365" i="6"/>
  <c r="J365" i="6"/>
  <c r="J366" i="6" l="1"/>
  <c r="I367" i="6"/>
  <c r="K366" i="6"/>
  <c r="I368" i="6" l="1"/>
  <c r="K367" i="6"/>
  <c r="J367" i="6"/>
  <c r="I369" i="6" l="1"/>
  <c r="J368" i="6"/>
  <c r="K368" i="6"/>
  <c r="I370" i="6" l="1"/>
  <c r="K369" i="6"/>
  <c r="J369" i="6"/>
  <c r="K370" i="6" l="1"/>
  <c r="I371" i="6"/>
  <c r="J370" i="6"/>
  <c r="K371" i="6" l="1"/>
  <c r="I372" i="6"/>
  <c r="J371" i="6"/>
  <c r="J372" i="6" l="1"/>
  <c r="I373" i="6"/>
  <c r="K372" i="6"/>
  <c r="K373" i="6" l="1"/>
  <c r="J373" i="6"/>
  <c r="I374" i="6"/>
  <c r="K374" i="6" l="1"/>
  <c r="J374" i="6"/>
  <c r="I375" i="6"/>
  <c r="K375" i="6" l="1"/>
  <c r="J375" i="6"/>
  <c r="I376" i="6"/>
  <c r="K376" i="6" l="1"/>
  <c r="I377" i="6"/>
  <c r="J376" i="6"/>
  <c r="I378" i="6" l="1"/>
  <c r="K377" i="6"/>
  <c r="J377" i="6"/>
  <c r="K378" i="6" l="1"/>
  <c r="I379" i="6"/>
  <c r="J378" i="6"/>
  <c r="J379" i="6" l="1"/>
  <c r="K379" i="6"/>
  <c r="I380" i="6"/>
  <c r="K380" i="6" l="1"/>
  <c r="I381" i="6"/>
  <c r="J380" i="6"/>
  <c r="J381" i="6" l="1"/>
  <c r="I382" i="6"/>
  <c r="K381" i="6"/>
  <c r="K382" i="6" l="1"/>
  <c r="I383" i="6"/>
  <c r="J382" i="6"/>
  <c r="K383" i="6" l="1"/>
  <c r="I384" i="6"/>
  <c r="J383" i="6"/>
  <c r="I385" i="6" l="1"/>
  <c r="K384" i="6"/>
  <c r="J384" i="6"/>
  <c r="J385" i="6" l="1"/>
  <c r="I386" i="6"/>
  <c r="K385" i="6"/>
  <c r="J386" i="6" l="1"/>
  <c r="I387" i="6"/>
  <c r="K386" i="6"/>
  <c r="I388" i="6" l="1"/>
  <c r="K387" i="6"/>
  <c r="J387" i="6"/>
  <c r="J388" i="6" l="1"/>
  <c r="I389" i="6"/>
  <c r="K388" i="6"/>
  <c r="I390" i="6" l="1"/>
  <c r="J389" i="6"/>
  <c r="K389" i="6"/>
  <c r="K390" i="6" l="1"/>
  <c r="I391" i="6"/>
  <c r="J390" i="6"/>
  <c r="I392" i="6" l="1"/>
  <c r="J391" i="6"/>
  <c r="K391" i="6"/>
  <c r="I393" i="6" l="1"/>
  <c r="K392" i="6"/>
  <c r="J392" i="6"/>
  <c r="I394" i="6" l="1"/>
  <c r="J393" i="6"/>
  <c r="K393" i="6"/>
  <c r="I395" i="6" l="1"/>
  <c r="J394" i="6"/>
  <c r="K394" i="6"/>
  <c r="I396" i="6" l="1"/>
  <c r="J395" i="6"/>
  <c r="K395" i="6"/>
  <c r="I397" i="6" l="1"/>
  <c r="J396" i="6"/>
  <c r="K396" i="6"/>
  <c r="I398" i="6" l="1"/>
  <c r="K397" i="6"/>
  <c r="J397" i="6"/>
  <c r="I399" i="6" l="1"/>
  <c r="K398" i="6"/>
  <c r="J398" i="6"/>
  <c r="I400" i="6" l="1"/>
  <c r="K399" i="6"/>
  <c r="J399" i="6"/>
  <c r="I401" i="6" l="1"/>
  <c r="K400" i="6"/>
  <c r="J400" i="6"/>
  <c r="I402" i="6" l="1"/>
  <c r="K401" i="6"/>
  <c r="J401" i="6"/>
  <c r="I403" i="6" l="1"/>
  <c r="K402" i="6"/>
  <c r="J402" i="6"/>
  <c r="I404" i="6" l="1"/>
  <c r="K403" i="6"/>
  <c r="J403" i="6"/>
  <c r="I405" i="6" l="1"/>
  <c r="K404" i="6"/>
  <c r="J404" i="6"/>
  <c r="I406" i="6" l="1"/>
  <c r="K405" i="6"/>
  <c r="J405" i="6"/>
  <c r="I407" i="6" l="1"/>
  <c r="K406" i="6"/>
  <c r="J406" i="6"/>
  <c r="I408" i="6" l="1"/>
  <c r="K407" i="6"/>
  <c r="J407" i="6"/>
  <c r="I409" i="6" l="1"/>
  <c r="J408" i="6"/>
  <c r="K408" i="6"/>
  <c r="I410" i="6" l="1"/>
  <c r="K409" i="6"/>
  <c r="J409" i="6"/>
  <c r="I411" i="6" l="1"/>
  <c r="K410" i="6"/>
  <c r="J410" i="6"/>
  <c r="I412" i="6" l="1"/>
  <c r="K411" i="6"/>
  <c r="J411" i="6"/>
  <c r="I413" i="6" l="1"/>
  <c r="K412" i="6"/>
  <c r="J412" i="6"/>
  <c r="I414" i="6" l="1"/>
  <c r="K413" i="6"/>
  <c r="J413" i="6"/>
  <c r="I415" i="6" l="1"/>
  <c r="K414" i="6"/>
  <c r="J414" i="6"/>
  <c r="I416" i="6" l="1"/>
  <c r="K415" i="6"/>
  <c r="J415" i="6"/>
  <c r="I417" i="6" l="1"/>
  <c r="K416" i="6"/>
  <c r="J416" i="6"/>
  <c r="I418" i="6" l="1"/>
  <c r="K417" i="6"/>
  <c r="J417" i="6"/>
  <c r="I419" i="6" l="1"/>
  <c r="J418" i="6"/>
  <c r="K418" i="6"/>
  <c r="I420" i="6" l="1"/>
  <c r="J419" i="6"/>
  <c r="K419" i="6"/>
  <c r="I421" i="6" l="1"/>
  <c r="K420" i="6"/>
  <c r="J420" i="6"/>
  <c r="I422" i="6" l="1"/>
  <c r="K421" i="6"/>
  <c r="J421" i="6"/>
  <c r="I423" i="6" l="1"/>
  <c r="K422" i="6"/>
  <c r="J422" i="6"/>
  <c r="I424" i="6" l="1"/>
  <c r="K423" i="6"/>
  <c r="J423" i="6"/>
  <c r="I425" i="6" l="1"/>
  <c r="K424" i="6"/>
  <c r="J424" i="6"/>
  <c r="I426" i="6" l="1"/>
  <c r="J425" i="6"/>
  <c r="K425" i="6"/>
  <c r="I427" i="6" l="1"/>
  <c r="J426" i="6"/>
  <c r="K426" i="6"/>
  <c r="I428" i="6" l="1"/>
  <c r="K427" i="6"/>
  <c r="J427" i="6"/>
  <c r="I429" i="6" l="1"/>
  <c r="J428" i="6"/>
  <c r="K428" i="6"/>
  <c r="K429" i="6" l="1"/>
  <c r="I430" i="6"/>
  <c r="J429" i="6"/>
  <c r="I431" i="6" l="1"/>
  <c r="J430" i="6"/>
  <c r="K430" i="6"/>
  <c r="I432" i="6" l="1"/>
  <c r="K431" i="6"/>
  <c r="J431" i="6"/>
  <c r="I433" i="6" l="1"/>
  <c r="K432" i="6"/>
  <c r="J432" i="6"/>
  <c r="I434" i="6" l="1"/>
  <c r="J433" i="6"/>
  <c r="K433" i="6"/>
  <c r="I435" i="6" l="1"/>
  <c r="J434" i="6"/>
  <c r="K434" i="6"/>
  <c r="I436" i="6" l="1"/>
  <c r="J435" i="6"/>
  <c r="K435" i="6"/>
  <c r="I437" i="6" l="1"/>
  <c r="K436" i="6"/>
  <c r="J436" i="6"/>
  <c r="K437" i="6" l="1"/>
  <c r="J437" i="6"/>
  <c r="I438" i="6"/>
  <c r="I439" i="6" l="1"/>
  <c r="K438" i="6"/>
  <c r="J438" i="6"/>
  <c r="I440" i="6" l="1"/>
  <c r="K439" i="6"/>
  <c r="J439" i="6"/>
  <c r="I441" i="6" l="1"/>
  <c r="K440" i="6"/>
  <c r="J440" i="6"/>
  <c r="K441" i="6" l="1"/>
  <c r="I442" i="6"/>
  <c r="J441" i="6"/>
  <c r="I443" i="6" l="1"/>
  <c r="K442" i="6"/>
  <c r="J442" i="6"/>
  <c r="I444" i="6" l="1"/>
  <c r="J443" i="6"/>
  <c r="K443" i="6"/>
  <c r="I445" i="6" l="1"/>
  <c r="K444" i="6"/>
  <c r="J444" i="6"/>
  <c r="I446" i="6" l="1"/>
  <c r="K445" i="6"/>
  <c r="J445" i="6"/>
  <c r="I447" i="6" l="1"/>
  <c r="K446" i="6"/>
  <c r="J446" i="6"/>
  <c r="I448" i="6" l="1"/>
  <c r="K447" i="6"/>
  <c r="J447" i="6"/>
  <c r="I449" i="6" l="1"/>
  <c r="K448" i="6"/>
  <c r="J448" i="6"/>
  <c r="I450" i="6" l="1"/>
  <c r="K449" i="6"/>
  <c r="J449" i="6"/>
  <c r="I451" i="6" l="1"/>
  <c r="J450" i="6"/>
  <c r="K450" i="6"/>
  <c r="I452" i="6" l="1"/>
  <c r="K451" i="6"/>
  <c r="J451" i="6"/>
  <c r="I453" i="6" l="1"/>
  <c r="J452" i="6"/>
  <c r="K452" i="6"/>
  <c r="I454" i="6" l="1"/>
  <c r="K453" i="6"/>
  <c r="J453" i="6"/>
  <c r="K454" i="6" l="1"/>
  <c r="I455" i="6"/>
  <c r="J454" i="6"/>
  <c r="I456" i="6" l="1"/>
  <c r="K455" i="6"/>
  <c r="J455" i="6"/>
  <c r="I457" i="6" l="1"/>
  <c r="K456" i="6"/>
  <c r="J456" i="6"/>
  <c r="I458" i="6" l="1"/>
  <c r="J457" i="6"/>
  <c r="K457" i="6"/>
  <c r="I459" i="6" l="1"/>
  <c r="J458" i="6"/>
  <c r="K458" i="6"/>
  <c r="I460" i="6" l="1"/>
  <c r="J459" i="6"/>
  <c r="K459" i="6"/>
  <c r="I461" i="6" l="1"/>
  <c r="J460" i="6"/>
  <c r="K460" i="6"/>
  <c r="I462" i="6" l="1"/>
  <c r="K461" i="6"/>
  <c r="J461" i="6"/>
  <c r="I463" i="6" l="1"/>
  <c r="J462" i="6"/>
  <c r="K462" i="6"/>
  <c r="I464" i="6" l="1"/>
  <c r="K463" i="6"/>
  <c r="J463" i="6"/>
  <c r="I465" i="6" l="1"/>
  <c r="J464" i="6"/>
  <c r="K464" i="6"/>
  <c r="I466" i="6" l="1"/>
  <c r="K465" i="6"/>
  <c r="J465" i="6"/>
  <c r="I467" i="6" l="1"/>
  <c r="K466" i="6"/>
  <c r="J466" i="6"/>
  <c r="I468" i="6" l="1"/>
  <c r="K467" i="6"/>
  <c r="J467" i="6"/>
  <c r="I469" i="6" l="1"/>
  <c r="K468" i="6"/>
  <c r="J468" i="6"/>
  <c r="I470" i="6" l="1"/>
  <c r="K469" i="6"/>
  <c r="J469" i="6"/>
  <c r="I471" i="6" l="1"/>
  <c r="K470" i="6"/>
  <c r="J470" i="6"/>
  <c r="I472" i="6" l="1"/>
  <c r="K471" i="6"/>
  <c r="J471" i="6"/>
  <c r="K472" i="6" l="1"/>
  <c r="J472" i="6"/>
  <c r="I473" i="6"/>
  <c r="I474" i="6" l="1"/>
  <c r="J473" i="6"/>
  <c r="K473" i="6"/>
  <c r="I475" i="6" l="1"/>
  <c r="K474" i="6"/>
  <c r="J474" i="6"/>
  <c r="I476" i="6" l="1"/>
  <c r="J475" i="6"/>
  <c r="K475" i="6"/>
  <c r="K476" i="6" l="1"/>
  <c r="I477" i="6"/>
  <c r="J476" i="6"/>
  <c r="I478" i="6" l="1"/>
  <c r="K477" i="6"/>
  <c r="J477" i="6"/>
  <c r="I479" i="6" l="1"/>
  <c r="K478" i="6"/>
  <c r="J478" i="6"/>
  <c r="J479" i="6" l="1"/>
  <c r="I480" i="6"/>
  <c r="K479" i="6"/>
  <c r="I481" i="6" l="1"/>
  <c r="K480" i="6"/>
  <c r="J480" i="6"/>
  <c r="I482" i="6" l="1"/>
  <c r="K481" i="6"/>
  <c r="J481" i="6"/>
  <c r="I483" i="6" l="1"/>
  <c r="K482" i="6"/>
  <c r="J482" i="6"/>
  <c r="J483" i="6" l="1"/>
  <c r="K483" i="6"/>
  <c r="I484" i="6"/>
  <c r="I485" i="6" l="1"/>
  <c r="J484" i="6"/>
  <c r="K484" i="6"/>
  <c r="K485" i="6" l="1"/>
  <c r="I486" i="6"/>
  <c r="J485" i="6"/>
  <c r="I487" i="6" l="1"/>
  <c r="K486" i="6"/>
  <c r="J486" i="6"/>
  <c r="I488" i="6" l="1"/>
  <c r="K487" i="6"/>
  <c r="J487" i="6"/>
  <c r="I489" i="6" l="1"/>
  <c r="K488" i="6"/>
  <c r="J488" i="6"/>
  <c r="I490" i="6" l="1"/>
  <c r="K489" i="6"/>
  <c r="J489" i="6"/>
  <c r="I491" i="6" l="1"/>
  <c r="K490" i="6"/>
  <c r="J490" i="6"/>
  <c r="I492" i="6" l="1"/>
  <c r="J491" i="6"/>
  <c r="K491" i="6"/>
  <c r="K492" i="6" l="1"/>
  <c r="J492" i="6"/>
  <c r="I493" i="6"/>
  <c r="I494" i="6" l="1"/>
  <c r="J493" i="6"/>
  <c r="K493" i="6"/>
  <c r="I495" i="6" l="1"/>
  <c r="K494" i="6"/>
  <c r="J494" i="6"/>
  <c r="I496" i="6" l="1"/>
  <c r="J495" i="6"/>
  <c r="K495" i="6"/>
  <c r="I497" i="6" l="1"/>
  <c r="K496" i="6"/>
  <c r="J496" i="6"/>
  <c r="J497" i="6" l="1"/>
  <c r="K497" i="6"/>
  <c r="I498" i="6"/>
  <c r="I499" i="6" l="1"/>
  <c r="J498" i="6"/>
  <c r="K498" i="6"/>
  <c r="I500" i="6" l="1"/>
  <c r="J499" i="6"/>
  <c r="K499" i="6"/>
  <c r="I501" i="6" l="1"/>
  <c r="K500" i="6"/>
  <c r="J500" i="6"/>
  <c r="I502" i="6" l="1"/>
  <c r="K501" i="6"/>
  <c r="J501" i="6"/>
  <c r="I503" i="6" l="1"/>
  <c r="K502" i="6"/>
  <c r="J502" i="6"/>
  <c r="I504" i="6" l="1"/>
  <c r="K503" i="6"/>
  <c r="J503" i="6"/>
  <c r="I505" i="6" l="1"/>
  <c r="K504" i="6"/>
  <c r="J504" i="6"/>
  <c r="K505" i="6" l="1"/>
  <c r="J505" i="6"/>
  <c r="I506" i="6"/>
  <c r="I507" i="6" l="1"/>
  <c r="K506" i="6"/>
  <c r="J506" i="6"/>
  <c r="I508" i="6" l="1"/>
  <c r="J507" i="6"/>
  <c r="K507" i="6"/>
  <c r="I509" i="6" l="1"/>
  <c r="K508" i="6"/>
  <c r="J508" i="6"/>
  <c r="I510" i="6" l="1"/>
  <c r="K509" i="6"/>
  <c r="J509" i="6"/>
  <c r="I511" i="6" l="1"/>
  <c r="K510" i="6"/>
  <c r="J510" i="6"/>
  <c r="I512" i="6" l="1"/>
  <c r="K511" i="6"/>
  <c r="J511" i="6"/>
  <c r="I513" i="6" l="1"/>
  <c r="K512" i="6"/>
  <c r="J512" i="6"/>
  <c r="I514" i="6" l="1"/>
  <c r="J513" i="6"/>
  <c r="K513" i="6"/>
  <c r="I515" i="6" l="1"/>
  <c r="J514" i="6"/>
  <c r="K514" i="6"/>
  <c r="I516" i="6" l="1"/>
  <c r="K515" i="6"/>
  <c r="J515" i="6"/>
  <c r="I517" i="6" l="1"/>
  <c r="K516" i="6"/>
  <c r="J516" i="6"/>
  <c r="I518" i="6" l="1"/>
  <c r="K517" i="6"/>
  <c r="J517" i="6"/>
  <c r="I519" i="6" l="1"/>
  <c r="K518" i="6"/>
  <c r="J518" i="6"/>
  <c r="I520" i="6" l="1"/>
  <c r="K519" i="6"/>
  <c r="J519" i="6"/>
  <c r="I521" i="6" l="1"/>
  <c r="K520" i="6"/>
  <c r="J520" i="6"/>
  <c r="I522" i="6" l="1"/>
  <c r="J521" i="6"/>
  <c r="K521" i="6"/>
  <c r="I523" i="6" l="1"/>
  <c r="K522" i="6"/>
  <c r="J522" i="6"/>
  <c r="I524" i="6" l="1"/>
  <c r="J523" i="6"/>
  <c r="K523" i="6"/>
  <c r="I525" i="6" l="1"/>
  <c r="J524" i="6"/>
  <c r="K524" i="6"/>
  <c r="I526" i="6" l="1"/>
  <c r="K525" i="6"/>
  <c r="J525" i="6"/>
  <c r="I527" i="6" l="1"/>
  <c r="K526" i="6"/>
  <c r="J526" i="6"/>
  <c r="I528" i="6" l="1"/>
  <c r="K527" i="6"/>
  <c r="J527" i="6"/>
  <c r="I529" i="6" l="1"/>
  <c r="K528" i="6"/>
  <c r="J528" i="6"/>
  <c r="I530" i="6" l="1"/>
  <c r="K529" i="6"/>
  <c r="J529" i="6"/>
  <c r="I531" i="6" l="1"/>
  <c r="J530" i="6"/>
  <c r="K530" i="6"/>
  <c r="I532" i="6" l="1"/>
  <c r="K531" i="6"/>
  <c r="J531" i="6"/>
  <c r="I533" i="6" l="1"/>
  <c r="K532" i="6"/>
  <c r="J532" i="6"/>
  <c r="I534" i="6" l="1"/>
  <c r="K533" i="6"/>
  <c r="J533" i="6"/>
  <c r="I535" i="6" l="1"/>
  <c r="K534" i="6"/>
  <c r="J534" i="6"/>
  <c r="I536" i="6" l="1"/>
  <c r="K535" i="6"/>
  <c r="J535" i="6"/>
  <c r="I537" i="6" l="1"/>
  <c r="K536" i="6"/>
  <c r="J536" i="6"/>
  <c r="I538" i="6" l="1"/>
  <c r="J537" i="6"/>
  <c r="K537" i="6"/>
  <c r="I539" i="6" l="1"/>
  <c r="J538" i="6"/>
  <c r="K538" i="6"/>
  <c r="I540" i="6" l="1"/>
  <c r="J539" i="6"/>
  <c r="K539" i="6"/>
  <c r="J540" i="6" l="1"/>
  <c r="I541" i="6"/>
  <c r="K540" i="6"/>
  <c r="J541" i="6" l="1"/>
  <c r="I542" i="6"/>
  <c r="K541" i="6"/>
  <c r="I543" i="6" l="1"/>
  <c r="J542" i="6"/>
  <c r="K542" i="6"/>
  <c r="K543" i="6" l="1"/>
  <c r="J543" i="6"/>
  <c r="I544" i="6"/>
  <c r="I545" i="6" l="1"/>
  <c r="K544" i="6"/>
  <c r="J544" i="6"/>
  <c r="I546" i="6" l="1"/>
  <c r="K545" i="6"/>
  <c r="J545" i="6"/>
  <c r="I547" i="6" l="1"/>
  <c r="J546" i="6"/>
  <c r="K546" i="6"/>
  <c r="I548" i="6" l="1"/>
  <c r="J547" i="6"/>
  <c r="K547" i="6"/>
  <c r="I549" i="6" l="1"/>
  <c r="K548" i="6"/>
  <c r="J548" i="6"/>
  <c r="K549" i="6" l="1"/>
  <c r="I550" i="6"/>
  <c r="J549" i="6"/>
  <c r="I551" i="6" l="1"/>
  <c r="K550" i="6"/>
  <c r="J550" i="6"/>
  <c r="I552" i="6" l="1"/>
  <c r="K551" i="6"/>
  <c r="J551" i="6"/>
  <c r="K552" i="6" l="1"/>
  <c r="I553" i="6"/>
  <c r="J552" i="6"/>
  <c r="J553" i="6" l="1"/>
  <c r="I554" i="6"/>
  <c r="K553" i="6"/>
  <c r="I555" i="6" l="1"/>
  <c r="K554" i="6"/>
  <c r="J554" i="6"/>
  <c r="K555" i="6" l="1"/>
  <c r="I556" i="6"/>
  <c r="J555" i="6"/>
  <c r="I557" i="6" l="1"/>
  <c r="K556" i="6"/>
  <c r="J556" i="6"/>
  <c r="I558" i="6" l="1"/>
  <c r="J557" i="6"/>
  <c r="K557" i="6"/>
  <c r="K558" i="6" l="1"/>
  <c r="I559" i="6"/>
  <c r="J558" i="6"/>
  <c r="I560" i="6" l="1"/>
  <c r="K559" i="6"/>
  <c r="J559" i="6"/>
  <c r="I561" i="6" l="1"/>
  <c r="J560" i="6"/>
  <c r="K560" i="6"/>
  <c r="J561" i="6" l="1"/>
  <c r="I562" i="6"/>
  <c r="K561" i="6"/>
  <c r="I563" i="6" l="1"/>
  <c r="J562" i="6"/>
  <c r="K562" i="6"/>
  <c r="K563" i="6" l="1"/>
  <c r="I564" i="6"/>
  <c r="J563" i="6"/>
  <c r="J564" i="6" l="1"/>
  <c r="I565" i="6"/>
  <c r="K564" i="6"/>
  <c r="I566" i="6" l="1"/>
  <c r="K565" i="6"/>
  <c r="J565" i="6"/>
  <c r="I567" i="6" l="1"/>
  <c r="K566" i="6"/>
  <c r="J566" i="6"/>
  <c r="I568" i="6" l="1"/>
  <c r="K567" i="6"/>
  <c r="J567" i="6"/>
  <c r="I569" i="6" l="1"/>
  <c r="J568" i="6"/>
  <c r="K568" i="6"/>
  <c r="I570" i="6" l="1"/>
  <c r="K569" i="6"/>
  <c r="J569" i="6"/>
  <c r="I571" i="6" l="1"/>
  <c r="K570" i="6"/>
  <c r="J570" i="6"/>
  <c r="I572" i="6" l="1"/>
  <c r="J571" i="6"/>
  <c r="K571" i="6"/>
  <c r="I573" i="6" l="1"/>
  <c r="J572" i="6"/>
  <c r="K572" i="6"/>
  <c r="I574" i="6" l="1"/>
  <c r="J573" i="6"/>
  <c r="K573" i="6"/>
  <c r="I575" i="6" l="1"/>
  <c r="K574" i="6"/>
  <c r="J574" i="6"/>
  <c r="I576" i="6" l="1"/>
  <c r="K575" i="6"/>
  <c r="J575" i="6"/>
  <c r="I577" i="6" l="1"/>
  <c r="K576" i="6"/>
  <c r="J576" i="6"/>
  <c r="I578" i="6" l="1"/>
  <c r="K577" i="6"/>
  <c r="J577" i="6"/>
  <c r="K578" i="6" l="1"/>
  <c r="I579" i="6"/>
  <c r="J578" i="6"/>
  <c r="I580" i="6" l="1"/>
  <c r="K579" i="6"/>
  <c r="J579" i="6"/>
  <c r="I581" i="6" l="1"/>
  <c r="K580" i="6"/>
  <c r="J580" i="6"/>
  <c r="I582" i="6" l="1"/>
  <c r="K581" i="6"/>
  <c r="J581" i="6"/>
  <c r="K582" i="6" l="1"/>
  <c r="I583" i="6"/>
  <c r="J582" i="6"/>
  <c r="I584" i="6" l="1"/>
  <c r="K583" i="6"/>
  <c r="J583" i="6"/>
  <c r="I585" i="6" l="1"/>
  <c r="K584" i="6"/>
  <c r="J584" i="6"/>
  <c r="J585" i="6" l="1"/>
  <c r="I586" i="6"/>
  <c r="K585" i="6"/>
  <c r="J586" i="6" l="1"/>
  <c r="K586" i="6"/>
  <c r="I587" i="6"/>
  <c r="J587" i="6" l="1"/>
  <c r="I588" i="6"/>
  <c r="K587" i="6"/>
  <c r="I589" i="6" l="1"/>
  <c r="K588" i="6"/>
  <c r="J588" i="6"/>
  <c r="I590" i="6" l="1"/>
  <c r="K589" i="6"/>
  <c r="J589" i="6"/>
  <c r="I591" i="6" l="1"/>
  <c r="J590" i="6"/>
  <c r="K590" i="6"/>
  <c r="I592" i="6" l="1"/>
  <c r="K591" i="6"/>
  <c r="J591" i="6"/>
  <c r="I593" i="6" l="1"/>
  <c r="K592" i="6"/>
  <c r="J592" i="6"/>
  <c r="I594" i="6" l="1"/>
  <c r="J593" i="6"/>
  <c r="K593" i="6"/>
  <c r="I595" i="6" l="1"/>
  <c r="K594" i="6"/>
  <c r="J594" i="6"/>
  <c r="K595" i="6" l="1"/>
  <c r="J595" i="6"/>
  <c r="I596" i="6"/>
  <c r="I597" i="6" l="1"/>
  <c r="J596" i="6"/>
  <c r="K596" i="6"/>
  <c r="I598" i="6" l="1"/>
  <c r="J597" i="6"/>
  <c r="K597" i="6"/>
  <c r="I599" i="6" l="1"/>
  <c r="J598" i="6"/>
  <c r="K598" i="6"/>
  <c r="I600" i="6" l="1"/>
  <c r="J599" i="6"/>
  <c r="K599" i="6"/>
  <c r="I601" i="6" l="1"/>
  <c r="J600" i="6"/>
  <c r="K600" i="6"/>
  <c r="I602" i="6" l="1"/>
  <c r="J601" i="6"/>
  <c r="K601" i="6"/>
  <c r="I603" i="6" l="1"/>
  <c r="J602" i="6"/>
  <c r="K602" i="6"/>
  <c r="I604" i="6" l="1"/>
  <c r="J603" i="6"/>
  <c r="K603" i="6"/>
  <c r="K604" i="6" l="1"/>
  <c r="I605" i="6"/>
  <c r="J604" i="6"/>
  <c r="I606" i="6" l="1"/>
  <c r="K605" i="6"/>
  <c r="J605" i="6"/>
  <c r="I607" i="6" l="1"/>
  <c r="J606" i="6"/>
  <c r="K606" i="6"/>
  <c r="I608" i="6" l="1"/>
  <c r="K607" i="6"/>
  <c r="J607" i="6"/>
  <c r="I609" i="6" l="1"/>
  <c r="J608" i="6"/>
  <c r="K608" i="6"/>
  <c r="I610" i="6" l="1"/>
  <c r="K609" i="6"/>
  <c r="J609" i="6"/>
  <c r="I611" i="6" l="1"/>
  <c r="J610" i="6"/>
  <c r="K610" i="6"/>
  <c r="I612" i="6" l="1"/>
  <c r="J611" i="6"/>
  <c r="K611" i="6"/>
  <c r="I613" i="6" l="1"/>
  <c r="K612" i="6"/>
  <c r="J612" i="6"/>
  <c r="I614" i="6" l="1"/>
  <c r="K613" i="6"/>
  <c r="J613" i="6"/>
  <c r="I615" i="6" l="1"/>
  <c r="K614" i="6"/>
  <c r="J614" i="6"/>
  <c r="K615" i="6" l="1"/>
  <c r="J615" i="6"/>
  <c r="I616" i="6"/>
  <c r="I617" i="6" l="1"/>
  <c r="K616" i="6"/>
  <c r="J616" i="6"/>
  <c r="I618" i="6" l="1"/>
  <c r="J617" i="6"/>
  <c r="K617" i="6"/>
  <c r="I619" i="6" l="1"/>
  <c r="K618" i="6"/>
  <c r="J618" i="6"/>
  <c r="I620" i="6" l="1"/>
  <c r="K619" i="6"/>
  <c r="J619" i="6"/>
  <c r="I621" i="6" l="1"/>
  <c r="K620" i="6"/>
  <c r="J620" i="6"/>
  <c r="I622" i="6" l="1"/>
  <c r="K621" i="6"/>
  <c r="J621" i="6"/>
  <c r="I623" i="6" l="1"/>
  <c r="K622" i="6"/>
  <c r="J622" i="6"/>
  <c r="I624" i="6" l="1"/>
  <c r="K623" i="6"/>
  <c r="J623" i="6"/>
  <c r="I625" i="6" l="1"/>
  <c r="K624" i="6"/>
  <c r="J624" i="6"/>
  <c r="I626" i="6" l="1"/>
  <c r="J625" i="6"/>
  <c r="K625" i="6"/>
  <c r="I627" i="6" l="1"/>
  <c r="J626" i="6"/>
  <c r="K626" i="6"/>
  <c r="I628" i="6" l="1"/>
  <c r="K627" i="6"/>
  <c r="J627" i="6"/>
  <c r="I629" i="6" l="1"/>
  <c r="J628" i="6"/>
  <c r="K628" i="6"/>
  <c r="I630" i="6" l="1"/>
  <c r="J629" i="6"/>
  <c r="K629" i="6"/>
  <c r="I631" i="6" l="1"/>
  <c r="K630" i="6"/>
  <c r="J630" i="6"/>
  <c r="I632" i="6" l="1"/>
  <c r="J631" i="6"/>
  <c r="K631" i="6"/>
  <c r="I633" i="6" l="1"/>
  <c r="J632" i="6"/>
  <c r="K632" i="6"/>
  <c r="I634" i="6" l="1"/>
  <c r="J633" i="6"/>
  <c r="K633" i="6"/>
  <c r="I635" i="6" l="1"/>
  <c r="J634" i="6"/>
  <c r="K634" i="6"/>
  <c r="I636" i="6" l="1"/>
  <c r="J635" i="6"/>
  <c r="K635" i="6"/>
  <c r="I637" i="6" l="1"/>
  <c r="K636" i="6"/>
  <c r="J636" i="6"/>
  <c r="K637" i="6" l="1"/>
  <c r="J637" i="6"/>
  <c r="I638" i="6"/>
  <c r="K638" i="6" l="1"/>
  <c r="J638" i="6"/>
  <c r="I639" i="6"/>
  <c r="K639" i="6" l="1"/>
  <c r="J639" i="6"/>
  <c r="I640" i="6"/>
  <c r="K640" i="6" l="1"/>
  <c r="J640" i="6"/>
  <c r="I641" i="6"/>
  <c r="I642" i="6" l="1"/>
  <c r="J641" i="6"/>
  <c r="K641" i="6"/>
  <c r="I643" i="6" l="1"/>
  <c r="J642" i="6"/>
  <c r="K642" i="6"/>
  <c r="I644" i="6" l="1"/>
  <c r="K643" i="6"/>
  <c r="J643" i="6"/>
  <c r="I645" i="6" l="1"/>
  <c r="J644" i="6"/>
  <c r="K644" i="6"/>
  <c r="I646" i="6" l="1"/>
  <c r="K645" i="6"/>
  <c r="J645" i="6"/>
  <c r="I647" i="6" l="1"/>
  <c r="K646" i="6"/>
  <c r="J646" i="6"/>
  <c r="I648" i="6" l="1"/>
  <c r="K647" i="6"/>
  <c r="J647" i="6"/>
  <c r="I649" i="6" l="1"/>
  <c r="K648" i="6"/>
  <c r="J648" i="6"/>
  <c r="I650" i="6" l="1"/>
  <c r="J649" i="6"/>
  <c r="K649" i="6"/>
  <c r="I651" i="6" l="1"/>
  <c r="J650" i="6"/>
  <c r="K650" i="6"/>
  <c r="J651" i="6" l="1"/>
  <c r="K651" i="6"/>
  <c r="I652" i="6"/>
  <c r="I653" i="6" l="1"/>
  <c r="K652" i="6"/>
  <c r="J652" i="6"/>
  <c r="I654" i="6" l="1"/>
  <c r="K653" i="6"/>
  <c r="J653" i="6"/>
  <c r="I655" i="6" l="1"/>
  <c r="K654" i="6"/>
  <c r="J654" i="6"/>
  <c r="I656" i="6" l="1"/>
  <c r="K655" i="6"/>
  <c r="J655" i="6"/>
  <c r="I657" i="6" l="1"/>
  <c r="J656" i="6"/>
  <c r="K656" i="6"/>
  <c r="I658" i="6" l="1"/>
  <c r="K657" i="6"/>
  <c r="J657" i="6"/>
  <c r="K658" i="6" l="1"/>
  <c r="J658" i="6"/>
  <c r="I659" i="6"/>
  <c r="K659" i="6" l="1"/>
  <c r="J659" i="6"/>
  <c r="I660" i="6"/>
  <c r="I661" i="6" l="1"/>
  <c r="K660" i="6"/>
  <c r="J660" i="6"/>
  <c r="K661" i="6" l="1"/>
  <c r="J661" i="6"/>
  <c r="I662" i="6"/>
  <c r="K662" i="6" l="1"/>
  <c r="I663" i="6"/>
  <c r="J662" i="6"/>
  <c r="I664" i="6" l="1"/>
  <c r="K663" i="6"/>
  <c r="J663" i="6"/>
  <c r="I665" i="6" l="1"/>
  <c r="J664" i="6"/>
  <c r="K664" i="6"/>
  <c r="I666" i="6" l="1"/>
  <c r="J665" i="6"/>
  <c r="K665" i="6"/>
  <c r="I667" i="6" l="1"/>
  <c r="J666" i="6"/>
  <c r="K666" i="6"/>
  <c r="I668" i="6" l="1"/>
  <c r="J667" i="6"/>
  <c r="K667" i="6"/>
  <c r="I669" i="6" l="1"/>
  <c r="J668" i="6"/>
  <c r="K668" i="6"/>
  <c r="I670" i="6" l="1"/>
  <c r="J669" i="6"/>
  <c r="K669" i="6"/>
  <c r="I671" i="6" l="1"/>
  <c r="K670" i="6"/>
  <c r="J670" i="6"/>
  <c r="I672" i="6" l="1"/>
  <c r="K671" i="6"/>
  <c r="J671" i="6"/>
  <c r="I673" i="6" l="1"/>
  <c r="K672" i="6"/>
  <c r="J672" i="6"/>
  <c r="I674" i="6" l="1"/>
  <c r="J673" i="6"/>
  <c r="K673" i="6"/>
  <c r="I675" i="6" l="1"/>
  <c r="K674" i="6"/>
  <c r="J674" i="6"/>
  <c r="I676" i="6" l="1"/>
  <c r="J675" i="6"/>
  <c r="K675" i="6"/>
  <c r="I677" i="6" l="1"/>
  <c r="K676" i="6"/>
  <c r="J676" i="6"/>
  <c r="I678" i="6" l="1"/>
  <c r="K677" i="6"/>
  <c r="J677" i="6"/>
  <c r="K678" i="6" l="1"/>
  <c r="I679" i="6"/>
  <c r="J678" i="6"/>
  <c r="I680" i="6" l="1"/>
  <c r="J679" i="6"/>
  <c r="K679" i="6"/>
  <c r="I681" i="6" l="1"/>
  <c r="K680" i="6"/>
  <c r="J680" i="6"/>
  <c r="I682" i="6" l="1"/>
  <c r="J681" i="6"/>
  <c r="K681" i="6"/>
  <c r="I683" i="6" l="1"/>
  <c r="K682" i="6"/>
  <c r="J682" i="6"/>
  <c r="I684" i="6" l="1"/>
  <c r="J683" i="6"/>
  <c r="K683" i="6"/>
  <c r="I685" i="6" l="1"/>
  <c r="K684" i="6"/>
  <c r="J684" i="6"/>
  <c r="I686" i="6" l="1"/>
  <c r="K685" i="6"/>
  <c r="J685" i="6"/>
  <c r="I687" i="6" l="1"/>
  <c r="K686" i="6"/>
  <c r="J686" i="6"/>
  <c r="K687" i="6" l="1"/>
  <c r="J687" i="6"/>
  <c r="I688" i="6"/>
  <c r="I689" i="6" l="1"/>
  <c r="K688" i="6"/>
  <c r="J688" i="6"/>
  <c r="J689" i="6" l="1"/>
  <c r="I690" i="6"/>
  <c r="K689" i="6"/>
  <c r="I691" i="6" l="1"/>
  <c r="K690" i="6"/>
  <c r="J690" i="6"/>
  <c r="I692" i="6" l="1"/>
  <c r="J691" i="6"/>
  <c r="K691" i="6"/>
  <c r="K692" i="6" l="1"/>
  <c r="J692" i="6"/>
  <c r="I693" i="6"/>
  <c r="I694" i="6" l="1"/>
  <c r="K693" i="6"/>
  <c r="J693" i="6"/>
  <c r="K694" i="6" l="1"/>
  <c r="J694" i="6"/>
  <c r="I695" i="6"/>
  <c r="K695" i="6" l="1"/>
  <c r="J695" i="6"/>
  <c r="I696" i="6"/>
  <c r="I697" i="6" l="1"/>
  <c r="K696" i="6"/>
  <c r="J696" i="6"/>
  <c r="I698" i="6" l="1"/>
  <c r="K697" i="6"/>
  <c r="J697" i="6"/>
  <c r="I699" i="6" l="1"/>
  <c r="J698" i="6"/>
  <c r="K698" i="6"/>
  <c r="I700" i="6" l="1"/>
  <c r="K699" i="6"/>
  <c r="J699" i="6"/>
  <c r="I701" i="6" l="1"/>
  <c r="K700" i="6"/>
  <c r="J700" i="6"/>
  <c r="I702" i="6" l="1"/>
  <c r="K701" i="6"/>
  <c r="J701" i="6"/>
  <c r="I703" i="6" l="1"/>
  <c r="K702" i="6"/>
  <c r="J702" i="6"/>
  <c r="I704" i="6" l="1"/>
  <c r="K703" i="6"/>
  <c r="J703" i="6"/>
  <c r="J704" i="6" l="1"/>
  <c r="I705" i="6"/>
  <c r="K704" i="6"/>
  <c r="I706" i="6" l="1"/>
  <c r="J705" i="6"/>
  <c r="K705" i="6"/>
  <c r="I707" i="6" l="1"/>
  <c r="K706" i="6"/>
  <c r="J706" i="6"/>
  <c r="I708" i="6" l="1"/>
  <c r="K707" i="6"/>
  <c r="J707" i="6"/>
  <c r="I709" i="6" l="1"/>
  <c r="K708" i="6"/>
  <c r="J708" i="6"/>
  <c r="K709" i="6" l="1"/>
  <c r="J709" i="6"/>
  <c r="I710" i="6"/>
  <c r="I711" i="6" l="1"/>
  <c r="K710" i="6"/>
  <c r="J710" i="6"/>
  <c r="I712" i="6" l="1"/>
  <c r="K711" i="6"/>
  <c r="J711" i="6"/>
  <c r="I713" i="6" l="1"/>
  <c r="K712" i="6"/>
  <c r="J712" i="6"/>
  <c r="I714" i="6" l="1"/>
  <c r="J713" i="6"/>
  <c r="K713" i="6"/>
  <c r="I715" i="6" l="1"/>
  <c r="K714" i="6"/>
  <c r="J714" i="6"/>
  <c r="I716" i="6" l="1"/>
  <c r="K715" i="6"/>
  <c r="J715" i="6"/>
  <c r="I717" i="6" l="1"/>
  <c r="K716" i="6"/>
  <c r="J716" i="6"/>
  <c r="I718" i="6" l="1"/>
  <c r="K717" i="6"/>
  <c r="J717" i="6"/>
  <c r="I719" i="6" l="1"/>
  <c r="K718" i="6"/>
  <c r="J718" i="6"/>
  <c r="I720" i="6" l="1"/>
  <c r="J719" i="6"/>
  <c r="K719" i="6"/>
  <c r="I721" i="6" l="1"/>
  <c r="K720" i="6"/>
  <c r="J720" i="6"/>
  <c r="I722" i="6" l="1"/>
  <c r="K721" i="6"/>
  <c r="J721" i="6"/>
  <c r="I723" i="6" l="1"/>
  <c r="K722" i="6"/>
  <c r="J722" i="6"/>
  <c r="I724" i="6" l="1"/>
  <c r="K723" i="6"/>
  <c r="J723" i="6"/>
  <c r="K724" i="6" l="1"/>
  <c r="J724" i="6"/>
  <c r="I725" i="6"/>
  <c r="K725" i="6" l="1"/>
  <c r="J725" i="6"/>
  <c r="I726" i="6"/>
  <c r="K726" i="6" l="1"/>
  <c r="J726" i="6"/>
  <c r="I727" i="6"/>
  <c r="K727" i="6" l="1"/>
  <c r="J727" i="6"/>
  <c r="I728" i="6"/>
  <c r="K728" i="6" l="1"/>
  <c r="I729" i="6"/>
  <c r="J728" i="6"/>
  <c r="I730" i="6" l="1"/>
  <c r="K729" i="6"/>
  <c r="J729" i="6"/>
  <c r="I731" i="6" l="1"/>
  <c r="K730" i="6"/>
  <c r="J730" i="6"/>
  <c r="I732" i="6" l="1"/>
  <c r="J731" i="6"/>
  <c r="K731" i="6"/>
  <c r="I733" i="6" l="1"/>
  <c r="K732" i="6"/>
  <c r="J732" i="6"/>
  <c r="I734" i="6" l="1"/>
  <c r="K733" i="6"/>
  <c r="J733" i="6"/>
  <c r="I735" i="6" l="1"/>
  <c r="J734" i="6"/>
  <c r="K734" i="6"/>
  <c r="I736" i="6" l="1"/>
  <c r="K735" i="6"/>
  <c r="J735" i="6"/>
  <c r="I737" i="6" l="1"/>
  <c r="J736" i="6"/>
  <c r="K736" i="6"/>
  <c r="I738" i="6" l="1"/>
  <c r="K737" i="6"/>
  <c r="J737" i="6"/>
  <c r="I739" i="6" l="1"/>
  <c r="K738" i="6"/>
  <c r="J738" i="6"/>
  <c r="K739" i="6" l="1"/>
  <c r="J739" i="6"/>
  <c r="I740" i="6"/>
  <c r="I741" i="6" l="1"/>
  <c r="K740" i="6"/>
  <c r="J740" i="6"/>
  <c r="K741" i="6" l="1"/>
  <c r="J741" i="6"/>
  <c r="I742" i="6"/>
  <c r="I743" i="6" l="1"/>
  <c r="K742" i="6"/>
  <c r="J742" i="6"/>
  <c r="K743" i="6" l="1"/>
  <c r="J743" i="6"/>
  <c r="I744" i="6"/>
  <c r="I745" i="6" l="1"/>
  <c r="K744" i="6"/>
  <c r="J744" i="6"/>
  <c r="I746" i="6" l="1"/>
  <c r="J745" i="6"/>
  <c r="K745" i="6"/>
  <c r="I747" i="6" l="1"/>
  <c r="J746" i="6"/>
  <c r="K746" i="6"/>
  <c r="I748" i="6" l="1"/>
  <c r="K747" i="6"/>
  <c r="J747" i="6"/>
  <c r="I749" i="6" l="1"/>
  <c r="K748" i="6"/>
  <c r="J748" i="6"/>
  <c r="I750" i="6" l="1"/>
  <c r="J749" i="6"/>
  <c r="K749" i="6"/>
  <c r="I751" i="6" l="1"/>
  <c r="J750" i="6"/>
  <c r="K750" i="6"/>
  <c r="I752" i="6" l="1"/>
  <c r="J751" i="6"/>
  <c r="K751" i="6"/>
  <c r="I753" i="6" l="1"/>
  <c r="K752" i="6"/>
  <c r="J752" i="6"/>
  <c r="I754" i="6" l="1"/>
  <c r="J753" i="6"/>
  <c r="K753" i="6"/>
  <c r="I755" i="6" l="1"/>
  <c r="K754" i="6"/>
  <c r="J754" i="6"/>
  <c r="I756" i="6" l="1"/>
  <c r="K755" i="6"/>
  <c r="J755" i="6"/>
  <c r="I757" i="6" l="1"/>
  <c r="K756" i="6"/>
  <c r="J756" i="6"/>
  <c r="I758" i="6" l="1"/>
  <c r="K757" i="6"/>
  <c r="J757" i="6"/>
  <c r="I759" i="6" l="1"/>
  <c r="J758" i="6"/>
  <c r="K758" i="6"/>
  <c r="I760" i="6" l="1"/>
  <c r="J759" i="6"/>
  <c r="K759" i="6"/>
  <c r="I761" i="6" l="1"/>
  <c r="J760" i="6"/>
  <c r="K760" i="6"/>
  <c r="I762" i="6" l="1"/>
  <c r="J761" i="6"/>
  <c r="K761" i="6"/>
  <c r="I763" i="6" l="1"/>
  <c r="K762" i="6"/>
  <c r="J762" i="6"/>
  <c r="I764" i="6" l="1"/>
  <c r="J763" i="6"/>
  <c r="K763" i="6"/>
  <c r="I765" i="6" l="1"/>
  <c r="K764" i="6"/>
  <c r="J764" i="6"/>
  <c r="I766" i="6" l="1"/>
  <c r="J765" i="6"/>
  <c r="K765" i="6"/>
  <c r="I767" i="6" l="1"/>
  <c r="K766" i="6"/>
  <c r="J766" i="6"/>
  <c r="I768" i="6" l="1"/>
  <c r="K767" i="6"/>
  <c r="J767" i="6"/>
  <c r="I769" i="6" l="1"/>
  <c r="J768" i="6"/>
  <c r="K768" i="6"/>
  <c r="I770" i="6" l="1"/>
  <c r="K769" i="6"/>
  <c r="J769" i="6"/>
  <c r="I771" i="6" l="1"/>
  <c r="J770" i="6"/>
  <c r="K770" i="6"/>
  <c r="I772" i="6" l="1"/>
  <c r="J771" i="6"/>
  <c r="K771" i="6"/>
  <c r="K772" i="6" l="1"/>
  <c r="I773" i="6"/>
  <c r="J772" i="6"/>
  <c r="I774" i="6" l="1"/>
  <c r="K773" i="6"/>
  <c r="J773" i="6"/>
  <c r="I775" i="6" l="1"/>
  <c r="J774" i="6"/>
  <c r="K774" i="6"/>
  <c r="I776" i="6" l="1"/>
  <c r="K775" i="6"/>
  <c r="J775" i="6"/>
  <c r="I777" i="6" l="1"/>
  <c r="J776" i="6"/>
  <c r="K776" i="6"/>
  <c r="I778" i="6" l="1"/>
  <c r="K777" i="6"/>
  <c r="J777" i="6"/>
  <c r="I779" i="6" l="1"/>
  <c r="K778" i="6"/>
  <c r="J778" i="6"/>
  <c r="K779" i="6" l="1"/>
  <c r="J779" i="6"/>
  <c r="I780" i="6"/>
  <c r="K780" i="6" l="1"/>
  <c r="J780" i="6"/>
  <c r="I781" i="6"/>
  <c r="K781" i="6" l="1"/>
  <c r="J781" i="6"/>
  <c r="I782" i="6"/>
  <c r="K782" i="6" l="1"/>
  <c r="J782" i="6"/>
  <c r="I783" i="6"/>
  <c r="K783" i="6" l="1"/>
  <c r="J783" i="6"/>
  <c r="I784" i="6"/>
  <c r="K784" i="6" l="1"/>
  <c r="J784" i="6"/>
  <c r="I785" i="6"/>
  <c r="J785" i="6" l="1"/>
  <c r="K785" i="6"/>
  <c r="I786" i="6"/>
  <c r="I787" i="6" l="1"/>
  <c r="J786" i="6"/>
  <c r="K786" i="6"/>
  <c r="K787" i="6" l="1"/>
  <c r="J787" i="6"/>
  <c r="I788" i="6"/>
  <c r="I789" i="6" l="1"/>
  <c r="K788" i="6"/>
  <c r="J788" i="6"/>
  <c r="I790" i="6" l="1"/>
  <c r="K789" i="6"/>
  <c r="J789" i="6"/>
  <c r="I791" i="6" l="1"/>
  <c r="K790" i="6"/>
  <c r="J790" i="6"/>
  <c r="I792" i="6" l="1"/>
  <c r="K791" i="6"/>
  <c r="J791" i="6"/>
  <c r="I793" i="6" l="1"/>
  <c r="K792" i="6"/>
  <c r="J792" i="6"/>
  <c r="I794" i="6" l="1"/>
  <c r="J793" i="6"/>
  <c r="K793" i="6"/>
  <c r="I795" i="6" l="1"/>
  <c r="J794" i="6"/>
  <c r="K794" i="6"/>
  <c r="I796" i="6" l="1"/>
  <c r="J795" i="6"/>
  <c r="K795" i="6"/>
  <c r="I797" i="6" l="1"/>
  <c r="K796" i="6"/>
  <c r="J796" i="6"/>
  <c r="I798" i="6" l="1"/>
  <c r="K797" i="6"/>
  <c r="J797" i="6"/>
  <c r="I799" i="6" l="1"/>
  <c r="J798" i="6"/>
  <c r="K798" i="6"/>
  <c r="I800" i="6" l="1"/>
  <c r="J799" i="6"/>
  <c r="K799" i="6"/>
  <c r="I801" i="6" l="1"/>
  <c r="J800" i="6"/>
  <c r="K800" i="6"/>
  <c r="I802" i="6" l="1"/>
  <c r="J801" i="6"/>
  <c r="K801" i="6"/>
  <c r="I803" i="6" l="1"/>
  <c r="K802" i="6"/>
  <c r="J802" i="6"/>
  <c r="I804" i="6" l="1"/>
  <c r="J803" i="6"/>
  <c r="K803" i="6"/>
  <c r="I805" i="6" l="1"/>
  <c r="J804" i="6"/>
  <c r="K804" i="6"/>
  <c r="I806" i="6" l="1"/>
  <c r="K805" i="6"/>
  <c r="J805" i="6"/>
  <c r="I807" i="6" l="1"/>
  <c r="K806" i="6"/>
  <c r="J806" i="6"/>
  <c r="I808" i="6" l="1"/>
  <c r="J807" i="6"/>
  <c r="K807" i="6"/>
  <c r="I809" i="6" l="1"/>
  <c r="K808" i="6"/>
  <c r="J808" i="6"/>
  <c r="I810" i="6" l="1"/>
  <c r="K809" i="6"/>
  <c r="J809" i="6"/>
  <c r="I811" i="6" l="1"/>
  <c r="J810" i="6"/>
  <c r="K810" i="6"/>
  <c r="I812" i="6" l="1"/>
  <c r="K811" i="6"/>
  <c r="J811" i="6"/>
  <c r="I813" i="6" l="1"/>
  <c r="K812" i="6"/>
  <c r="J812" i="6"/>
  <c r="I814" i="6" l="1"/>
  <c r="J813" i="6"/>
  <c r="K813" i="6"/>
  <c r="I815" i="6" l="1"/>
  <c r="K814" i="6"/>
  <c r="J814" i="6"/>
  <c r="I816" i="6" l="1"/>
  <c r="J815" i="6"/>
  <c r="K815" i="6"/>
  <c r="I817" i="6" l="1"/>
  <c r="K816" i="6"/>
  <c r="J816" i="6"/>
  <c r="I818" i="6" l="1"/>
  <c r="K817" i="6"/>
  <c r="J817" i="6"/>
  <c r="I819" i="6" l="1"/>
  <c r="J818" i="6"/>
  <c r="K818" i="6"/>
  <c r="I820" i="6" l="1"/>
  <c r="J819" i="6"/>
  <c r="K819" i="6"/>
  <c r="I821" i="6" l="1"/>
  <c r="K820" i="6"/>
  <c r="J820" i="6"/>
  <c r="I822" i="6" l="1"/>
  <c r="K821" i="6"/>
  <c r="J821" i="6"/>
  <c r="I823" i="6" l="1"/>
  <c r="J822" i="6"/>
  <c r="K822" i="6"/>
  <c r="I824" i="6" l="1"/>
  <c r="J823" i="6"/>
  <c r="K823" i="6"/>
  <c r="I825" i="6" l="1"/>
  <c r="J824" i="6"/>
  <c r="K824" i="6"/>
  <c r="I826" i="6" l="1"/>
  <c r="K825" i="6"/>
  <c r="J825" i="6"/>
  <c r="I827" i="6" l="1"/>
  <c r="K826" i="6"/>
  <c r="J826" i="6"/>
  <c r="I828" i="6" l="1"/>
  <c r="J827" i="6"/>
  <c r="K827" i="6"/>
  <c r="I829" i="6" l="1"/>
  <c r="J828" i="6"/>
  <c r="K828" i="6"/>
  <c r="I830" i="6" l="1"/>
  <c r="J829" i="6"/>
  <c r="K829" i="6"/>
  <c r="I831" i="6" l="1"/>
  <c r="J830" i="6"/>
  <c r="K830" i="6"/>
  <c r="I832" i="6" l="1"/>
  <c r="K831" i="6"/>
  <c r="J831" i="6"/>
  <c r="I833" i="6" l="1"/>
  <c r="J832" i="6"/>
  <c r="K832" i="6"/>
  <c r="I834" i="6" l="1"/>
  <c r="J833" i="6"/>
  <c r="K833" i="6"/>
  <c r="I835" i="6" l="1"/>
  <c r="K834" i="6"/>
  <c r="J834" i="6"/>
  <c r="I836" i="6" l="1"/>
  <c r="J835" i="6"/>
  <c r="K835" i="6"/>
  <c r="I837" i="6" l="1"/>
  <c r="J836" i="6"/>
  <c r="K836" i="6"/>
  <c r="K837" i="6" l="1"/>
  <c r="J837" i="6"/>
  <c r="I838" i="6"/>
  <c r="K838" i="6" l="1"/>
  <c r="J838" i="6"/>
  <c r="I839" i="6"/>
  <c r="J839" i="6" l="1"/>
  <c r="I840" i="6"/>
  <c r="K839" i="6"/>
  <c r="I841" i="6" l="1"/>
  <c r="K840" i="6"/>
  <c r="J840" i="6"/>
  <c r="I842" i="6" l="1"/>
  <c r="J841" i="6"/>
  <c r="K841" i="6"/>
  <c r="K842" i="6" l="1"/>
  <c r="I843" i="6"/>
  <c r="J842" i="6"/>
  <c r="I844" i="6" l="1"/>
  <c r="K843" i="6"/>
  <c r="J843" i="6"/>
  <c r="I845" i="6" l="1"/>
  <c r="K844" i="6"/>
  <c r="J844" i="6"/>
  <c r="I846" i="6" l="1"/>
  <c r="K845" i="6"/>
  <c r="J845" i="6"/>
  <c r="K846" i="6" l="1"/>
  <c r="I847" i="6"/>
  <c r="J846" i="6"/>
  <c r="K847" i="6" l="1"/>
  <c r="I848" i="6"/>
  <c r="J847" i="6"/>
  <c r="I849" i="6" l="1"/>
  <c r="K848" i="6"/>
  <c r="J848" i="6"/>
  <c r="I850" i="6" l="1"/>
  <c r="K849" i="6"/>
  <c r="J849" i="6"/>
  <c r="J850" i="6" l="1"/>
  <c r="K850" i="6"/>
  <c r="I851" i="6"/>
  <c r="I852" i="6" l="1"/>
  <c r="J851" i="6"/>
  <c r="K851" i="6"/>
  <c r="I853" i="6" l="1"/>
  <c r="J852" i="6"/>
  <c r="K852" i="6"/>
  <c r="I854" i="6" l="1"/>
  <c r="J853" i="6"/>
  <c r="K853" i="6"/>
  <c r="I855" i="6" l="1"/>
  <c r="K854" i="6"/>
  <c r="J854" i="6"/>
  <c r="I856" i="6" l="1"/>
  <c r="K855" i="6"/>
  <c r="J855" i="6"/>
  <c r="I857" i="6" l="1"/>
  <c r="K856" i="6"/>
  <c r="J856" i="6"/>
  <c r="I858" i="6" l="1"/>
  <c r="J857" i="6"/>
  <c r="K857" i="6"/>
  <c r="I859" i="6" l="1"/>
  <c r="J858" i="6"/>
  <c r="K858" i="6"/>
  <c r="I860" i="6" l="1"/>
  <c r="J859" i="6"/>
  <c r="K859" i="6"/>
  <c r="I861" i="6" l="1"/>
  <c r="K860" i="6"/>
  <c r="J860" i="6"/>
  <c r="I862" i="6" l="1"/>
  <c r="K861" i="6"/>
  <c r="J861" i="6"/>
  <c r="I863" i="6" l="1"/>
  <c r="J862" i="6"/>
  <c r="K862" i="6"/>
  <c r="I864" i="6" l="1"/>
  <c r="J863" i="6"/>
  <c r="K863" i="6"/>
  <c r="I865" i="6" l="1"/>
  <c r="J864" i="6"/>
  <c r="K864" i="6"/>
  <c r="I866" i="6" l="1"/>
  <c r="K865" i="6"/>
  <c r="J865" i="6"/>
  <c r="I867" i="6" l="1"/>
  <c r="K866" i="6"/>
  <c r="J866" i="6"/>
  <c r="I868" i="6" l="1"/>
  <c r="J867" i="6"/>
  <c r="K867" i="6"/>
  <c r="I869" i="6" l="1"/>
  <c r="J868" i="6"/>
  <c r="K868" i="6"/>
  <c r="I870" i="6" l="1"/>
  <c r="K869" i="6"/>
  <c r="J869" i="6"/>
  <c r="I871" i="6" l="1"/>
  <c r="J870" i="6"/>
  <c r="K870" i="6"/>
  <c r="I872" i="6" l="1"/>
  <c r="J871" i="6"/>
  <c r="K871" i="6"/>
  <c r="I873" i="6" l="1"/>
  <c r="K872" i="6"/>
  <c r="J872" i="6"/>
  <c r="I874" i="6" l="1"/>
  <c r="J873" i="6"/>
  <c r="K873" i="6"/>
  <c r="I875" i="6" l="1"/>
  <c r="J874" i="6"/>
  <c r="K874" i="6"/>
  <c r="J875" i="6" l="1"/>
  <c r="K875" i="6"/>
  <c r="I876" i="6"/>
  <c r="I877" i="6" l="1"/>
  <c r="J876" i="6"/>
  <c r="K876" i="6"/>
  <c r="K877" i="6" l="1"/>
  <c r="I878" i="6"/>
  <c r="J877" i="6"/>
  <c r="I879" i="6" l="1"/>
  <c r="J878" i="6"/>
  <c r="K878" i="6"/>
  <c r="I880" i="6" l="1"/>
  <c r="J879" i="6"/>
  <c r="K879" i="6"/>
  <c r="I881" i="6" l="1"/>
  <c r="J880" i="6"/>
  <c r="K880" i="6"/>
  <c r="I882" i="6" l="1"/>
  <c r="J881" i="6"/>
  <c r="K881" i="6"/>
  <c r="I883" i="6" l="1"/>
  <c r="J882" i="6"/>
  <c r="K882" i="6"/>
  <c r="I884" i="6" l="1"/>
  <c r="K883" i="6"/>
  <c r="J883" i="6"/>
  <c r="K884" i="6" l="1"/>
  <c r="J884" i="6"/>
  <c r="I885" i="6"/>
  <c r="K885" i="6" l="1"/>
  <c r="J885" i="6"/>
  <c r="I886" i="6"/>
  <c r="I887" i="6" l="1"/>
  <c r="K886" i="6"/>
  <c r="J886" i="6"/>
  <c r="I888" i="6" l="1"/>
  <c r="K887" i="6"/>
  <c r="J887" i="6"/>
  <c r="I889" i="6" l="1"/>
  <c r="K888" i="6"/>
  <c r="J888" i="6"/>
  <c r="I890" i="6" l="1"/>
  <c r="J889" i="6"/>
  <c r="K889" i="6"/>
  <c r="I891" i="6" l="1"/>
  <c r="J890" i="6"/>
  <c r="K890" i="6"/>
  <c r="I892" i="6" l="1"/>
  <c r="J891" i="6"/>
  <c r="K891" i="6"/>
  <c r="I893" i="6" l="1"/>
  <c r="K892" i="6"/>
  <c r="J892" i="6"/>
  <c r="I894" i="6" l="1"/>
  <c r="K893" i="6"/>
  <c r="J893" i="6"/>
  <c r="I895" i="6" l="1"/>
  <c r="K894" i="6"/>
  <c r="J894" i="6"/>
  <c r="I896" i="6" l="1"/>
  <c r="J895" i="6"/>
  <c r="K895" i="6"/>
  <c r="I897" i="6" l="1"/>
  <c r="K896" i="6"/>
  <c r="J896" i="6"/>
  <c r="I898" i="6" l="1"/>
  <c r="J897" i="6"/>
  <c r="K897" i="6"/>
  <c r="I899" i="6" l="1"/>
  <c r="J898" i="6"/>
  <c r="K898" i="6"/>
  <c r="I900" i="6" l="1"/>
  <c r="K899" i="6"/>
  <c r="J899" i="6"/>
  <c r="I901" i="6" l="1"/>
  <c r="J900" i="6"/>
  <c r="K900" i="6"/>
  <c r="I902" i="6" l="1"/>
  <c r="K901" i="6"/>
  <c r="J901" i="6"/>
  <c r="I903" i="6" l="1"/>
  <c r="K902" i="6"/>
  <c r="J902" i="6"/>
  <c r="I904" i="6" l="1"/>
  <c r="K903" i="6"/>
  <c r="J903" i="6"/>
  <c r="I905" i="6" l="1"/>
  <c r="K904" i="6"/>
  <c r="J904" i="6"/>
  <c r="I906" i="6" l="1"/>
  <c r="J905" i="6"/>
  <c r="K905" i="6"/>
  <c r="I907" i="6" l="1"/>
  <c r="J906" i="6"/>
  <c r="K906" i="6"/>
  <c r="I908" i="6" l="1"/>
  <c r="K907" i="6"/>
  <c r="J907" i="6"/>
  <c r="I909" i="6" l="1"/>
  <c r="J908" i="6"/>
  <c r="K908" i="6"/>
  <c r="I910" i="6" l="1"/>
  <c r="K909" i="6"/>
  <c r="J909" i="6"/>
  <c r="I911" i="6" l="1"/>
  <c r="K910" i="6"/>
  <c r="J910" i="6"/>
  <c r="I912" i="6" l="1"/>
  <c r="K911" i="6"/>
  <c r="J911" i="6"/>
  <c r="K912" i="6" l="1"/>
  <c r="J912" i="6"/>
  <c r="I913" i="6"/>
  <c r="I914" i="6" l="1"/>
  <c r="J913" i="6"/>
  <c r="K913" i="6"/>
  <c r="I915" i="6" l="1"/>
  <c r="J914" i="6"/>
  <c r="K914" i="6"/>
  <c r="I916" i="6" l="1"/>
  <c r="J915" i="6"/>
  <c r="K915" i="6"/>
  <c r="K916" i="6" l="1"/>
  <c r="J916" i="6"/>
  <c r="I917" i="6"/>
  <c r="K917" i="6" l="1"/>
  <c r="I918" i="6"/>
  <c r="J917" i="6"/>
  <c r="I919" i="6" l="1"/>
  <c r="J918" i="6"/>
  <c r="K918" i="6"/>
  <c r="I920" i="6" l="1"/>
  <c r="J919" i="6"/>
  <c r="K919" i="6"/>
  <c r="I921" i="6" l="1"/>
  <c r="K920" i="6"/>
  <c r="J920" i="6"/>
  <c r="I922" i="6" l="1"/>
  <c r="K921" i="6"/>
  <c r="J921" i="6"/>
  <c r="I923" i="6" l="1"/>
  <c r="K922" i="6"/>
  <c r="J922" i="6"/>
  <c r="I924" i="6" l="1"/>
  <c r="J923" i="6"/>
  <c r="K923" i="6"/>
  <c r="I925" i="6" l="1"/>
  <c r="J924" i="6"/>
  <c r="K924" i="6"/>
  <c r="I926" i="6" l="1"/>
  <c r="K925" i="6"/>
  <c r="J925" i="6"/>
  <c r="I927" i="6" l="1"/>
  <c r="K926" i="6"/>
  <c r="J926" i="6"/>
  <c r="I928" i="6" l="1"/>
  <c r="K927" i="6"/>
  <c r="J927" i="6"/>
  <c r="I929" i="6" l="1"/>
  <c r="J928" i="6"/>
  <c r="K928" i="6"/>
  <c r="I930" i="6" l="1"/>
  <c r="K929" i="6"/>
  <c r="J929" i="6"/>
  <c r="I931" i="6" l="1"/>
  <c r="J930" i="6"/>
  <c r="K930" i="6"/>
  <c r="I932" i="6" l="1"/>
  <c r="J931" i="6"/>
  <c r="K931" i="6"/>
  <c r="I933" i="6" l="1"/>
  <c r="K932" i="6"/>
  <c r="J932" i="6"/>
  <c r="I934" i="6" l="1"/>
  <c r="K933" i="6"/>
  <c r="J933" i="6"/>
  <c r="I935" i="6" l="1"/>
  <c r="K934" i="6"/>
  <c r="J934" i="6"/>
  <c r="I936" i="6" l="1"/>
  <c r="K935" i="6"/>
  <c r="J935" i="6"/>
  <c r="I937" i="6" l="1"/>
  <c r="J936" i="6"/>
  <c r="K936" i="6"/>
  <c r="I938" i="6" l="1"/>
  <c r="J937" i="6"/>
  <c r="K937" i="6"/>
  <c r="I939" i="6" l="1"/>
  <c r="K938" i="6"/>
  <c r="J938" i="6"/>
  <c r="I940" i="6" l="1"/>
  <c r="J939" i="6"/>
  <c r="K939" i="6"/>
  <c r="I941" i="6" l="1"/>
  <c r="J940" i="6"/>
  <c r="K940" i="6"/>
  <c r="I942" i="6" l="1"/>
  <c r="K941" i="6"/>
  <c r="J941" i="6"/>
  <c r="I943" i="6" l="1"/>
  <c r="K942" i="6"/>
  <c r="J942" i="6"/>
  <c r="I944" i="6" l="1"/>
  <c r="J943" i="6"/>
  <c r="K943" i="6"/>
  <c r="I945" i="6" l="1"/>
  <c r="K944" i="6"/>
  <c r="J944" i="6"/>
  <c r="K945" i="6" l="1"/>
  <c r="J945" i="6"/>
  <c r="I946" i="6"/>
  <c r="K946" i="6" l="1"/>
  <c r="J946" i="6"/>
  <c r="I947" i="6"/>
  <c r="K947" i="6" l="1"/>
  <c r="J947" i="6"/>
  <c r="I948" i="6"/>
  <c r="I949" i="6" l="1"/>
  <c r="K948" i="6"/>
  <c r="J948" i="6"/>
  <c r="I950" i="6" l="1"/>
  <c r="K949" i="6"/>
  <c r="J949" i="6"/>
  <c r="I951" i="6" l="1"/>
  <c r="J950" i="6"/>
  <c r="K950" i="6"/>
  <c r="K951" i="6" l="1"/>
  <c r="I952" i="6"/>
  <c r="J951" i="6"/>
  <c r="I953" i="6" l="1"/>
  <c r="K952" i="6"/>
  <c r="J952" i="6"/>
  <c r="I954" i="6" l="1"/>
  <c r="K953" i="6"/>
  <c r="J953" i="6"/>
  <c r="I955" i="6" l="1"/>
  <c r="K954" i="6"/>
  <c r="J954" i="6"/>
  <c r="J955" i="6" l="1"/>
  <c r="K955" i="6"/>
  <c r="I956" i="6"/>
  <c r="K956" i="6" l="1"/>
  <c r="I957" i="6"/>
  <c r="J956" i="6"/>
  <c r="I958" i="6" l="1"/>
  <c r="K957" i="6"/>
  <c r="J957" i="6"/>
  <c r="I959" i="6" l="1"/>
  <c r="J958" i="6"/>
  <c r="K958" i="6"/>
  <c r="I960" i="6" l="1"/>
  <c r="J959" i="6"/>
  <c r="K959" i="6"/>
  <c r="I961" i="6" l="1"/>
  <c r="K960" i="6"/>
  <c r="J960" i="6"/>
  <c r="I962" i="6" l="1"/>
  <c r="K961" i="6"/>
  <c r="J961" i="6"/>
  <c r="I963" i="6" l="1"/>
  <c r="J962" i="6"/>
  <c r="K962" i="6"/>
  <c r="I964" i="6" l="1"/>
  <c r="K963" i="6"/>
  <c r="J963" i="6"/>
  <c r="I965" i="6" l="1"/>
  <c r="K964" i="6"/>
  <c r="J964" i="6"/>
  <c r="I966" i="6" l="1"/>
  <c r="J965" i="6"/>
  <c r="K965" i="6"/>
  <c r="I967" i="6" l="1"/>
  <c r="K966" i="6"/>
  <c r="J966" i="6"/>
  <c r="I968" i="6" l="1"/>
  <c r="K967" i="6"/>
  <c r="J967" i="6"/>
  <c r="I969" i="6" l="1"/>
  <c r="K968" i="6"/>
  <c r="J968" i="6"/>
  <c r="I970" i="6" l="1"/>
  <c r="J969" i="6"/>
  <c r="K969" i="6"/>
  <c r="I971" i="6" l="1"/>
  <c r="K970" i="6"/>
  <c r="J970" i="6"/>
  <c r="K971" i="6" l="1"/>
  <c r="J971" i="6"/>
  <c r="I972" i="6"/>
  <c r="K972" i="6" l="1"/>
  <c r="J972" i="6"/>
  <c r="I973" i="6"/>
  <c r="I974" i="6" l="1"/>
  <c r="K973" i="6"/>
  <c r="J973" i="6"/>
  <c r="I975" i="6" l="1"/>
  <c r="K974" i="6"/>
  <c r="J974" i="6"/>
  <c r="I976" i="6" l="1"/>
  <c r="K975" i="6"/>
  <c r="J975" i="6"/>
  <c r="J976" i="6" l="1"/>
  <c r="I977" i="6"/>
  <c r="K976" i="6"/>
  <c r="I978" i="6" l="1"/>
  <c r="J977" i="6"/>
  <c r="K977" i="6"/>
  <c r="I979" i="6" l="1"/>
  <c r="K978" i="6"/>
  <c r="J978" i="6"/>
  <c r="I980" i="6" l="1"/>
  <c r="K979" i="6"/>
  <c r="J979" i="6"/>
  <c r="I981" i="6" l="1"/>
  <c r="J980" i="6"/>
  <c r="K980" i="6"/>
  <c r="I982" i="6" l="1"/>
  <c r="J981" i="6"/>
  <c r="K981" i="6"/>
  <c r="I983" i="6" l="1"/>
  <c r="K982" i="6"/>
  <c r="J982" i="6"/>
  <c r="I984" i="6" l="1"/>
  <c r="K983" i="6"/>
  <c r="J983" i="6"/>
  <c r="I985" i="6" l="1"/>
  <c r="J984" i="6"/>
  <c r="K984" i="6"/>
  <c r="I986" i="6" l="1"/>
  <c r="J985" i="6"/>
  <c r="K985" i="6"/>
  <c r="I987" i="6" l="1"/>
  <c r="J986" i="6"/>
  <c r="K986" i="6"/>
  <c r="I988" i="6" l="1"/>
  <c r="K987" i="6"/>
  <c r="J987" i="6"/>
  <c r="I989" i="6" l="1"/>
  <c r="K988" i="6"/>
  <c r="J988" i="6"/>
  <c r="I990" i="6" l="1"/>
  <c r="K989" i="6"/>
  <c r="J989" i="6"/>
  <c r="I991" i="6" l="1"/>
  <c r="K990" i="6"/>
  <c r="J990" i="6"/>
  <c r="I992" i="6" l="1"/>
  <c r="J991" i="6"/>
  <c r="K991" i="6"/>
  <c r="I993" i="6" l="1"/>
  <c r="J992" i="6"/>
  <c r="K992" i="6"/>
  <c r="I994" i="6" l="1"/>
  <c r="J993" i="6"/>
  <c r="K993" i="6"/>
  <c r="I995" i="6" l="1"/>
  <c r="J994" i="6"/>
  <c r="K994" i="6"/>
  <c r="I996" i="6" l="1"/>
  <c r="J995" i="6"/>
  <c r="K995" i="6"/>
  <c r="I997" i="6" l="1"/>
  <c r="J996" i="6"/>
  <c r="K996" i="6"/>
  <c r="I998" i="6" l="1"/>
  <c r="J997" i="6"/>
  <c r="K997" i="6"/>
  <c r="I999" i="6" l="1"/>
  <c r="K998" i="6"/>
  <c r="J998" i="6"/>
  <c r="I1000" i="6" l="1"/>
  <c r="K999" i="6"/>
  <c r="J999" i="6"/>
  <c r="I1001" i="6" l="1"/>
  <c r="K1000" i="6"/>
  <c r="J1000" i="6"/>
  <c r="I1002" i="6" l="1"/>
  <c r="J1001" i="6"/>
  <c r="K1001" i="6"/>
  <c r="I1003" i="6" l="1"/>
  <c r="J1002" i="6"/>
  <c r="K1002" i="6"/>
  <c r="I1004" i="6" l="1"/>
  <c r="J1003" i="6"/>
  <c r="K1003" i="6"/>
  <c r="I1005" i="6" l="1"/>
  <c r="K1004" i="6"/>
  <c r="J1004" i="6"/>
  <c r="I1006" i="6" l="1"/>
  <c r="K1005" i="6"/>
  <c r="J1005" i="6"/>
  <c r="I1007" i="6" l="1"/>
  <c r="K1006" i="6"/>
  <c r="J1006" i="6"/>
  <c r="I1008" i="6" l="1"/>
  <c r="K1007" i="6"/>
  <c r="J1007" i="6"/>
  <c r="I1009" i="6" l="1"/>
  <c r="J1008" i="6"/>
  <c r="K1008" i="6"/>
  <c r="I1010" i="6" l="1"/>
  <c r="K1009" i="6"/>
  <c r="J1009" i="6"/>
  <c r="I1011" i="6" l="1"/>
  <c r="J1010" i="6"/>
  <c r="K1010" i="6"/>
  <c r="I1012" i="6" l="1"/>
  <c r="J1011" i="6"/>
  <c r="K1011" i="6"/>
  <c r="K1012" i="6" l="1"/>
  <c r="J1012" i="6"/>
</calcChain>
</file>

<file path=xl/sharedStrings.xml><?xml version="1.0" encoding="utf-8"?>
<sst xmlns="http://schemas.openxmlformats.org/spreadsheetml/2006/main" count="108" uniqueCount="65">
  <si>
    <t>MMSTB</t>
  </si>
  <si>
    <t>EUR</t>
  </si>
  <si>
    <t>Pi</t>
  </si>
  <si>
    <t>psia</t>
  </si>
  <si>
    <t>%</t>
  </si>
  <si>
    <t>%EUR</t>
  </si>
  <si>
    <t>GOR/Rsi</t>
  </si>
  <si>
    <t>WCUT</t>
  </si>
  <si>
    <t>GOR</t>
  </si>
  <si>
    <t>Pr/Pi</t>
  </si>
  <si>
    <t>:</t>
  </si>
  <si>
    <t>FIELD</t>
  </si>
  <si>
    <t>RESERVOIR</t>
  </si>
  <si>
    <t>Cum. Np</t>
  </si>
  <si>
    <t>Qo</t>
  </si>
  <si>
    <t>STB/d</t>
  </si>
  <si>
    <t>MSTB</t>
  </si>
  <si>
    <t>day</t>
  </si>
  <si>
    <t>No of day</t>
  </si>
  <si>
    <t>month</t>
  </si>
  <si>
    <t>scf/stb</t>
  </si>
  <si>
    <t>End of Incline Period</t>
  </si>
  <si>
    <t>Initial Incline Rate</t>
  </si>
  <si>
    <t>Incline Factor</t>
  </si>
  <si>
    <t>Plateau Rate</t>
  </si>
  <si>
    <t>Initial Decline Rate</t>
  </si>
  <si>
    <t>Decline Factor</t>
  </si>
  <si>
    <t>Oil Rate</t>
  </si>
  <si>
    <t>Start of Decline Period</t>
  </si>
  <si>
    <t>Rsi</t>
  </si>
  <si>
    <t>Cum days</t>
  </si>
  <si>
    <t>Cum mo</t>
  </si>
  <si>
    <t>Cum yr</t>
  </si>
  <si>
    <t>yr</t>
  </si>
  <si>
    <t>Pres</t>
  </si>
  <si>
    <t>INITIAL PRESSURE (PSIA)</t>
  </si>
  <si>
    <t>INITIAL SOL GOR (SCF/STB)</t>
  </si>
  <si>
    <t>End of Plateau Period</t>
  </si>
  <si>
    <t>Type Curves</t>
  </si>
  <si>
    <t>PRES</t>
  </si>
  <si>
    <t>Type Curves (vs. %EUR)</t>
  </si>
  <si>
    <t>OIL RATE AT ABANDONMENT (STB/d)</t>
  </si>
  <si>
    <t>Qo abd</t>
  </si>
  <si>
    <t>ABANDONMENT PRESSURE (PSIA)</t>
  </si>
  <si>
    <t>Pabd</t>
  </si>
  <si>
    <t>Lookup table for abd</t>
  </si>
  <si>
    <t>GOR LIMIT (SCF/STB)</t>
  </si>
  <si>
    <t>WCUT LIMIT (%)</t>
  </si>
  <si>
    <t>DOWNTIME (%)</t>
  </si>
  <si>
    <t>Downtime</t>
  </si>
  <si>
    <t>EST. ULTIMATE RECOVERY (MMSTB)</t>
  </si>
  <si>
    <t>Qg</t>
  </si>
  <si>
    <t>Qw</t>
  </si>
  <si>
    <t>MMscf/d</t>
  </si>
  <si>
    <r>
      <rPr>
        <b/>
        <sz val="11"/>
        <color rgb="FFFF0000"/>
        <rFont val="Calibri"/>
        <family val="2"/>
      </rPr>
      <t>©</t>
    </r>
    <r>
      <rPr>
        <b/>
        <i/>
        <sz val="11"/>
        <color rgb="FFFF0000"/>
        <rFont val="Calibri"/>
        <family val="2"/>
        <scheme val="minor"/>
      </rPr>
      <t xml:space="preserve">Property of Energy Quest Sdn Bhd. 2019. </t>
    </r>
  </si>
  <si>
    <t>For Internal Use Only</t>
  </si>
  <si>
    <t>FIELD DATA</t>
  </si>
  <si>
    <t>TYPE CURVE GENERATOR</t>
  </si>
  <si>
    <t>RESERVOIR PARAMATERS</t>
  </si>
  <si>
    <t>RUN FORECAST</t>
  </si>
  <si>
    <t>OIL RATE AND CUMULATIVE OIL PRODUCED</t>
  </si>
  <si>
    <t>WATER RATE AND WATERCUT</t>
  </si>
  <si>
    <t>GAS RATE AND GAS OIL RATIO</t>
  </si>
  <si>
    <t>PRESSURE</t>
  </si>
  <si>
    <t>AIMS WORKFLOW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</si>
</sst>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6" formatCode="&quot;$&quot;#,##0_);[Red]\(&quot;$&quot;#,##0\)"/>
    <numFmt numFmtId="8" formatCode="&quot;$&quot;#,##0.00_);[Red]\(&quot;$&quot;#,##0.00\)"/>
    <numFmt numFmtId="42" formatCode="_(&quot;$&quot;* #,##0_);_(&quot;$&quot;* \(#,##0\);_(&quot;$&quot;* &quot;-&quot;_);_(@_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0.000"/>
    <numFmt numFmtId="166" formatCode="_-* #,##0_-;\-* #,##0_-;_-* &quot;-&quot;_-;_-@_-"/>
    <numFmt numFmtId="167" formatCode="_-* #,##0.00_-;\-* #,##0.00_-;_-* &quot;-&quot;??_-;_-@_-"/>
    <numFmt numFmtId="168" formatCode="General_)"/>
    <numFmt numFmtId="169" formatCode="0.00_)"/>
    <numFmt numFmtId="170" formatCode="_-&quot;$&quot;* #,##0_-;\-&quot;$&quot;* #,##0_-;_-&quot;$&quot;* &quot;-&quot;_-;_-@_-"/>
    <numFmt numFmtId="171" formatCode="_-&quot;$&quot;* #,##0.00_-;\-&quot;$&quot;* #,##0.00_-;_-&quot;$&quot;* &quot;-&quot;??_-;_-@_-"/>
    <numFmt numFmtId="172" formatCode="_-[$€-2]* #,##0.00_-;\-[$€-2]* #,##0.00_-;_-[$€-2]* &quot;-&quot;??_-"/>
    <numFmt numFmtId="173" formatCode="0.000_)"/>
    <numFmt numFmtId="174" formatCode="_-* #,##0\ &quot;$&quot;_-;\-* #,##0\ &quot;$&quot;_-;_-* &quot;-&quot;\ &quot;$&quot;_-;_-@_-"/>
    <numFmt numFmtId="175" formatCode="_-* #,##0\ _$_-;\-* #,##0\ _$_-;_-* &quot;-&quot;\ _$_-;_-@_-"/>
    <numFmt numFmtId="176" formatCode="_-* #,##0.00\ &quot;$&quot;_-;\-* #,##0.00\ &quot;$&quot;_-;_-* &quot;-&quot;??\ &quot;$&quot;_-;_-@_-"/>
    <numFmt numFmtId="177" formatCode="#,##0.00_);\(#,##0.00\);&quot;- &quot;"/>
    <numFmt numFmtId="178" formatCode="_(&quot;$&quot;* #,##0.00_);_(&quot;$&quot;* \(#,##0.00\);_(&quot;$&quot;* &quot;-&quot;_);_(@_)"/>
  </numFmts>
  <fonts count="43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b/>
      <sz val="11"/>
      <color rgb="FFFF0000"/>
      <name val="Calibri"/>
      <family val="2"/>
    </font>
    <font>
      <b/>
      <sz val="16"/>
      <color rgb="FF000000"/>
      <name val="Calibri"/>
      <family val="2"/>
    </font>
    <font>
      <b/>
      <sz val="16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Helvetica"/>
    </font>
    <font>
      <sz val="10"/>
      <name val="MS Sans Serif"/>
    </font>
    <font>
      <sz val="10"/>
      <color indexed="8"/>
      <name val="Arial"/>
      <family val="2"/>
    </font>
    <font>
      <sz val="10"/>
      <name val="Arial"/>
      <family val="2"/>
    </font>
    <font>
      <sz val="9"/>
      <name val="Arial"/>
      <family val="2"/>
    </font>
    <font>
      <sz val="10"/>
      <name val="Arabic Transparent"/>
    </font>
    <font>
      <sz val="8"/>
      <name val="Tms Rmn"/>
    </font>
    <font>
      <b/>
      <i/>
      <sz val="16"/>
      <name val="Helv"/>
    </font>
    <font>
      <sz val="8"/>
      <name val="Arial"/>
      <family val="2"/>
    </font>
    <font>
      <sz val="6"/>
      <name val="Arial"/>
      <family val="2"/>
    </font>
    <font>
      <b/>
      <sz val="8"/>
      <name val="Tahoma"/>
      <family val="2"/>
    </font>
    <font>
      <sz val="12"/>
      <name val="新細明體"/>
      <charset val="136"/>
    </font>
    <font>
      <sz val="11"/>
      <color indexed="8"/>
      <name val="Calibri"/>
      <family val="2"/>
    </font>
    <font>
      <sz val="10"/>
      <color indexed="8"/>
      <name val="Times New Roman"/>
      <family val="1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name val="Tms Rmn"/>
      <family val="1"/>
    </font>
    <font>
      <b/>
      <sz val="10"/>
      <name val="Times New Roman"/>
      <family val="1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1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30">
    <border>
      <left/>
      <right/>
      <top/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8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93">
    <xf numFmtId="0" fontId="0" fillId="0" borderId="0"/>
    <xf numFmtId="0" fontId="9" fillId="0" borderId="0"/>
    <xf numFmtId="8" fontId="10" fillId="0" borderId="0" applyFont="0" applyFill="0" applyBorder="0" applyAlignment="0" applyProtection="0"/>
    <xf numFmtId="0" fontId="21" fillId="10" borderId="0" applyNumberFormat="0" applyBorder="0" applyAlignment="0" applyProtection="0"/>
    <xf numFmtId="0" fontId="21" fillId="11" borderId="0" applyNumberFormat="0" applyBorder="0" applyAlignment="0" applyProtection="0"/>
    <xf numFmtId="0" fontId="21" fillId="12" borderId="0" applyNumberFormat="0" applyBorder="0" applyAlignment="0" applyProtection="0"/>
    <xf numFmtId="0" fontId="21" fillId="13" borderId="0" applyNumberFormat="0" applyBorder="0" applyAlignment="0" applyProtection="0"/>
    <xf numFmtId="0" fontId="21" fillId="14" borderId="0" applyNumberFormat="0" applyBorder="0" applyAlignment="0" applyProtection="0"/>
    <xf numFmtId="0" fontId="21" fillId="15" borderId="0" applyNumberFormat="0" applyBorder="0" applyAlignment="0" applyProtection="0"/>
    <xf numFmtId="177" fontId="22" fillId="0" borderId="0" applyProtection="0">
      <protection locked="0"/>
    </xf>
    <xf numFmtId="0" fontId="21" fillId="16" borderId="0" applyNumberFormat="0" applyBorder="0" applyAlignment="0" applyProtection="0"/>
    <xf numFmtId="0" fontId="21" fillId="17" borderId="0" applyNumberFormat="0" applyBorder="0" applyAlignment="0" applyProtection="0"/>
    <xf numFmtId="0" fontId="21" fillId="18" borderId="0" applyNumberFormat="0" applyBorder="0" applyAlignment="0" applyProtection="0"/>
    <xf numFmtId="0" fontId="21" fillId="13" borderId="0" applyNumberFormat="0" applyBorder="0" applyAlignment="0" applyProtection="0"/>
    <xf numFmtId="0" fontId="21" fillId="16" borderId="0" applyNumberFormat="0" applyBorder="0" applyAlignment="0" applyProtection="0"/>
    <xf numFmtId="0" fontId="21" fillId="19" borderId="0" applyNumberFormat="0" applyBorder="0" applyAlignment="0" applyProtection="0"/>
    <xf numFmtId="0" fontId="23" fillId="20" borderId="0" applyNumberFormat="0" applyBorder="0" applyAlignment="0" applyProtection="0"/>
    <xf numFmtId="0" fontId="23" fillId="17" borderId="0" applyNumberFormat="0" applyBorder="0" applyAlignment="0" applyProtection="0"/>
    <xf numFmtId="0" fontId="23" fillId="18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3" borderId="0" applyNumberFormat="0" applyBorder="0" applyAlignment="0" applyProtection="0"/>
    <xf numFmtId="0" fontId="23" fillId="24" borderId="0" applyNumberFormat="0" applyBorder="0" applyAlignment="0" applyProtection="0"/>
    <xf numFmtId="0" fontId="23" fillId="25" borderId="0" applyNumberFormat="0" applyBorder="0" applyAlignment="0" applyProtection="0"/>
    <xf numFmtId="0" fontId="23" fillId="26" borderId="0" applyNumberFormat="0" applyBorder="0" applyAlignment="0" applyProtection="0"/>
    <xf numFmtId="0" fontId="23" fillId="21" borderId="0" applyNumberFormat="0" applyBorder="0" applyAlignment="0" applyProtection="0"/>
    <xf numFmtId="0" fontId="23" fillId="22" borderId="0" applyNumberFormat="0" applyBorder="0" applyAlignment="0" applyProtection="0"/>
    <xf numFmtId="0" fontId="23" fillId="27" borderId="0" applyNumberFormat="0" applyBorder="0" applyAlignment="0" applyProtection="0"/>
    <xf numFmtId="6" fontId="10" fillId="0" borderId="0" applyFont="0" applyFill="0" applyBorder="0" applyAlignment="0" applyProtection="0"/>
    <xf numFmtId="2" fontId="13" fillId="0" borderId="0">
      <alignment vertical="center"/>
    </xf>
    <xf numFmtId="0" fontId="24" fillId="11" borderId="0" applyNumberFormat="0" applyBorder="0" applyAlignment="0" applyProtection="0"/>
    <xf numFmtId="0" fontId="10" fillId="0" borderId="0"/>
    <xf numFmtId="0" fontId="25" fillId="28" borderId="18" applyNumberFormat="0" applyAlignment="0" applyProtection="0"/>
    <xf numFmtId="0" fontId="26" fillId="29" borderId="19" applyNumberFormat="0" applyAlignment="0" applyProtection="0"/>
    <xf numFmtId="167" fontId="9" fillId="0" borderId="0" applyFont="0" applyFill="0" applyBorder="0" applyAlignment="0" applyProtection="0"/>
    <xf numFmtId="173" fontId="27" fillId="0" borderId="0"/>
    <xf numFmtId="173" fontId="27" fillId="0" borderId="0"/>
    <xf numFmtId="173" fontId="27" fillId="0" borderId="0"/>
    <xf numFmtId="173" fontId="27" fillId="0" borderId="0"/>
    <xf numFmtId="173" fontId="27" fillId="0" borderId="0"/>
    <xf numFmtId="173" fontId="27" fillId="0" borderId="0"/>
    <xf numFmtId="173" fontId="27" fillId="0" borderId="0"/>
    <xf numFmtId="173" fontId="27" fillId="0" borderId="0"/>
    <xf numFmtId="42" fontId="28" fillId="0" borderId="20" applyBorder="0"/>
    <xf numFmtId="178" fontId="22" fillId="0" borderId="0">
      <protection locked="0"/>
    </xf>
    <xf numFmtId="2" fontId="12" fillId="0" borderId="0"/>
    <xf numFmtId="172" fontId="12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12" borderId="0" applyNumberFormat="0" applyBorder="0" applyAlignment="0" applyProtection="0"/>
    <xf numFmtId="38" fontId="17" fillId="30" borderId="0" applyNumberFormat="0" applyBorder="0" applyAlignment="0" applyProtection="0"/>
    <xf numFmtId="0" fontId="31" fillId="0" borderId="21" applyNumberFormat="0" applyFill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3" fillId="0" borderId="0" applyNumberFormat="0" applyFill="0" applyBorder="0" applyAlignment="0" applyProtection="0"/>
    <xf numFmtId="0" fontId="34" fillId="15" borderId="18" applyNumberFormat="0" applyAlignment="0" applyProtection="0"/>
    <xf numFmtId="10" fontId="17" fillId="31" borderId="16" applyNumberFormat="0" applyBorder="0" applyAlignment="0" applyProtection="0"/>
    <xf numFmtId="0" fontId="35" fillId="0" borderId="24" applyNumberFormat="0" applyFill="0" applyAlignment="0" applyProtection="0"/>
    <xf numFmtId="166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43" fontId="12" fillId="0" borderId="0" applyFont="0" applyFill="0" applyBorder="0" applyAlignment="0" applyProtection="0"/>
    <xf numFmtId="175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42" fontId="12" fillId="0" borderId="0" applyFont="0" applyFill="0" applyBorder="0" applyAlignment="0" applyProtection="0"/>
    <xf numFmtId="44" fontId="12" fillId="0" borderId="0" applyFont="0" applyFill="0" applyBorder="0" applyAlignment="0" applyProtection="0"/>
    <xf numFmtId="174" fontId="12" fillId="0" borderId="0" applyFont="0" applyFill="0" applyBorder="0" applyAlignment="0" applyProtection="0"/>
    <xf numFmtId="176" fontId="12" fillId="0" borderId="0" applyFont="0" applyFill="0" applyBorder="0" applyAlignment="0" applyProtection="0"/>
    <xf numFmtId="0" fontId="14" fillId="0" borderId="0" applyNumberFormat="0">
      <alignment horizontal="right"/>
    </xf>
    <xf numFmtId="0" fontId="36" fillId="32" borderId="0" applyNumberFormat="0" applyBorder="0" applyAlignment="0" applyProtection="0"/>
    <xf numFmtId="37" fontId="37" fillId="0" borderId="0"/>
    <xf numFmtId="168" fontId="15" fillId="0" borderId="9" applyNumberFormat="0" applyFill="0" applyAlignment="0">
      <alignment horizontal="left"/>
    </xf>
    <xf numFmtId="169" fontId="16" fillId="0" borderId="0"/>
    <xf numFmtId="0" fontId="12" fillId="33" borderId="25" applyNumberFormat="0" applyFont="0" applyAlignment="0" applyProtection="0"/>
    <xf numFmtId="43" fontId="12" fillId="0" borderId="0" applyFont="0" applyFill="0" applyBorder="0" applyAlignment="0" applyProtection="0"/>
    <xf numFmtId="41" fontId="12" fillId="0" borderId="0" applyFont="0" applyFill="0" applyBorder="0" applyAlignment="0" applyProtection="0"/>
    <xf numFmtId="0" fontId="38" fillId="28" borderId="26" applyNumberFormat="0" applyAlignment="0" applyProtection="0"/>
    <xf numFmtId="10" fontId="12" fillId="0" borderId="0" applyFont="0" applyFill="0" applyBorder="0" applyAlignment="0" applyProtection="0"/>
    <xf numFmtId="0" fontId="17" fillId="0" borderId="27">
      <alignment horizontal="centerContinuous" vertical="center"/>
    </xf>
    <xf numFmtId="49" fontId="17" fillId="0" borderId="28" applyBorder="0">
      <alignment horizontal="centerContinuous" vertical="center"/>
      <protection locked="0"/>
    </xf>
    <xf numFmtId="0" fontId="18" fillId="0" borderId="0" applyNumberFormat="0" applyFill="0" applyBorder="0" applyAlignment="0"/>
    <xf numFmtId="0" fontId="11" fillId="0" borderId="17">
      <alignment horizontal="justify" vertical="top" wrapText="1"/>
    </xf>
    <xf numFmtId="49" fontId="19" fillId="0" borderId="26" applyFill="0" applyProtection="0">
      <alignment horizontal="center" vertical="center" wrapText="1"/>
    </xf>
    <xf numFmtId="0" fontId="39" fillId="0" borderId="0" applyNumberFormat="0" applyFill="0" applyBorder="0" applyAlignment="0" applyProtection="0"/>
    <xf numFmtId="0" fontId="40" fillId="0" borderId="29" applyNumberFormat="0" applyFill="0" applyAlignment="0" applyProtection="0"/>
    <xf numFmtId="8" fontId="10" fillId="0" borderId="0" applyFont="0" applyFill="0" applyBorder="0" applyAlignment="0" applyProtection="0"/>
    <xf numFmtId="0" fontId="41" fillId="0" borderId="0" applyNumberFormat="0" applyFill="0" applyBorder="0" applyAlignment="0" applyProtection="0"/>
    <xf numFmtId="0" fontId="20" fillId="0" borderId="0"/>
    <xf numFmtId="166" fontId="20" fillId="0" borderId="0" applyFont="0" applyFill="0" applyBorder="0" applyAlignment="0" applyProtection="0"/>
    <xf numFmtId="167" fontId="20" fillId="0" borderId="0" applyFont="0" applyFill="0" applyBorder="0" applyAlignment="0" applyProtection="0"/>
    <xf numFmtId="0" fontId="12" fillId="0" borderId="0"/>
    <xf numFmtId="170" fontId="20" fillId="0" borderId="0" applyFont="0" applyFill="0" applyBorder="0" applyAlignment="0" applyProtection="0"/>
    <xf numFmtId="171" fontId="20" fillId="0" borderId="0" applyFont="0" applyFill="0" applyBorder="0" applyAlignment="0" applyProtection="0"/>
    <xf numFmtId="0" fontId="8" fillId="0" borderId="0"/>
    <xf numFmtId="0" fontId="42" fillId="0" borderId="0"/>
  </cellStyleXfs>
  <cellXfs count="75">
    <xf numFmtId="0" fontId="0" fillId="0" borderId="0" xfId="0"/>
    <xf numFmtId="1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2" borderId="0" xfId="0" applyFill="1"/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0" xfId="0" applyFill="1" applyBorder="1"/>
    <xf numFmtId="0" fontId="3" fillId="2" borderId="0" xfId="0" applyFont="1" applyFill="1" applyBorder="1"/>
    <xf numFmtId="0" fontId="2" fillId="2" borderId="0" xfId="0" applyFont="1" applyFill="1" applyBorder="1"/>
    <xf numFmtId="0" fontId="3" fillId="2" borderId="3" xfId="0" applyFont="1" applyFill="1" applyBorder="1"/>
    <xf numFmtId="0" fontId="3" fillId="2" borderId="4" xfId="0" applyFont="1" applyFill="1" applyBorder="1"/>
    <xf numFmtId="0" fontId="2" fillId="2" borderId="4" xfId="0" applyFont="1" applyFill="1" applyBorder="1"/>
    <xf numFmtId="0" fontId="0" fillId="2" borderId="6" xfId="0" applyFill="1" applyBorder="1"/>
    <xf numFmtId="0" fontId="0" fillId="2" borderId="7" xfId="0" applyFill="1" applyBorder="1"/>
    <xf numFmtId="0" fontId="3" fillId="2" borderId="8" xfId="0" applyFont="1" applyFill="1" applyBorder="1"/>
    <xf numFmtId="0" fontId="0" fillId="2" borderId="9" xfId="0" applyFill="1" applyBorder="1"/>
    <xf numFmtId="0" fontId="3" fillId="2" borderId="6" xfId="0" applyFont="1" applyFill="1" applyBorder="1"/>
    <xf numFmtId="0" fontId="0" fillId="2" borderId="5" xfId="0" applyFill="1" applyBorder="1"/>
    <xf numFmtId="0" fontId="0" fillId="2" borderId="10" xfId="0" applyFill="1" applyBorder="1"/>
    <xf numFmtId="0" fontId="0" fillId="8" borderId="0" xfId="0" applyFill="1"/>
    <xf numFmtId="0" fontId="0" fillId="8" borderId="0" xfId="0" applyFill="1" applyBorder="1"/>
    <xf numFmtId="0" fontId="3" fillId="8" borderId="0" xfId="0" applyFont="1" applyFill="1" applyAlignment="1">
      <alignment horizontal="center" vertical="center"/>
    </xf>
    <xf numFmtId="0" fontId="3" fillId="8" borderId="0" xfId="0" applyFont="1" applyFill="1" applyBorder="1" applyAlignment="1">
      <alignment horizontal="center" vertical="center"/>
    </xf>
    <xf numFmtId="0" fontId="1" fillId="8" borderId="0" xfId="0" applyFont="1" applyFill="1" applyAlignment="1">
      <alignment horizontal="left"/>
    </xf>
    <xf numFmtId="0" fontId="0" fillId="8" borderId="0" xfId="0" applyFont="1" applyFill="1"/>
    <xf numFmtId="0" fontId="0" fillId="8" borderId="0" xfId="0" applyFont="1" applyFill="1" applyBorder="1" applyAlignment="1"/>
    <xf numFmtId="1" fontId="1" fillId="8" borderId="0" xfId="0" applyNumberFormat="1" applyFont="1" applyFill="1" applyBorder="1" applyAlignment="1">
      <alignment horizontal="center"/>
    </xf>
    <xf numFmtId="0" fontId="0" fillId="9" borderId="0" xfId="0" applyFill="1" applyBorder="1"/>
    <xf numFmtId="0" fontId="4" fillId="8" borderId="0" xfId="0" applyFont="1" applyFill="1" applyBorder="1"/>
    <xf numFmtId="0" fontId="0" fillId="9" borderId="0" xfId="0" applyFill="1"/>
    <xf numFmtId="165" fontId="0" fillId="0" borderId="0" xfId="0" applyNumberFormat="1" applyAlignment="1">
      <alignment horizontal="center" vertical="center"/>
    </xf>
    <xf numFmtId="0" fontId="0" fillId="2" borderId="11" xfId="0" applyFill="1" applyBorder="1" applyProtection="1">
      <protection locked="0"/>
    </xf>
    <xf numFmtId="0" fontId="3" fillId="2" borderId="12" xfId="0" applyFont="1" applyFill="1" applyBorder="1" applyProtection="1">
      <protection locked="0"/>
    </xf>
    <xf numFmtId="0" fontId="3" fillId="2" borderId="13" xfId="0" applyFont="1" applyFill="1" applyBorder="1" applyProtection="1">
      <protection locked="0"/>
    </xf>
    <xf numFmtId="0" fontId="3" fillId="8" borderId="0" xfId="0" applyFont="1" applyFill="1" applyBorder="1"/>
    <xf numFmtId="0" fontId="2" fillId="8" borderId="0" xfId="0" applyFont="1" applyFill="1" applyBorder="1"/>
    <xf numFmtId="0" fontId="2" fillId="8" borderId="0" xfId="0" applyFont="1" applyFill="1" applyBorder="1" applyAlignment="1"/>
    <xf numFmtId="0" fontId="0" fillId="8" borderId="6" xfId="0" applyFill="1" applyBorder="1"/>
    <xf numFmtId="0" fontId="0" fillId="8" borderId="7" xfId="0" applyFill="1" applyBorder="1"/>
    <xf numFmtId="0" fontId="0" fillId="8" borderId="8" xfId="0" applyFill="1" applyBorder="1"/>
    <xf numFmtId="0" fontId="0" fillId="8" borderId="9" xfId="0" applyFill="1" applyBorder="1"/>
    <xf numFmtId="0" fontId="0" fillId="8" borderId="10" xfId="0" applyFill="1" applyBorder="1"/>
    <xf numFmtId="0" fontId="0" fillId="9" borderId="3" xfId="0" applyFill="1" applyBorder="1"/>
    <xf numFmtId="0" fontId="0" fillId="9" borderId="5" xfId="0" applyFill="1" applyBorder="1"/>
    <xf numFmtId="0" fontId="1" fillId="8" borderId="0" xfId="0" applyFont="1" applyFill="1" applyBorder="1" applyAlignment="1">
      <alignment horizontal="center"/>
    </xf>
    <xf numFmtId="0" fontId="0" fillId="8" borderId="0" xfId="0" applyFont="1" applyFill="1" applyBorder="1" applyAlignment="1"/>
    <xf numFmtId="2" fontId="1" fillId="3" borderId="14" xfId="0" applyNumberFormat="1" applyFont="1" applyFill="1" applyBorder="1" applyAlignment="1">
      <alignment horizontal="center" vertical="center"/>
    </xf>
    <xf numFmtId="2" fontId="1" fillId="3" borderId="15" xfId="0" applyNumberFormat="1" applyFont="1" applyFill="1" applyBorder="1" applyAlignment="1">
      <alignment horizontal="center" vertical="center"/>
    </xf>
    <xf numFmtId="2" fontId="1" fillId="4" borderId="14" xfId="0" applyNumberFormat="1" applyFont="1" applyFill="1" applyBorder="1" applyAlignment="1">
      <alignment horizontal="center" vertical="center"/>
    </xf>
    <xf numFmtId="2" fontId="1" fillId="4" borderId="15" xfId="0" applyNumberFormat="1" applyFont="1" applyFill="1" applyBorder="1" applyAlignment="1">
      <alignment horizontal="center" vertical="center"/>
    </xf>
    <xf numFmtId="2" fontId="1" fillId="6" borderId="14" xfId="0" applyNumberFormat="1" applyFont="1" applyFill="1" applyBorder="1" applyAlignment="1">
      <alignment horizontal="center" vertical="center"/>
    </xf>
    <xf numFmtId="2" fontId="1" fillId="6" borderId="15" xfId="0" applyNumberFormat="1" applyFont="1" applyFill="1" applyBorder="1" applyAlignment="1">
      <alignment horizontal="center" vertical="center"/>
    </xf>
    <xf numFmtId="2" fontId="1" fillId="5" borderId="14" xfId="0" applyNumberFormat="1" applyFont="1" applyFill="1" applyBorder="1" applyAlignment="1">
      <alignment horizontal="center" vertical="center"/>
    </xf>
    <xf numFmtId="2" fontId="1" fillId="5" borderId="15" xfId="0" applyNumberFormat="1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center"/>
    </xf>
    <xf numFmtId="0" fontId="7" fillId="9" borderId="4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/>
    </xf>
    <xf numFmtId="1" fontId="1" fillId="7" borderId="2" xfId="0" applyNumberFormat="1" applyFont="1" applyFill="1" applyBorder="1" applyAlignment="1" applyProtection="1">
      <alignment horizontal="center"/>
      <protection locked="0"/>
    </xf>
    <xf numFmtId="0" fontId="0" fillId="7" borderId="2" xfId="0" applyFont="1" applyFill="1" applyBorder="1" applyAlignment="1" applyProtection="1">
      <protection locked="0"/>
    </xf>
    <xf numFmtId="2" fontId="1" fillId="7" borderId="2" xfId="0" applyNumberFormat="1" applyFont="1" applyFill="1" applyBorder="1" applyAlignment="1" applyProtection="1">
      <alignment horizontal="center"/>
      <protection locked="0"/>
    </xf>
    <xf numFmtId="2" fontId="0" fillId="7" borderId="2" xfId="0" applyNumberFormat="1" applyFont="1" applyFill="1" applyBorder="1" applyAlignment="1" applyProtection="1">
      <protection locked="0"/>
    </xf>
    <xf numFmtId="0" fontId="1" fillId="7" borderId="2" xfId="0" applyFont="1" applyFill="1" applyBorder="1" applyAlignment="1" applyProtection="1">
      <alignment horizontal="center"/>
      <protection locked="0"/>
    </xf>
  </cellXfs>
  <cellStyles count="93">
    <cellStyle name="_x0002_" xfId="83" xr:uid="{CC5E9418-95B7-4781-A100-5FE38C1B02DF}"/>
    <cellStyle name="20% - Accent1 2" xfId="3" xr:uid="{14D1055E-CDE8-4ED4-890D-06A54420397F}"/>
    <cellStyle name="20% - Accent2 2" xfId="4" xr:uid="{C0015014-66E0-48BC-A72F-A1DEFC33DF5D}"/>
    <cellStyle name="20% - Accent3 2" xfId="5" xr:uid="{B302AC5D-C1C4-4069-820B-5643E3ADEA1A}"/>
    <cellStyle name="20% - Accent4 2" xfId="6" xr:uid="{1B98506E-0837-40E5-8DA1-D5120C66C0CA}"/>
    <cellStyle name="20% - Accent5 2" xfId="7" xr:uid="{98AB4DAF-E7AD-4C43-9A1B-048A6FFC4408}"/>
    <cellStyle name="20% - Accent6 2" xfId="8" xr:uid="{633514E1-B30B-4F09-AC91-623E5A7BCE90}"/>
    <cellStyle name="2decimal" xfId="9" xr:uid="{24421625-5A47-4B22-9D2C-0D5BAAE905C0}"/>
    <cellStyle name="40% - Accent1 2" xfId="10" xr:uid="{376AEEDA-A3C0-47AD-9AC7-902229E9D7C5}"/>
    <cellStyle name="40% - Accent2 2" xfId="11" xr:uid="{AED10CA3-6460-4A4E-9377-CDBA89199450}"/>
    <cellStyle name="40% - Accent3 2" xfId="12" xr:uid="{16D67D22-485D-4B83-97AC-CA8ABA2C83B1}"/>
    <cellStyle name="40% - Accent4 2" xfId="13" xr:uid="{900EB760-5A67-4422-A439-C1D51054DDB3}"/>
    <cellStyle name="40% - Accent5 2" xfId="14" xr:uid="{BD031D8C-0B9B-4BD8-A9BC-375CD246527B}"/>
    <cellStyle name="40% - Accent6 2" xfId="15" xr:uid="{91E2D2E2-D64C-48BF-8956-52C2E337BB10}"/>
    <cellStyle name="60% - Accent1 2" xfId="16" xr:uid="{269DE274-F529-4EF0-A457-D48F978A6386}"/>
    <cellStyle name="60% - Accent2 2" xfId="17" xr:uid="{D9FFB6B2-5BBA-42F9-A1F8-BD82B0810C52}"/>
    <cellStyle name="60% - Accent3 2" xfId="18" xr:uid="{61834971-20A9-442E-B558-FCF20DDED75E}"/>
    <cellStyle name="60% - Accent4 2" xfId="19" xr:uid="{3CCA4BC5-1A30-408E-9C41-421DE61807BA}"/>
    <cellStyle name="60% - Accent5 2" xfId="20" xr:uid="{9A906DBD-2A23-4BAE-A8A2-F2465361F500}"/>
    <cellStyle name="60% - Accent6 2" xfId="21" xr:uid="{2BA0CD97-4E5B-496B-ADBA-75DB21D179C6}"/>
    <cellStyle name="Accent1 2" xfId="22" xr:uid="{E7F9C689-7A8B-4360-B783-528D0EA4D198}"/>
    <cellStyle name="Accent2 2" xfId="23" xr:uid="{F23B230D-82F8-459D-A09D-409816FDAAE5}"/>
    <cellStyle name="Accent3 2" xfId="24" xr:uid="{50CEF526-7828-4ADE-83BA-27D453546969}"/>
    <cellStyle name="Accent4 2" xfId="25" xr:uid="{D36FDDDC-1A33-4A03-8BF5-D40B9DDABC42}"/>
    <cellStyle name="Accent5 2" xfId="26" xr:uid="{5B467FF4-DF0C-4346-B5F2-C9870B031D89}"/>
    <cellStyle name="Accent6 2" xfId="27" xr:uid="{61899C18-2DE1-421B-AF38-C7C5B56C3318}"/>
    <cellStyle name="àºúÀúö" xfId="28" xr:uid="{7B4A326E-D46E-43F1-98C0-341DDB185A67}"/>
    <cellStyle name="Aro-para" xfId="29" xr:uid="{DD8856E0-2846-4AE4-AC95-F5419D6D3634}"/>
    <cellStyle name="Bad 2" xfId="30" xr:uid="{3BCA87C2-1CCD-4D1E-A627-4215648CEB7C}"/>
    <cellStyle name="bold" xfId="31" xr:uid="{E9275694-A33C-4411-A58A-10AD71358638}"/>
    <cellStyle name="Calculation 2" xfId="32" xr:uid="{125AFEEC-BE50-4FE5-9C1B-96D8E78C4BDD}"/>
    <cellStyle name="Check Cell 2" xfId="33" xr:uid="{37A25CE4-3458-454E-BE65-46DF429DF31C}"/>
    <cellStyle name="Comma  - Style1" xfId="35" xr:uid="{6DFF8009-5AFF-47A6-B996-144FD17B5678}"/>
    <cellStyle name="Comma  - Style2" xfId="36" xr:uid="{63F468E3-EBD2-42BE-AB2B-CA4833147293}"/>
    <cellStyle name="Comma  - Style3" xfId="37" xr:uid="{D1862F12-AA6E-4BCC-80A2-D1C9177BA5B8}"/>
    <cellStyle name="Comma  - Style4" xfId="38" xr:uid="{3D85B592-2888-44FB-A0DD-B521DF1CFA71}"/>
    <cellStyle name="Comma  - Style5" xfId="39" xr:uid="{3BE6C117-521F-475C-A3FD-80C10DB4FDC1}"/>
    <cellStyle name="Comma  - Style6" xfId="40" xr:uid="{4D26D31B-7A6B-461F-B72C-8CEA6C7FD807}"/>
    <cellStyle name="Comma  - Style7" xfId="41" xr:uid="{AF679E30-6E8B-4779-BED8-8964C6CDE2C3}"/>
    <cellStyle name="Comma  - Style8" xfId="42" xr:uid="{9C814BB7-0510-4644-85B6-9A8E77925F37}"/>
    <cellStyle name="Comma 2" xfId="34" xr:uid="{1B643987-E775-483C-AF60-357EF28D567B}"/>
    <cellStyle name="Currency [0]b" xfId="43" xr:uid="{3D42AEF0-CA51-4CA0-AD95-03266E2D9CD5}"/>
    <cellStyle name="currency(2)" xfId="44" xr:uid="{AFDD4777-AA38-4FF0-961D-E1467F97785F}"/>
    <cellStyle name="Di-tri" xfId="45" xr:uid="{CCC03C6E-55FD-4DE0-8EA1-C534E66A0225}"/>
    <cellStyle name="Euro" xfId="46" xr:uid="{03BBEF42-9B19-4848-8C2F-6CC4BB82C2B4}"/>
    <cellStyle name="Explanatory Text 2" xfId="47" xr:uid="{CDA9E984-BFDE-4332-A1D6-9E0A56BD527A}"/>
    <cellStyle name="Good 2" xfId="48" xr:uid="{3FBC18D1-B2D1-4D8C-AEB6-62EBEE378C3F}"/>
    <cellStyle name="Grey" xfId="49" xr:uid="{92AD4087-EFA2-4179-82C7-7AEC79C7D03E}"/>
    <cellStyle name="Heading 1 2" xfId="50" xr:uid="{B4A28F64-EC72-4A61-89BD-14AEBABF8633}"/>
    <cellStyle name="Heading 2 2" xfId="51" xr:uid="{079B8A07-B46A-43A1-9871-361DEC29EE7D}"/>
    <cellStyle name="Heading 3 2" xfId="52" xr:uid="{59644DA9-7119-4B53-81D3-51436192A4FB}"/>
    <cellStyle name="Heading 4 2" xfId="53" xr:uid="{F526F0D3-D8B4-4E26-BB8D-D57AFD5C61BA}"/>
    <cellStyle name="Input [yellow]" xfId="55" xr:uid="{C234598B-D516-4CC8-8B97-1D501378DCB3}"/>
    <cellStyle name="Input 2" xfId="54" xr:uid="{733FBA9B-FB90-4382-B6F0-0585078AC91D}"/>
    <cellStyle name="Linked Cell 2" xfId="56" xr:uid="{391FA56D-CC4D-4610-A94F-3DFAE042D39B}"/>
    <cellStyle name="Migliaia (0)_Foglio1" xfId="57" xr:uid="{D0606E70-FD39-4D89-86F9-A869807FCCD4}"/>
    <cellStyle name="Millares [0]_ANALISIS" xfId="58" xr:uid="{2DC97FC2-F918-41E3-8FC9-4A0BF583684D}"/>
    <cellStyle name="Millares_ANALISIS" xfId="59" xr:uid="{50E24002-FC68-4D02-BE4B-627EA4528F27}"/>
    <cellStyle name="Milliers [0]_CREATIVE" xfId="60" xr:uid="{E21AEEDB-08AD-4AD7-B8F0-BCBBF84D4528}"/>
    <cellStyle name="Milliers_CREATIVE" xfId="61" xr:uid="{FCAEC0F5-B8DD-41D7-AB8B-A77AA6C45594}"/>
    <cellStyle name="Moneda [0]_ANALISIS" xfId="62" xr:uid="{BA14F8CC-AF50-4382-A575-0E28737BA95A}"/>
    <cellStyle name="Moneda_ANALISIS" xfId="63" xr:uid="{F1152E46-23F8-4913-A871-5B1999732CD4}"/>
    <cellStyle name="Monétaire [0]_CREATIVE" xfId="64" xr:uid="{D1C43EDB-0B2A-4F40-BEEE-38D04D852383}"/>
    <cellStyle name="Monétaire_CREATIVE" xfId="65" xr:uid="{7C98BA80-0C7E-45FF-BE46-3405DA2B70A6}"/>
    <cellStyle name="MS_Arabic" xfId="66" xr:uid="{FBC13798-64B3-4E99-A0AB-AC55A480BEC7}"/>
    <cellStyle name="Neutral 2" xfId="67" xr:uid="{AE667586-ECC0-40DC-A42F-7D3167C1C27F}"/>
    <cellStyle name="no dec" xfId="68" xr:uid="{75BB73EB-D4B8-4E15-A637-56549D0BDBBB}"/>
    <cellStyle name="Normal" xfId="0" builtinId="0"/>
    <cellStyle name="Normal - EXPENSES" xfId="69" xr:uid="{7B243A44-41EC-41F7-908D-B81AC1F2300C}"/>
    <cellStyle name="Normal - Style1" xfId="70" xr:uid="{43E5E5C6-D6F6-44B3-85A3-70F82EEC3535}"/>
    <cellStyle name="Normal 2" xfId="1" xr:uid="{39E21012-6B98-4A44-B777-D4121A728D26}"/>
    <cellStyle name="Normal 2 2" xfId="92" xr:uid="{215F600B-B60D-4466-A352-07C407BE0327}"/>
    <cellStyle name="Normal 2 2 2" xfId="91" xr:uid="{E7D4DE2E-C5C8-4BE7-8A60-FC10637CFA47}"/>
    <cellStyle name="Note 2" xfId="71" xr:uid="{87727A4E-C39F-4AE7-A1D1-9CAA6796726E}"/>
    <cellStyle name="Œ…‹æØ‚è [0.00]_Sheet1" xfId="72" xr:uid="{9EDC0B6F-075E-408A-B638-F931C4E4CCB3}"/>
    <cellStyle name="Œ…‹æØ‚è_Sheet1" xfId="73" xr:uid="{0342B5C7-7EA8-4E47-905D-6C8B4DFC84D7}"/>
    <cellStyle name="Output 2" xfId="74" xr:uid="{BB08F1EB-4E0F-4A22-83BA-443A428F68F2}"/>
    <cellStyle name="Percent [2]" xfId="75" xr:uid="{DED28264-2500-40D3-B7A9-4B7D79167A88}"/>
    <cellStyle name="piero 1" xfId="76" xr:uid="{3BE4C074-73F3-4CFB-9CA7-3811509A0AF8}"/>
    <cellStyle name="piero 2" xfId="77" xr:uid="{002A4CA9-BA15-4501-9AD8-8F15C6755CE5}"/>
    <cellStyle name="småskrift" xfId="78" xr:uid="{A7A79D50-4A88-4F16-A432-4AAE8EC66F13}"/>
    <cellStyle name="Special" xfId="79" xr:uid="{2AE05C7D-2F27-49BB-8D04-11F7AFCEA6E3}"/>
    <cellStyle name="Style 1" xfId="2" xr:uid="{1B72C0C3-7354-4E63-B646-93144244968B}"/>
    <cellStyle name="Style 26" xfId="80" xr:uid="{66992142-0A0A-4C04-B058-8F6C137B9366}"/>
    <cellStyle name="Title 2" xfId="81" xr:uid="{F40CE0CB-4B4E-4133-A550-CD7DDC256B44}"/>
    <cellStyle name="Total 2" xfId="82" xr:uid="{6E367D8F-941F-4F40-8F82-02C76A827FF8}"/>
    <cellStyle name="Warning Text 2" xfId="84" xr:uid="{25FCECDD-1694-4456-8F4D-DB2452D36347}"/>
    <cellStyle name="一般_Book1" xfId="85" xr:uid="{FA99FE12-0A69-407A-9556-1BD1EEC2FDBC}"/>
    <cellStyle name="千分位[0]_Book1" xfId="86" xr:uid="{7D3DF746-8EE7-46B7-AC32-F69243D74C57}"/>
    <cellStyle name="千分位_Book1" xfId="87" xr:uid="{4F55EC65-1495-4000-804B-4F80852CBC65}"/>
    <cellStyle name="標準_Abadi 4 Core Samples For Paly (2)" xfId="88" xr:uid="{958899F1-C5F7-412A-9C97-6694B326D92B}"/>
    <cellStyle name="貨幣 [0]_Book1" xfId="89" xr:uid="{515A7E60-132A-4DCA-A39F-F6DEB9A243BD}"/>
    <cellStyle name="貨幣_Book1" xfId="90" xr:uid="{D3462E9F-2E88-4BBF-B523-B094F2C09253}"/>
  </cellStyles>
  <dxfs count="0"/>
  <tableStyles count="0" defaultTableStyle="TableStyleMedium2" defaultPivotStyle="PivotStyleLight16"/>
  <colors>
    <mruColors>
      <color rgb="FFCCE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cap="all" baseline="0">
                <a:solidFill>
                  <a:schemeClr val="tx1"/>
                </a:solidFill>
              </a:rPr>
              <a:t>Oil Prod Rate &amp; Cum. Oil Prod vs Time</a:t>
            </a:r>
          </a:p>
        </c:rich>
      </c:tx>
      <c:layout>
        <c:manualLayout>
          <c:xMode val="edge"/>
          <c:yMode val="edge"/>
          <c:x val="0.10153224352120137"/>
          <c:y val="3.547986053337570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50613293430068"/>
          <c:y val="0.13857432633641048"/>
          <c:w val="0.79298773413139867"/>
          <c:h val="0.6113378727200131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Production_Forecast!$L$10</c:f>
              <c:strCache>
                <c:ptCount val="1"/>
                <c:pt idx="0">
                  <c:v>Qo</c:v>
                </c:pt>
              </c:strCache>
            </c:strRef>
          </c:tx>
          <c:spPr>
            <a:ln w="508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Production_Forecast!$K$12:$K$1012</c:f>
              <c:numCache>
                <c:formatCode>0.00</c:formatCode>
                <c:ptCount val="1001"/>
                <c:pt idx="0">
                  <c:v>0</c:v>
                </c:pt>
                <c:pt idx="1">
                  <c:v>2.990366109806172E-2</c:v>
                </c:pt>
                <c:pt idx="2">
                  <c:v>5.6372837931266531E-2</c:v>
                </c:pt>
                <c:pt idx="3">
                  <c:v>7.9801986620785331E-2</c:v>
                </c:pt>
                <c:pt idx="4">
                  <c:v>0.10054025935871833</c:v>
                </c:pt>
                <c:pt idx="5">
                  <c:v>0.11889670763826224</c:v>
                </c:pt>
                <c:pt idx="6">
                  <c:v>0.1351448878844034</c:v>
                </c:pt>
                <c:pt idx="7">
                  <c:v>0.14952693812041182</c:v>
                </c:pt>
                <c:pt idx="8">
                  <c:v>0.16225718642253756</c:v>
                </c:pt>
                <c:pt idx="9">
                  <c:v>0.17352534493779748</c:v>
                </c:pt>
                <c:pt idx="10">
                  <c:v>0.18349933706360874</c:v>
                </c:pt>
                <c:pt idx="11">
                  <c:v>0.19232779992122867</c:v>
                </c:pt>
                <c:pt idx="12">
                  <c:v>0.20014229941603701</c:v>
                </c:pt>
                <c:pt idx="13">
                  <c:v>0.20705929089453118</c:v>
                </c:pt>
                <c:pt idx="14">
                  <c:v>0.21318185461666689</c:v>
                </c:pt>
                <c:pt idx="15">
                  <c:v>0.21860123190636871</c:v>
                </c:pt>
                <c:pt idx="16">
                  <c:v>0.22339818487264843</c:v>
                </c:pt>
                <c:pt idx="17">
                  <c:v>0.22764419996453475</c:v>
                </c:pt>
                <c:pt idx="18">
                  <c:v>0.23186717293750775</c:v>
                </c:pt>
                <c:pt idx="19">
                  <c:v>0.23609014591048072</c:v>
                </c:pt>
                <c:pt idx="20">
                  <c:v>0.24031311888345366</c:v>
                </c:pt>
                <c:pt idx="21">
                  <c:v>0.24453609185642666</c:v>
                </c:pt>
                <c:pt idx="22">
                  <c:v>0.24875906482939963</c:v>
                </c:pt>
                <c:pt idx="23">
                  <c:v>0.25298203780237261</c:v>
                </c:pt>
                <c:pt idx="24">
                  <c:v>0.25720501077534558</c:v>
                </c:pt>
                <c:pt idx="25">
                  <c:v>0.26142798374831855</c:v>
                </c:pt>
                <c:pt idx="26">
                  <c:v>0.26565095672129152</c:v>
                </c:pt>
                <c:pt idx="27">
                  <c:v>0.26987392969426449</c:v>
                </c:pt>
                <c:pt idx="28">
                  <c:v>0.27409690266723746</c:v>
                </c:pt>
                <c:pt idx="29">
                  <c:v>0.27831987564021043</c:v>
                </c:pt>
                <c:pt idx="30">
                  <c:v>0.28254284861318341</c:v>
                </c:pt>
                <c:pt idx="31">
                  <c:v>0.28676582158615638</c:v>
                </c:pt>
                <c:pt idx="32">
                  <c:v>0.29098879455912929</c:v>
                </c:pt>
                <c:pt idx="33">
                  <c:v>0.29521176753210226</c:v>
                </c:pt>
                <c:pt idx="34">
                  <c:v>0.29943474050507524</c:v>
                </c:pt>
                <c:pt idx="35">
                  <c:v>0.30365771347804821</c:v>
                </c:pt>
                <c:pt idx="36">
                  <c:v>0.30788068645102118</c:v>
                </c:pt>
                <c:pt idx="37">
                  <c:v>0.31210365942399415</c:v>
                </c:pt>
                <c:pt idx="38">
                  <c:v>0.31632663239696712</c:v>
                </c:pt>
                <c:pt idx="39">
                  <c:v>0.32054960536994009</c:v>
                </c:pt>
                <c:pt idx="40">
                  <c:v>0.32477257834291301</c:v>
                </c:pt>
                <c:pt idx="41">
                  <c:v>0.32899555131588593</c:v>
                </c:pt>
                <c:pt idx="42">
                  <c:v>0.3332185242888589</c:v>
                </c:pt>
                <c:pt idx="43">
                  <c:v>0.33744149726183187</c:v>
                </c:pt>
                <c:pt idx="44">
                  <c:v>0.34166447023480484</c:v>
                </c:pt>
                <c:pt idx="45">
                  <c:v>0.34588744320777776</c:v>
                </c:pt>
                <c:pt idx="46">
                  <c:v>0.35011041618075067</c:v>
                </c:pt>
                <c:pt idx="47">
                  <c:v>0.3543333891537237</c:v>
                </c:pt>
                <c:pt idx="48">
                  <c:v>0.35855636212669667</c:v>
                </c:pt>
                <c:pt idx="49">
                  <c:v>0.36277933509966959</c:v>
                </c:pt>
                <c:pt idx="50">
                  <c:v>0.36700230807264256</c:v>
                </c:pt>
                <c:pt idx="51">
                  <c:v>0.37122528104561553</c:v>
                </c:pt>
                <c:pt idx="52">
                  <c:v>0.3754482540185885</c:v>
                </c:pt>
                <c:pt idx="53">
                  <c:v>0.37967122699156142</c:v>
                </c:pt>
                <c:pt idx="54">
                  <c:v>0.38389419996453439</c:v>
                </c:pt>
                <c:pt idx="55">
                  <c:v>0.38811717293750736</c:v>
                </c:pt>
                <c:pt idx="56">
                  <c:v>0.39234014591048039</c:v>
                </c:pt>
                <c:pt idx="57">
                  <c:v>0.39656311888345336</c:v>
                </c:pt>
                <c:pt idx="58">
                  <c:v>0.40078609185642633</c:v>
                </c:pt>
                <c:pt idx="59">
                  <c:v>0.40500906482939925</c:v>
                </c:pt>
                <c:pt idx="60">
                  <c:v>0.40923203780237222</c:v>
                </c:pt>
                <c:pt idx="61">
                  <c:v>0.41345501077534519</c:v>
                </c:pt>
                <c:pt idx="62">
                  <c:v>0.41767798374831816</c:v>
                </c:pt>
                <c:pt idx="63">
                  <c:v>0.42190095672129113</c:v>
                </c:pt>
                <c:pt idx="64">
                  <c:v>0.42612392969426405</c:v>
                </c:pt>
                <c:pt idx="65">
                  <c:v>0.43034690266723702</c:v>
                </c:pt>
                <c:pt idx="66">
                  <c:v>0.43456987564020999</c:v>
                </c:pt>
                <c:pt idx="67">
                  <c:v>0.43879284861318302</c:v>
                </c:pt>
                <c:pt idx="68">
                  <c:v>0.44301582158615599</c:v>
                </c:pt>
                <c:pt idx="69">
                  <c:v>0.44723879455912885</c:v>
                </c:pt>
                <c:pt idx="70">
                  <c:v>0.45146176753210182</c:v>
                </c:pt>
                <c:pt idx="71">
                  <c:v>0.45568474050507479</c:v>
                </c:pt>
                <c:pt idx="72">
                  <c:v>0.45990771347804771</c:v>
                </c:pt>
                <c:pt idx="73">
                  <c:v>0.46413068645102068</c:v>
                </c:pt>
                <c:pt idx="74">
                  <c:v>0.46835365942399365</c:v>
                </c:pt>
                <c:pt idx="75">
                  <c:v>0.47257663239696662</c:v>
                </c:pt>
                <c:pt idx="76">
                  <c:v>0.47679960536993954</c:v>
                </c:pt>
                <c:pt idx="77">
                  <c:v>0.48102257834291251</c:v>
                </c:pt>
                <c:pt idx="78">
                  <c:v>0.48524555131588548</c:v>
                </c:pt>
                <c:pt idx="79">
                  <c:v>0.48946852428885845</c:v>
                </c:pt>
                <c:pt idx="80">
                  <c:v>0.49369149726183137</c:v>
                </c:pt>
                <c:pt idx="81">
                  <c:v>0.49791447023480434</c:v>
                </c:pt>
                <c:pt idx="82">
                  <c:v>0.50213744320777731</c:v>
                </c:pt>
                <c:pt idx="83">
                  <c:v>0.50636041618075023</c:v>
                </c:pt>
                <c:pt idx="84">
                  <c:v>0.51058338915372325</c:v>
                </c:pt>
                <c:pt idx="85">
                  <c:v>0.51480636212669617</c:v>
                </c:pt>
                <c:pt idx="86">
                  <c:v>0.5190293350996692</c:v>
                </c:pt>
                <c:pt idx="87">
                  <c:v>0.52325230807264211</c:v>
                </c:pt>
                <c:pt idx="88">
                  <c:v>0.52747528104561503</c:v>
                </c:pt>
                <c:pt idx="89">
                  <c:v>0.53169825401858806</c:v>
                </c:pt>
                <c:pt idx="90">
                  <c:v>0.53592122699156108</c:v>
                </c:pt>
                <c:pt idx="91">
                  <c:v>0.540144199964534</c:v>
                </c:pt>
                <c:pt idx="92">
                  <c:v>0.54436717293750703</c:v>
                </c:pt>
                <c:pt idx="93">
                  <c:v>0.54859014591047994</c:v>
                </c:pt>
                <c:pt idx="94">
                  <c:v>0.55281311888345286</c:v>
                </c:pt>
                <c:pt idx="95">
                  <c:v>0.55703609185642577</c:v>
                </c:pt>
                <c:pt idx="96">
                  <c:v>0.56125906482939869</c:v>
                </c:pt>
                <c:pt idx="97">
                  <c:v>0.56548203780237172</c:v>
                </c:pt>
                <c:pt idx="98">
                  <c:v>0.56970501077534463</c:v>
                </c:pt>
                <c:pt idx="99">
                  <c:v>0.57392798374831755</c:v>
                </c:pt>
                <c:pt idx="100">
                  <c:v>0.57815095672129058</c:v>
                </c:pt>
                <c:pt idx="101">
                  <c:v>0.58237392969426349</c:v>
                </c:pt>
                <c:pt idx="102">
                  <c:v>0.58659690266723652</c:v>
                </c:pt>
                <c:pt idx="103">
                  <c:v>0.59081987564020955</c:v>
                </c:pt>
                <c:pt idx="104">
                  <c:v>0.59504284861318235</c:v>
                </c:pt>
                <c:pt idx="105">
                  <c:v>0.59926582158615538</c:v>
                </c:pt>
                <c:pt idx="106">
                  <c:v>0.60348879455912829</c:v>
                </c:pt>
                <c:pt idx="107">
                  <c:v>0.60771176753210132</c:v>
                </c:pt>
                <c:pt idx="108">
                  <c:v>0.61193474050507435</c:v>
                </c:pt>
                <c:pt idx="109">
                  <c:v>0.61615771347804726</c:v>
                </c:pt>
                <c:pt idx="110">
                  <c:v>0.62038068645102018</c:v>
                </c:pt>
                <c:pt idx="111">
                  <c:v>0.6246036594239931</c:v>
                </c:pt>
                <c:pt idx="112">
                  <c:v>0.62882663239696601</c:v>
                </c:pt>
                <c:pt idx="113">
                  <c:v>0.63304960536993893</c:v>
                </c:pt>
                <c:pt idx="114">
                  <c:v>0.63727257834291184</c:v>
                </c:pt>
                <c:pt idx="115">
                  <c:v>0.64149555131588487</c:v>
                </c:pt>
                <c:pt idx="116">
                  <c:v>0.64571852428885779</c:v>
                </c:pt>
                <c:pt idx="117">
                  <c:v>0.64994149726183081</c:v>
                </c:pt>
                <c:pt idx="118">
                  <c:v>0.65416447023480373</c:v>
                </c:pt>
                <c:pt idx="119">
                  <c:v>0.65838744320777665</c:v>
                </c:pt>
                <c:pt idx="120">
                  <c:v>0.66261041618074956</c:v>
                </c:pt>
                <c:pt idx="121">
                  <c:v>0.66683338915372248</c:v>
                </c:pt>
                <c:pt idx="122">
                  <c:v>0.67105636212669539</c:v>
                </c:pt>
                <c:pt idx="123">
                  <c:v>0.67527933509966842</c:v>
                </c:pt>
                <c:pt idx="124">
                  <c:v>0.67950230807264134</c:v>
                </c:pt>
                <c:pt idx="125">
                  <c:v>0.68372528104561436</c:v>
                </c:pt>
                <c:pt idx="126">
                  <c:v>0.68794825401858728</c:v>
                </c:pt>
                <c:pt idx="127">
                  <c:v>0.69217122699156008</c:v>
                </c:pt>
                <c:pt idx="128">
                  <c:v>0.69639419996453311</c:v>
                </c:pt>
                <c:pt idx="129">
                  <c:v>0.70061717293750603</c:v>
                </c:pt>
                <c:pt idx="130">
                  <c:v>0.70484014591047917</c:v>
                </c:pt>
                <c:pt idx="131">
                  <c:v>0.70906311888345219</c:v>
                </c:pt>
                <c:pt idx="132">
                  <c:v>0.71328609185642522</c:v>
                </c:pt>
                <c:pt idx="133">
                  <c:v>0.71750906482939814</c:v>
                </c:pt>
                <c:pt idx="134">
                  <c:v>0.72173203780237116</c:v>
                </c:pt>
                <c:pt idx="135">
                  <c:v>0.72595501077534419</c:v>
                </c:pt>
                <c:pt idx="136">
                  <c:v>0.73017798374831722</c:v>
                </c:pt>
                <c:pt idx="137">
                  <c:v>0.73440095672129024</c:v>
                </c:pt>
                <c:pt idx="138">
                  <c:v>0.73862392969426327</c:v>
                </c:pt>
                <c:pt idx="139">
                  <c:v>0.7428469026672363</c:v>
                </c:pt>
                <c:pt idx="140">
                  <c:v>0.74706987564020921</c:v>
                </c:pt>
                <c:pt idx="141">
                  <c:v>0.75129284861318224</c:v>
                </c:pt>
                <c:pt idx="142">
                  <c:v>0.75551582158615527</c:v>
                </c:pt>
                <c:pt idx="143">
                  <c:v>0.75973879455912829</c:v>
                </c:pt>
                <c:pt idx="144">
                  <c:v>0.76396176753210132</c:v>
                </c:pt>
                <c:pt idx="145">
                  <c:v>0.76818474050507435</c:v>
                </c:pt>
                <c:pt idx="146">
                  <c:v>0.77240771347804726</c:v>
                </c:pt>
                <c:pt idx="147">
                  <c:v>0.77663068645102018</c:v>
                </c:pt>
                <c:pt idx="148">
                  <c:v>0.78085365942399321</c:v>
                </c:pt>
                <c:pt idx="149">
                  <c:v>0.78507663239696601</c:v>
                </c:pt>
                <c:pt idx="150">
                  <c:v>0.78929960536993904</c:v>
                </c:pt>
                <c:pt idx="151">
                  <c:v>0.79352257834291196</c:v>
                </c:pt>
                <c:pt idx="152">
                  <c:v>0.79774555131588487</c:v>
                </c:pt>
                <c:pt idx="153">
                  <c:v>0.8019685242888579</c:v>
                </c:pt>
                <c:pt idx="154">
                  <c:v>0.80619149726183092</c:v>
                </c:pt>
                <c:pt idx="155">
                  <c:v>0.81041447023480395</c:v>
                </c:pt>
                <c:pt idx="156">
                  <c:v>0.81463744320777698</c:v>
                </c:pt>
                <c:pt idx="157">
                  <c:v>0.81886041618075001</c:v>
                </c:pt>
                <c:pt idx="158">
                  <c:v>0.82308338915372292</c:v>
                </c:pt>
                <c:pt idx="159">
                  <c:v>0.82730636212669595</c:v>
                </c:pt>
                <c:pt idx="160">
                  <c:v>0.83152933509966898</c:v>
                </c:pt>
                <c:pt idx="161">
                  <c:v>0.835752308072642</c:v>
                </c:pt>
                <c:pt idx="162">
                  <c:v>0.83997528104561503</c:v>
                </c:pt>
                <c:pt idx="163">
                  <c:v>0.84419825401858806</c:v>
                </c:pt>
                <c:pt idx="164">
                  <c:v>0.84842122699156108</c:v>
                </c:pt>
                <c:pt idx="165">
                  <c:v>0.85264419996453422</c:v>
                </c:pt>
                <c:pt idx="166">
                  <c:v>0.85686717293750725</c:v>
                </c:pt>
                <c:pt idx="167">
                  <c:v>0.86109014591048028</c:v>
                </c:pt>
                <c:pt idx="168">
                  <c:v>0.8653131188834533</c:v>
                </c:pt>
                <c:pt idx="169">
                  <c:v>0.86953609185642633</c:v>
                </c:pt>
                <c:pt idx="170">
                  <c:v>0.87375906482939936</c:v>
                </c:pt>
                <c:pt idx="171">
                  <c:v>0.87798203780237238</c:v>
                </c:pt>
                <c:pt idx="172">
                  <c:v>0.88220501077534541</c:v>
                </c:pt>
                <c:pt idx="173">
                  <c:v>0.88642798374831866</c:v>
                </c:pt>
                <c:pt idx="174">
                  <c:v>0.89065095672129146</c:v>
                </c:pt>
                <c:pt idx="175">
                  <c:v>0.89487392969426471</c:v>
                </c:pt>
                <c:pt idx="176">
                  <c:v>0.89909690266723774</c:v>
                </c:pt>
                <c:pt idx="177">
                  <c:v>0.90331987564021077</c:v>
                </c:pt>
                <c:pt idx="178">
                  <c:v>0.90754284861318379</c:v>
                </c:pt>
                <c:pt idx="179">
                  <c:v>0.91176582158615682</c:v>
                </c:pt>
                <c:pt idx="180">
                  <c:v>0.91598879455912985</c:v>
                </c:pt>
                <c:pt idx="181">
                  <c:v>0.92021176753210288</c:v>
                </c:pt>
                <c:pt idx="182">
                  <c:v>0.9244347405050759</c:v>
                </c:pt>
                <c:pt idx="183">
                  <c:v>0.92865771347804893</c:v>
                </c:pt>
                <c:pt idx="184">
                  <c:v>0.93288068645102196</c:v>
                </c:pt>
                <c:pt idx="185">
                  <c:v>0.93710365942399509</c:v>
                </c:pt>
                <c:pt idx="186">
                  <c:v>0.94132663239696812</c:v>
                </c:pt>
                <c:pt idx="187">
                  <c:v>0.94554960536994115</c:v>
                </c:pt>
                <c:pt idx="188">
                  <c:v>0.94977257834291418</c:v>
                </c:pt>
                <c:pt idx="189">
                  <c:v>0.9539955513158872</c:v>
                </c:pt>
                <c:pt idx="190">
                  <c:v>0.95821852428886023</c:v>
                </c:pt>
                <c:pt idx="191">
                  <c:v>0.96244149726183326</c:v>
                </c:pt>
                <c:pt idx="192">
                  <c:v>0.96666447023480628</c:v>
                </c:pt>
                <c:pt idx="193">
                  <c:v>0.97088744320777931</c:v>
                </c:pt>
                <c:pt idx="194">
                  <c:v>0.97511041618075234</c:v>
                </c:pt>
                <c:pt idx="195">
                  <c:v>0.97933338915372536</c:v>
                </c:pt>
                <c:pt idx="196">
                  <c:v>0.98355636212669839</c:v>
                </c:pt>
                <c:pt idx="197">
                  <c:v>0.98777933509967153</c:v>
                </c:pt>
                <c:pt idx="198">
                  <c:v>0.99200230807264467</c:v>
                </c:pt>
                <c:pt idx="199">
                  <c:v>0.99622528104561758</c:v>
                </c:pt>
                <c:pt idx="200">
                  <c:v>1.0004482540185906</c:v>
                </c:pt>
                <c:pt idx="201">
                  <c:v>1.0046712269915636</c:v>
                </c:pt>
                <c:pt idx="202">
                  <c:v>1.0088941999645367</c:v>
                </c:pt>
                <c:pt idx="203">
                  <c:v>1.0131171729375097</c:v>
                </c:pt>
                <c:pt idx="204">
                  <c:v>1.0173401459104827</c:v>
                </c:pt>
                <c:pt idx="205">
                  <c:v>1.0215631188834555</c:v>
                </c:pt>
                <c:pt idx="206">
                  <c:v>1.0257860918564286</c:v>
                </c:pt>
                <c:pt idx="207">
                  <c:v>1.0300090648294018</c:v>
                </c:pt>
                <c:pt idx="208">
                  <c:v>1.0342320378023748</c:v>
                </c:pt>
                <c:pt idx="209">
                  <c:v>1.0384550107753479</c:v>
                </c:pt>
                <c:pt idx="210">
                  <c:v>1.0426779837483211</c:v>
                </c:pt>
                <c:pt idx="211">
                  <c:v>1.0469009567212941</c:v>
                </c:pt>
                <c:pt idx="212">
                  <c:v>1.0511239296942669</c:v>
                </c:pt>
                <c:pt idx="213">
                  <c:v>1.0553469026672402</c:v>
                </c:pt>
                <c:pt idx="214">
                  <c:v>1.059569875640213</c:v>
                </c:pt>
                <c:pt idx="215">
                  <c:v>1.0637928486131862</c:v>
                </c:pt>
                <c:pt idx="216">
                  <c:v>1.0680158215861593</c:v>
                </c:pt>
                <c:pt idx="217">
                  <c:v>1.0722387945591323</c:v>
                </c:pt>
                <c:pt idx="218">
                  <c:v>1.0764617675321051</c:v>
                </c:pt>
                <c:pt idx="219">
                  <c:v>1.0806847405050783</c:v>
                </c:pt>
                <c:pt idx="220">
                  <c:v>1.0849077134780514</c:v>
                </c:pt>
                <c:pt idx="221">
                  <c:v>1.0891306864510244</c:v>
                </c:pt>
                <c:pt idx="222">
                  <c:v>1.0933536594239976</c:v>
                </c:pt>
                <c:pt idx="223">
                  <c:v>1.0975766323969707</c:v>
                </c:pt>
                <c:pt idx="224">
                  <c:v>1.1017996053699435</c:v>
                </c:pt>
                <c:pt idx="225">
                  <c:v>1.1060225783429167</c:v>
                </c:pt>
                <c:pt idx="226">
                  <c:v>1.1102455513158898</c:v>
                </c:pt>
                <c:pt idx="227">
                  <c:v>1.1144685242888628</c:v>
                </c:pt>
                <c:pt idx="228">
                  <c:v>1.1186914972618358</c:v>
                </c:pt>
                <c:pt idx="229">
                  <c:v>1.1229144702348091</c:v>
                </c:pt>
                <c:pt idx="230">
                  <c:v>1.1271374432077819</c:v>
                </c:pt>
                <c:pt idx="231">
                  <c:v>1.1313604161807551</c:v>
                </c:pt>
                <c:pt idx="232">
                  <c:v>1.1355833891537281</c:v>
                </c:pt>
                <c:pt idx="233">
                  <c:v>1.1398063621267012</c:v>
                </c:pt>
                <c:pt idx="234">
                  <c:v>1.144029335099674</c:v>
                </c:pt>
                <c:pt idx="235">
                  <c:v>1.1482523080726472</c:v>
                </c:pt>
                <c:pt idx="236">
                  <c:v>1.15247528104562</c:v>
                </c:pt>
                <c:pt idx="237">
                  <c:v>1.1566982540185931</c:v>
                </c:pt>
                <c:pt idx="238">
                  <c:v>1.1609212269915663</c:v>
                </c:pt>
                <c:pt idx="239">
                  <c:v>1.1651441999645393</c:v>
                </c:pt>
                <c:pt idx="240">
                  <c:v>1.1693671729375124</c:v>
                </c:pt>
                <c:pt idx="241">
                  <c:v>1.1735901459104856</c:v>
                </c:pt>
                <c:pt idx="242">
                  <c:v>1.1778131188834586</c:v>
                </c:pt>
                <c:pt idx="243">
                  <c:v>1.1820360918564317</c:v>
                </c:pt>
                <c:pt idx="244">
                  <c:v>1.1862590648294047</c:v>
                </c:pt>
                <c:pt idx="245">
                  <c:v>1.1904820378023779</c:v>
                </c:pt>
                <c:pt idx="246">
                  <c:v>1.194705010775351</c:v>
                </c:pt>
                <c:pt idx="247">
                  <c:v>1.198927983748324</c:v>
                </c:pt>
                <c:pt idx="248">
                  <c:v>1.2031509567212972</c:v>
                </c:pt>
                <c:pt idx="249">
                  <c:v>1.20737392969427</c:v>
                </c:pt>
                <c:pt idx="250">
                  <c:v>1.2115969026672431</c:v>
                </c:pt>
                <c:pt idx="251">
                  <c:v>1.2158198756402163</c:v>
                </c:pt>
                <c:pt idx="252">
                  <c:v>1.2200428486131893</c:v>
                </c:pt>
                <c:pt idx="253">
                  <c:v>1.2242658215861624</c:v>
                </c:pt>
                <c:pt idx="254">
                  <c:v>1.2284887945591354</c:v>
                </c:pt>
                <c:pt idx="255">
                  <c:v>1.2327117675321086</c:v>
                </c:pt>
                <c:pt idx="256">
                  <c:v>1.2369347405050817</c:v>
                </c:pt>
                <c:pt idx="257">
                  <c:v>1.2411577134780547</c:v>
                </c:pt>
                <c:pt idx="258">
                  <c:v>1.2453806864510277</c:v>
                </c:pt>
                <c:pt idx="259">
                  <c:v>1.249603659424001</c:v>
                </c:pt>
                <c:pt idx="260">
                  <c:v>1.2538266323969742</c:v>
                </c:pt>
                <c:pt idx="261">
                  <c:v>1.2580496053699468</c:v>
                </c:pt>
                <c:pt idx="262">
                  <c:v>1.2622725783429198</c:v>
                </c:pt>
                <c:pt idx="263">
                  <c:v>1.2664955513158929</c:v>
                </c:pt>
                <c:pt idx="264">
                  <c:v>1.2707185242888663</c:v>
                </c:pt>
                <c:pt idx="265">
                  <c:v>1.2749414972618389</c:v>
                </c:pt>
                <c:pt idx="266">
                  <c:v>1.2791644702348122</c:v>
                </c:pt>
                <c:pt idx="267">
                  <c:v>1.283387443207785</c:v>
                </c:pt>
                <c:pt idx="268">
                  <c:v>1.2876104161807582</c:v>
                </c:pt>
                <c:pt idx="269">
                  <c:v>1.291833389153731</c:v>
                </c:pt>
                <c:pt idx="270">
                  <c:v>1.2960563621267043</c:v>
                </c:pt>
                <c:pt idx="271">
                  <c:v>1.3002793350996773</c:v>
                </c:pt>
                <c:pt idx="272">
                  <c:v>1.3045023080726503</c:v>
                </c:pt>
                <c:pt idx="273">
                  <c:v>1.3087252810456236</c:v>
                </c:pt>
                <c:pt idx="274">
                  <c:v>1.3129482540185966</c:v>
                </c:pt>
                <c:pt idx="275">
                  <c:v>1.3171712269915696</c:v>
                </c:pt>
                <c:pt idx="276">
                  <c:v>1.3213941999645427</c:v>
                </c:pt>
                <c:pt idx="277">
                  <c:v>1.3256171729375157</c:v>
                </c:pt>
                <c:pt idx="278">
                  <c:v>1.3298401459104889</c:v>
                </c:pt>
                <c:pt idx="279">
                  <c:v>1.3340631188834617</c:v>
                </c:pt>
                <c:pt idx="280">
                  <c:v>1.338286091856435</c:v>
                </c:pt>
                <c:pt idx="281">
                  <c:v>1.3425090648294078</c:v>
                </c:pt>
                <c:pt idx="282">
                  <c:v>1.346732037802381</c:v>
                </c:pt>
                <c:pt idx="283">
                  <c:v>1.3509550107753536</c:v>
                </c:pt>
                <c:pt idx="284">
                  <c:v>1.3551779837483271</c:v>
                </c:pt>
                <c:pt idx="285">
                  <c:v>1.3594009567213001</c:v>
                </c:pt>
                <c:pt idx="286">
                  <c:v>1.3636239296942732</c:v>
                </c:pt>
                <c:pt idx="287">
                  <c:v>1.3678469026672462</c:v>
                </c:pt>
                <c:pt idx="288">
                  <c:v>1.3720698756402192</c:v>
                </c:pt>
                <c:pt idx="289">
                  <c:v>1.3762928486131925</c:v>
                </c:pt>
                <c:pt idx="290">
                  <c:v>1.3805158215861653</c:v>
                </c:pt>
                <c:pt idx="291">
                  <c:v>1.3847387945591385</c:v>
                </c:pt>
                <c:pt idx="292">
                  <c:v>1.3889617675321111</c:v>
                </c:pt>
                <c:pt idx="293">
                  <c:v>1.3931847405050846</c:v>
                </c:pt>
                <c:pt idx="294">
                  <c:v>1.3974077134780571</c:v>
                </c:pt>
                <c:pt idx="295">
                  <c:v>1.4016306864510304</c:v>
                </c:pt>
                <c:pt idx="296">
                  <c:v>1.4058536594240032</c:v>
                </c:pt>
                <c:pt idx="297">
                  <c:v>1.4100766323969764</c:v>
                </c:pt>
                <c:pt idx="298">
                  <c:v>1.4142996053699495</c:v>
                </c:pt>
                <c:pt idx="299">
                  <c:v>1.4185225783429223</c:v>
                </c:pt>
                <c:pt idx="300">
                  <c:v>1.4227455513158951</c:v>
                </c:pt>
                <c:pt idx="301">
                  <c:v>1.4269685242888683</c:v>
                </c:pt>
                <c:pt idx="302">
                  <c:v>1.4311914972618411</c:v>
                </c:pt>
                <c:pt idx="303">
                  <c:v>1.4354144702348144</c:v>
                </c:pt>
                <c:pt idx="304">
                  <c:v>1.4396374432077872</c:v>
                </c:pt>
                <c:pt idx="305">
                  <c:v>1.4438604161807609</c:v>
                </c:pt>
                <c:pt idx="306">
                  <c:v>1.4480833891537337</c:v>
                </c:pt>
                <c:pt idx="307">
                  <c:v>1.4523063621267069</c:v>
                </c:pt>
                <c:pt idx="308">
                  <c:v>1.4565293350996797</c:v>
                </c:pt>
                <c:pt idx="309">
                  <c:v>1.4607523080726532</c:v>
                </c:pt>
                <c:pt idx="310">
                  <c:v>1.464975281045626</c:v>
                </c:pt>
                <c:pt idx="311">
                  <c:v>1.469198254018599</c:v>
                </c:pt>
                <c:pt idx="312">
                  <c:v>1.4734212269915719</c:v>
                </c:pt>
                <c:pt idx="313">
                  <c:v>1.4776441999645451</c:v>
                </c:pt>
                <c:pt idx="314">
                  <c:v>1.4818671729375184</c:v>
                </c:pt>
                <c:pt idx="315">
                  <c:v>1.4860901459104912</c:v>
                </c:pt>
                <c:pt idx="316">
                  <c:v>1.490313118883464</c:v>
                </c:pt>
                <c:pt idx="317">
                  <c:v>1.494536091856437</c:v>
                </c:pt>
                <c:pt idx="318">
                  <c:v>1.49875906482941</c:v>
                </c:pt>
                <c:pt idx="319">
                  <c:v>1.502982037802383</c:v>
                </c:pt>
                <c:pt idx="320">
                  <c:v>1.5072050107753558</c:v>
                </c:pt>
                <c:pt idx="321">
                  <c:v>1.5114279837483291</c:v>
                </c:pt>
                <c:pt idx="322">
                  <c:v>1.5156509567213019</c:v>
                </c:pt>
                <c:pt idx="323">
                  <c:v>1.5198739296942751</c:v>
                </c:pt>
                <c:pt idx="324">
                  <c:v>1.524096902667248</c:v>
                </c:pt>
                <c:pt idx="325">
                  <c:v>1.5283198756402212</c:v>
                </c:pt>
                <c:pt idx="326">
                  <c:v>1.532542848613194</c:v>
                </c:pt>
                <c:pt idx="327">
                  <c:v>1.5367658215861673</c:v>
                </c:pt>
                <c:pt idx="328">
                  <c:v>1.5409887945591405</c:v>
                </c:pt>
                <c:pt idx="329">
                  <c:v>1.5452117675321133</c:v>
                </c:pt>
                <c:pt idx="330">
                  <c:v>1.5494347405050868</c:v>
                </c:pt>
                <c:pt idx="331">
                  <c:v>1.5536577134780598</c:v>
                </c:pt>
                <c:pt idx="332">
                  <c:v>1.5578806864510328</c:v>
                </c:pt>
                <c:pt idx="333">
                  <c:v>1.5621036594240059</c:v>
                </c:pt>
                <c:pt idx="334">
                  <c:v>1.5663266323969793</c:v>
                </c:pt>
                <c:pt idx="335">
                  <c:v>1.5705496053699521</c:v>
                </c:pt>
                <c:pt idx="336">
                  <c:v>1.5747725783429252</c:v>
                </c:pt>
                <c:pt idx="337">
                  <c:v>1.578995551315898</c:v>
                </c:pt>
                <c:pt idx="338">
                  <c:v>1.5832185242888712</c:v>
                </c:pt>
                <c:pt idx="339">
                  <c:v>1.5874414972618442</c:v>
                </c:pt>
                <c:pt idx="340">
                  <c:v>1.5916644702348173</c:v>
                </c:pt>
                <c:pt idx="341">
                  <c:v>1.5958874432077901</c:v>
                </c:pt>
                <c:pt idx="342">
                  <c:v>1.6001104161807629</c:v>
                </c:pt>
                <c:pt idx="343">
                  <c:v>1.6043333891537361</c:v>
                </c:pt>
                <c:pt idx="344">
                  <c:v>1.6085563621267089</c:v>
                </c:pt>
                <c:pt idx="345">
                  <c:v>1.612779335099682</c:v>
                </c:pt>
                <c:pt idx="346">
                  <c:v>1.6170023080726552</c:v>
                </c:pt>
                <c:pt idx="347">
                  <c:v>1.621225281045628</c:v>
                </c:pt>
                <c:pt idx="348">
                  <c:v>1.6254482540186013</c:v>
                </c:pt>
                <c:pt idx="349">
                  <c:v>1.6296712269915741</c:v>
                </c:pt>
                <c:pt idx="350">
                  <c:v>1.6338941999645473</c:v>
                </c:pt>
                <c:pt idx="351">
                  <c:v>1.6381171729375201</c:v>
                </c:pt>
                <c:pt idx="352">
                  <c:v>1.6423401459104934</c:v>
                </c:pt>
                <c:pt idx="353">
                  <c:v>1.6465631188834662</c:v>
                </c:pt>
                <c:pt idx="354">
                  <c:v>1.650786091856439</c:v>
                </c:pt>
                <c:pt idx="355">
                  <c:v>1.6550090648294122</c:v>
                </c:pt>
                <c:pt idx="356">
                  <c:v>1.6592320378023853</c:v>
                </c:pt>
                <c:pt idx="357">
                  <c:v>1.6634550107753581</c:v>
                </c:pt>
                <c:pt idx="358">
                  <c:v>1.6676779837483309</c:v>
                </c:pt>
                <c:pt idx="359">
                  <c:v>1.6719009567213041</c:v>
                </c:pt>
                <c:pt idx="360">
                  <c:v>1.6761239296942774</c:v>
                </c:pt>
                <c:pt idx="361">
                  <c:v>1.6803469026672502</c:v>
                </c:pt>
                <c:pt idx="362">
                  <c:v>1.684569875640223</c:v>
                </c:pt>
                <c:pt idx="363">
                  <c:v>1.688792848613196</c:v>
                </c:pt>
                <c:pt idx="364">
                  <c:v>1.6930158215861695</c:v>
                </c:pt>
                <c:pt idx="365">
                  <c:v>1.6972387945591423</c:v>
                </c:pt>
                <c:pt idx="366">
                  <c:v>1.7014617675321155</c:v>
                </c:pt>
                <c:pt idx="367">
                  <c:v>1.7056847405050883</c:v>
                </c:pt>
                <c:pt idx="368">
                  <c:v>1.7099077134780616</c:v>
                </c:pt>
                <c:pt idx="369">
                  <c:v>1.7141306864510344</c:v>
                </c:pt>
                <c:pt idx="370">
                  <c:v>1.7183536594240074</c:v>
                </c:pt>
                <c:pt idx="371">
                  <c:v>1.7225766323969804</c:v>
                </c:pt>
                <c:pt idx="372">
                  <c:v>1.7267996053699535</c:v>
                </c:pt>
                <c:pt idx="373">
                  <c:v>1.7310225783429267</c:v>
                </c:pt>
                <c:pt idx="374">
                  <c:v>1.7352455513158995</c:v>
                </c:pt>
                <c:pt idx="375">
                  <c:v>1.7394685242888728</c:v>
                </c:pt>
                <c:pt idx="376">
                  <c:v>1.7436914972618456</c:v>
                </c:pt>
                <c:pt idx="377">
                  <c:v>1.7479144702348188</c:v>
                </c:pt>
                <c:pt idx="378">
                  <c:v>1.7521374432077916</c:v>
                </c:pt>
                <c:pt idx="379">
                  <c:v>1.7563604161807644</c:v>
                </c:pt>
                <c:pt idx="380">
                  <c:v>1.7605833891537377</c:v>
                </c:pt>
                <c:pt idx="381">
                  <c:v>1.7648063621267105</c:v>
                </c:pt>
                <c:pt idx="382">
                  <c:v>1.7690293350996835</c:v>
                </c:pt>
                <c:pt idx="383">
                  <c:v>1.7732523080726563</c:v>
                </c:pt>
                <c:pt idx="384">
                  <c:v>1.7774752810456296</c:v>
                </c:pt>
                <c:pt idx="385">
                  <c:v>1.7816982540186028</c:v>
                </c:pt>
                <c:pt idx="386">
                  <c:v>1.7859212269915756</c:v>
                </c:pt>
                <c:pt idx="387">
                  <c:v>1.7901441999645484</c:v>
                </c:pt>
                <c:pt idx="388">
                  <c:v>1.7943671729375215</c:v>
                </c:pt>
                <c:pt idx="389">
                  <c:v>1.7985901459104949</c:v>
                </c:pt>
                <c:pt idx="390">
                  <c:v>1.8028131188834677</c:v>
                </c:pt>
                <c:pt idx="391">
                  <c:v>1.807036091856441</c:v>
                </c:pt>
                <c:pt idx="392">
                  <c:v>1.8112590648294138</c:v>
                </c:pt>
                <c:pt idx="393">
                  <c:v>1.8154820378023873</c:v>
                </c:pt>
                <c:pt idx="394">
                  <c:v>1.8197050107753603</c:v>
                </c:pt>
                <c:pt idx="395">
                  <c:v>1.8239279837483333</c:v>
                </c:pt>
                <c:pt idx="396">
                  <c:v>1.8281509567213063</c:v>
                </c:pt>
                <c:pt idx="397">
                  <c:v>1.8323739296942796</c:v>
                </c:pt>
                <c:pt idx="398">
                  <c:v>1.8365969026672524</c:v>
                </c:pt>
                <c:pt idx="399">
                  <c:v>1.8408198756402252</c:v>
                </c:pt>
                <c:pt idx="400">
                  <c:v>1.8450428486131982</c:v>
                </c:pt>
                <c:pt idx="401">
                  <c:v>1.8492658215861717</c:v>
                </c:pt>
                <c:pt idx="402">
                  <c:v>1.8534887945591445</c:v>
                </c:pt>
                <c:pt idx="403">
                  <c:v>1.857711767532118</c:v>
                </c:pt>
                <c:pt idx="404">
                  <c:v>1.8619347405050908</c:v>
                </c:pt>
                <c:pt idx="405">
                  <c:v>1.8661577134780645</c:v>
                </c:pt>
                <c:pt idx="406">
                  <c:v>1.8703806864510373</c:v>
                </c:pt>
                <c:pt idx="407">
                  <c:v>1.8746036594240101</c:v>
                </c:pt>
                <c:pt idx="408">
                  <c:v>1.8788266323969836</c:v>
                </c:pt>
                <c:pt idx="409">
                  <c:v>1.8830496053699568</c:v>
                </c:pt>
                <c:pt idx="410">
                  <c:v>1.8872725783429298</c:v>
                </c:pt>
                <c:pt idx="411">
                  <c:v>1.8914955513159026</c:v>
                </c:pt>
                <c:pt idx="412">
                  <c:v>1.8957185242888752</c:v>
                </c:pt>
                <c:pt idx="413">
                  <c:v>1.899941497261848</c:v>
                </c:pt>
                <c:pt idx="414">
                  <c:v>1.9041644702348215</c:v>
                </c:pt>
                <c:pt idx="415">
                  <c:v>1.908387443207795</c:v>
                </c:pt>
                <c:pt idx="416">
                  <c:v>1.9126104161807675</c:v>
                </c:pt>
                <c:pt idx="417">
                  <c:v>1.9168333891537406</c:v>
                </c:pt>
                <c:pt idx="418">
                  <c:v>1.921056362126714</c:v>
                </c:pt>
                <c:pt idx="419">
                  <c:v>1.9252793350996869</c:v>
                </c:pt>
                <c:pt idx="420">
                  <c:v>1.9295023080726599</c:v>
                </c:pt>
                <c:pt idx="421">
                  <c:v>1.9337252810456327</c:v>
                </c:pt>
                <c:pt idx="422">
                  <c:v>1.9379482540186062</c:v>
                </c:pt>
                <c:pt idx="423">
                  <c:v>1.942171226991579</c:v>
                </c:pt>
                <c:pt idx="424">
                  <c:v>1.9463941999645515</c:v>
                </c:pt>
                <c:pt idx="425">
                  <c:v>1.9506171729375246</c:v>
                </c:pt>
                <c:pt idx="426">
                  <c:v>1.954840145910498</c:v>
                </c:pt>
                <c:pt idx="427">
                  <c:v>1.9590631188834708</c:v>
                </c:pt>
                <c:pt idx="428">
                  <c:v>1.9632860918564436</c:v>
                </c:pt>
                <c:pt idx="429">
                  <c:v>1.9675090648294167</c:v>
                </c:pt>
                <c:pt idx="430">
                  <c:v>1.9717320378023901</c:v>
                </c:pt>
                <c:pt idx="431">
                  <c:v>1.975955010775363</c:v>
                </c:pt>
                <c:pt idx="432">
                  <c:v>1.9801779837483355</c:v>
                </c:pt>
                <c:pt idx="433">
                  <c:v>1.984400956721309</c:v>
                </c:pt>
                <c:pt idx="434">
                  <c:v>1.9886239296942827</c:v>
                </c:pt>
                <c:pt idx="435">
                  <c:v>1.9928469026672555</c:v>
                </c:pt>
                <c:pt idx="436">
                  <c:v>1.9970698756402281</c:v>
                </c:pt>
                <c:pt idx="437">
                  <c:v>2.0012928486132009</c:v>
                </c:pt>
                <c:pt idx="438">
                  <c:v>2.0055158215861737</c:v>
                </c:pt>
                <c:pt idx="439">
                  <c:v>2.0097387945591474</c:v>
                </c:pt>
                <c:pt idx="440">
                  <c:v>2.0139617675321202</c:v>
                </c:pt>
                <c:pt idx="441">
                  <c:v>2.018184740505093</c:v>
                </c:pt>
                <c:pt idx="442">
                  <c:v>2.0224077134780658</c:v>
                </c:pt>
                <c:pt idx="443">
                  <c:v>2.0266306864510395</c:v>
                </c:pt>
                <c:pt idx="444">
                  <c:v>2.0308536594240119</c:v>
                </c:pt>
                <c:pt idx="445">
                  <c:v>2.0350766323969856</c:v>
                </c:pt>
                <c:pt idx="446">
                  <c:v>2.0392996053699584</c:v>
                </c:pt>
                <c:pt idx="447">
                  <c:v>2.0435225783429321</c:v>
                </c:pt>
                <c:pt idx="448">
                  <c:v>2.0477455513159049</c:v>
                </c:pt>
                <c:pt idx="449">
                  <c:v>2.0519685242888772</c:v>
                </c:pt>
                <c:pt idx="450">
                  <c:v>2.05619149726185</c:v>
                </c:pt>
                <c:pt idx="451">
                  <c:v>2.0604144702348237</c:v>
                </c:pt>
                <c:pt idx="452">
                  <c:v>2.0646374432077965</c:v>
                </c:pt>
                <c:pt idx="453">
                  <c:v>2.0688604161807693</c:v>
                </c:pt>
                <c:pt idx="454">
                  <c:v>2.0730833891537426</c:v>
                </c:pt>
                <c:pt idx="455">
                  <c:v>2.0773063621267158</c:v>
                </c:pt>
                <c:pt idx="456">
                  <c:v>2.0815293350996886</c:v>
                </c:pt>
                <c:pt idx="457">
                  <c:v>2.0857523080726614</c:v>
                </c:pt>
                <c:pt idx="458">
                  <c:v>2.0899752810456347</c:v>
                </c:pt>
                <c:pt idx="459">
                  <c:v>2.0941982540186084</c:v>
                </c:pt>
                <c:pt idx="460">
                  <c:v>2.0984212269915812</c:v>
                </c:pt>
                <c:pt idx="461">
                  <c:v>2.102644199964554</c:v>
                </c:pt>
                <c:pt idx="462">
                  <c:v>2.1068671729375268</c:v>
                </c:pt>
                <c:pt idx="463">
                  <c:v>2.1110901459104996</c:v>
                </c:pt>
                <c:pt idx="464">
                  <c:v>2.1153131188834728</c:v>
                </c:pt>
                <c:pt idx="465">
                  <c:v>2.1195360918564461</c:v>
                </c:pt>
                <c:pt idx="466">
                  <c:v>2.1237590648294189</c:v>
                </c:pt>
                <c:pt idx="467">
                  <c:v>2.1279820378023917</c:v>
                </c:pt>
                <c:pt idx="468">
                  <c:v>2.1322050107753654</c:v>
                </c:pt>
                <c:pt idx="469">
                  <c:v>2.1364279837483378</c:v>
                </c:pt>
                <c:pt idx="470">
                  <c:v>2.1406509567213114</c:v>
                </c:pt>
                <c:pt idx="471">
                  <c:v>2.1448739296942843</c:v>
                </c:pt>
                <c:pt idx="472">
                  <c:v>2.1490969026672575</c:v>
                </c:pt>
                <c:pt idx="473">
                  <c:v>2.1533198756402303</c:v>
                </c:pt>
                <c:pt idx="474">
                  <c:v>2.1575428486132031</c:v>
                </c:pt>
                <c:pt idx="475">
                  <c:v>2.1617658215861759</c:v>
                </c:pt>
                <c:pt idx="476">
                  <c:v>2.1659887945591496</c:v>
                </c:pt>
                <c:pt idx="477">
                  <c:v>2.170211767532122</c:v>
                </c:pt>
                <c:pt idx="478">
                  <c:v>2.1744347405050957</c:v>
                </c:pt>
                <c:pt idx="479">
                  <c:v>2.1786577134780685</c:v>
                </c:pt>
                <c:pt idx="480">
                  <c:v>2.1828806864510422</c:v>
                </c:pt>
                <c:pt idx="481">
                  <c:v>2.1871036594240145</c:v>
                </c:pt>
                <c:pt idx="482">
                  <c:v>2.1913266323969873</c:v>
                </c:pt>
                <c:pt idx="483">
                  <c:v>2.195549605369961</c:v>
                </c:pt>
                <c:pt idx="484">
                  <c:v>2.1997725783429343</c:v>
                </c:pt>
                <c:pt idx="485">
                  <c:v>2.2039955513159071</c:v>
                </c:pt>
                <c:pt idx="486">
                  <c:v>2.2082185242888799</c:v>
                </c:pt>
                <c:pt idx="487">
                  <c:v>2.2124414972618527</c:v>
                </c:pt>
                <c:pt idx="488">
                  <c:v>2.2166644702348255</c:v>
                </c:pt>
                <c:pt idx="489">
                  <c:v>2.2208874432077992</c:v>
                </c:pt>
                <c:pt idx="490">
                  <c:v>2.225110416180772</c:v>
                </c:pt>
                <c:pt idx="491">
                  <c:v>2.2293333891537448</c:v>
                </c:pt>
                <c:pt idx="492">
                  <c:v>2.2335563621267176</c:v>
                </c:pt>
                <c:pt idx="493">
                  <c:v>2.2377793350996913</c:v>
                </c:pt>
                <c:pt idx="494">
                  <c:v>2.2420023080726637</c:v>
                </c:pt>
                <c:pt idx="495">
                  <c:v>2.2462252810456373</c:v>
                </c:pt>
                <c:pt idx="496">
                  <c:v>2.2504482540186102</c:v>
                </c:pt>
                <c:pt idx="497">
                  <c:v>2.2546712269915838</c:v>
                </c:pt>
                <c:pt idx="498">
                  <c:v>2.2588941999645562</c:v>
                </c:pt>
                <c:pt idx="499">
                  <c:v>2.263117172937529</c:v>
                </c:pt>
                <c:pt idx="500">
                  <c:v>2.2673401459105027</c:v>
                </c:pt>
                <c:pt idx="501">
                  <c:v>2.2715631188834755</c:v>
                </c:pt>
                <c:pt idx="502">
                  <c:v>2.2757860918564483</c:v>
                </c:pt>
                <c:pt idx="503">
                  <c:v>2.2800090648294216</c:v>
                </c:pt>
                <c:pt idx="504">
                  <c:v>2.2842320378023944</c:v>
                </c:pt>
                <c:pt idx="505">
                  <c:v>2.2884550107753672</c:v>
                </c:pt>
                <c:pt idx="506">
                  <c:v>2.2926779837483404</c:v>
                </c:pt>
                <c:pt idx="507">
                  <c:v>2.2969009567213137</c:v>
                </c:pt>
                <c:pt idx="508">
                  <c:v>2.3011239296942865</c:v>
                </c:pt>
                <c:pt idx="509">
                  <c:v>2.3053469026672602</c:v>
                </c:pt>
                <c:pt idx="510">
                  <c:v>2.3095698756402325</c:v>
                </c:pt>
                <c:pt idx="511">
                  <c:v>2.3137928486132058</c:v>
                </c:pt>
                <c:pt idx="512">
                  <c:v>2.3180158215861786</c:v>
                </c:pt>
                <c:pt idx="513">
                  <c:v>2.3222387945591514</c:v>
                </c:pt>
                <c:pt idx="514">
                  <c:v>2.3264617675321242</c:v>
                </c:pt>
                <c:pt idx="515">
                  <c:v>2.330684740505097</c:v>
                </c:pt>
                <c:pt idx="516">
                  <c:v>2.3349077134780707</c:v>
                </c:pt>
                <c:pt idx="517">
                  <c:v>2.3391306864510439</c:v>
                </c:pt>
                <c:pt idx="518">
                  <c:v>2.3433536594240167</c:v>
                </c:pt>
                <c:pt idx="519">
                  <c:v>2.3475766323969895</c:v>
                </c:pt>
                <c:pt idx="520">
                  <c:v>2.3517996053699632</c:v>
                </c:pt>
                <c:pt idx="521">
                  <c:v>2.356022578342936</c:v>
                </c:pt>
                <c:pt idx="522">
                  <c:v>2.3602455513159084</c:v>
                </c:pt>
                <c:pt idx="523">
                  <c:v>2.3644685242888812</c:v>
                </c:pt>
                <c:pt idx="524">
                  <c:v>2.3686914972618553</c:v>
                </c:pt>
                <c:pt idx="525">
                  <c:v>2.3729144702348282</c:v>
                </c:pt>
                <c:pt idx="526">
                  <c:v>2.3771374432078005</c:v>
                </c:pt>
                <c:pt idx="527">
                  <c:v>2.3813604161807738</c:v>
                </c:pt>
                <c:pt idx="528">
                  <c:v>2.385583389153747</c:v>
                </c:pt>
                <c:pt idx="529">
                  <c:v>2.3898063621267198</c:v>
                </c:pt>
                <c:pt idx="530">
                  <c:v>2.3940293350996926</c:v>
                </c:pt>
                <c:pt idx="531">
                  <c:v>2.3982523080726659</c:v>
                </c:pt>
                <c:pt idx="532">
                  <c:v>2.4024752810456391</c:v>
                </c:pt>
                <c:pt idx="533">
                  <c:v>2.4066982540186119</c:v>
                </c:pt>
                <c:pt idx="534">
                  <c:v>2.4109212269915856</c:v>
                </c:pt>
                <c:pt idx="535">
                  <c:v>2.415144199964558</c:v>
                </c:pt>
                <c:pt idx="536">
                  <c:v>2.4193671729375312</c:v>
                </c:pt>
                <c:pt idx="537">
                  <c:v>2.423590145910504</c:v>
                </c:pt>
                <c:pt idx="538">
                  <c:v>2.4278131188834768</c:v>
                </c:pt>
                <c:pt idx="539">
                  <c:v>2.4320360918564496</c:v>
                </c:pt>
                <c:pt idx="540">
                  <c:v>2.4362590648294224</c:v>
                </c:pt>
                <c:pt idx="541">
                  <c:v>2.4404820378023961</c:v>
                </c:pt>
                <c:pt idx="542">
                  <c:v>2.4447050107753694</c:v>
                </c:pt>
                <c:pt idx="543">
                  <c:v>2.4489279837483422</c:v>
                </c:pt>
                <c:pt idx="544">
                  <c:v>2.453150956721315</c:v>
                </c:pt>
                <c:pt idx="545">
                  <c:v>2.4573739296942887</c:v>
                </c:pt>
                <c:pt idx="546">
                  <c:v>2.4615969026672615</c:v>
                </c:pt>
                <c:pt idx="547">
                  <c:v>2.4658198756402339</c:v>
                </c:pt>
                <c:pt idx="548">
                  <c:v>2.4700428486132067</c:v>
                </c:pt>
                <c:pt idx="549">
                  <c:v>2.4742658215861808</c:v>
                </c:pt>
                <c:pt idx="550">
                  <c:v>2.4784887945591536</c:v>
                </c:pt>
                <c:pt idx="551">
                  <c:v>2.482711767532126</c:v>
                </c:pt>
                <c:pt idx="552">
                  <c:v>2.4869347405050988</c:v>
                </c:pt>
                <c:pt idx="553">
                  <c:v>2.4911577134780725</c:v>
                </c:pt>
                <c:pt idx="554">
                  <c:v>2.4953806864510453</c:v>
                </c:pt>
                <c:pt idx="555">
                  <c:v>2.4996036594240181</c:v>
                </c:pt>
                <c:pt idx="556">
                  <c:v>2.5038266323969913</c:v>
                </c:pt>
                <c:pt idx="557">
                  <c:v>2.508049605369965</c:v>
                </c:pt>
                <c:pt idx="558">
                  <c:v>2.5122725783429378</c:v>
                </c:pt>
                <c:pt idx="559">
                  <c:v>2.5164955513159106</c:v>
                </c:pt>
                <c:pt idx="560">
                  <c:v>2.5207185242888834</c:v>
                </c:pt>
                <c:pt idx="561">
                  <c:v>2.5249414972618567</c:v>
                </c:pt>
                <c:pt idx="562">
                  <c:v>2.5291644702348295</c:v>
                </c:pt>
                <c:pt idx="563">
                  <c:v>2.5333874432078023</c:v>
                </c:pt>
                <c:pt idx="564">
                  <c:v>2.5376104161807751</c:v>
                </c:pt>
                <c:pt idx="565">
                  <c:v>2.5418333891537479</c:v>
                </c:pt>
                <c:pt idx="566">
                  <c:v>2.5460563621267216</c:v>
                </c:pt>
                <c:pt idx="567">
                  <c:v>2.5502793350996944</c:v>
                </c:pt>
                <c:pt idx="568">
                  <c:v>2.5545023080726672</c:v>
                </c:pt>
                <c:pt idx="569">
                  <c:v>2.55872528104564</c:v>
                </c:pt>
                <c:pt idx="570">
                  <c:v>2.5629482540186137</c:v>
                </c:pt>
                <c:pt idx="571">
                  <c:v>2.5671712269915865</c:v>
                </c:pt>
                <c:pt idx="572">
                  <c:v>2.5713941999645589</c:v>
                </c:pt>
                <c:pt idx="573">
                  <c:v>2.5756171729375321</c:v>
                </c:pt>
                <c:pt idx="574">
                  <c:v>2.5798401459105058</c:v>
                </c:pt>
                <c:pt idx="575">
                  <c:v>2.5840631188834786</c:v>
                </c:pt>
                <c:pt idx="576">
                  <c:v>2.5882860918564514</c:v>
                </c:pt>
                <c:pt idx="577">
                  <c:v>2.5925090648294242</c:v>
                </c:pt>
                <c:pt idx="578">
                  <c:v>2.5967320378023975</c:v>
                </c:pt>
                <c:pt idx="579">
                  <c:v>2.6009550107753703</c:v>
                </c:pt>
                <c:pt idx="580">
                  <c:v>2.6051779837483431</c:v>
                </c:pt>
                <c:pt idx="581">
                  <c:v>2.6094009567213168</c:v>
                </c:pt>
                <c:pt idx="582">
                  <c:v>2.61362392969429</c:v>
                </c:pt>
                <c:pt idx="583">
                  <c:v>2.6178469026672628</c:v>
                </c:pt>
                <c:pt idx="584">
                  <c:v>2.6220698756402356</c:v>
                </c:pt>
                <c:pt idx="585">
                  <c:v>2.6262928486132089</c:v>
                </c:pt>
                <c:pt idx="586">
                  <c:v>2.6305158215861817</c:v>
                </c:pt>
                <c:pt idx="587">
                  <c:v>2.6347387945591545</c:v>
                </c:pt>
                <c:pt idx="588">
                  <c:v>2.6389617675321269</c:v>
                </c:pt>
                <c:pt idx="589">
                  <c:v>2.6431847405051005</c:v>
                </c:pt>
                <c:pt idx="590">
                  <c:v>2.6474077134780734</c:v>
                </c:pt>
                <c:pt idx="591">
                  <c:v>2.651630686451047</c:v>
                </c:pt>
                <c:pt idx="592">
                  <c:v>2.6558536594240199</c:v>
                </c:pt>
                <c:pt idx="593">
                  <c:v>2.6600766323969927</c:v>
                </c:pt>
                <c:pt idx="594">
                  <c:v>2.6642996053699655</c:v>
                </c:pt>
                <c:pt idx="595">
                  <c:v>2.6685225783429392</c:v>
                </c:pt>
                <c:pt idx="596">
                  <c:v>2.6727455513159115</c:v>
                </c:pt>
                <c:pt idx="597">
                  <c:v>2.6769685242888843</c:v>
                </c:pt>
                <c:pt idx="598">
                  <c:v>2.6811914972618576</c:v>
                </c:pt>
                <c:pt idx="599">
                  <c:v>2.6854144702348313</c:v>
                </c:pt>
                <c:pt idx="600">
                  <c:v>2.6896374432078036</c:v>
                </c:pt>
                <c:pt idx="601">
                  <c:v>2.6938604161807769</c:v>
                </c:pt>
                <c:pt idx="602">
                  <c:v>2.6980833891537497</c:v>
                </c:pt>
                <c:pt idx="603">
                  <c:v>2.7023063621267229</c:v>
                </c:pt>
                <c:pt idx="604">
                  <c:v>2.7065293350996957</c:v>
                </c:pt>
                <c:pt idx="605">
                  <c:v>2.7107523080726685</c:v>
                </c:pt>
                <c:pt idx="606">
                  <c:v>2.7149752810456418</c:v>
                </c:pt>
                <c:pt idx="607">
                  <c:v>2.7191982540186155</c:v>
                </c:pt>
                <c:pt idx="608">
                  <c:v>2.7234212269915883</c:v>
                </c:pt>
                <c:pt idx="609">
                  <c:v>2.7276441999645611</c:v>
                </c:pt>
                <c:pt idx="610">
                  <c:v>2.7318671729375343</c:v>
                </c:pt>
                <c:pt idx="611">
                  <c:v>2.7360902881561069</c:v>
                </c:pt>
                <c:pt idx="612">
                  <c:v>2.7403446299463425</c:v>
                </c:pt>
                <c:pt idx="613">
                  <c:v>2.7446304292038541</c:v>
                </c:pt>
                <c:pt idx="614">
                  <c:v>2.7489479185315449</c:v>
                </c:pt>
                <c:pt idx="615">
                  <c:v>2.7532973322522287</c:v>
                </c:pt>
                <c:pt idx="616">
                  <c:v>2.757678906421352</c:v>
                </c:pt>
                <c:pt idx="617">
                  <c:v>2.7620928788398023</c:v>
                </c:pt>
                <c:pt idx="618">
                  <c:v>2.7665394890668153</c:v>
                </c:pt>
                <c:pt idx="619">
                  <c:v>2.7710189784329771</c:v>
                </c:pt>
                <c:pt idx="620">
                  <c:v>2.77553159005332</c:v>
                </c:pt>
                <c:pt idx="621">
                  <c:v>2.7800775688405177</c:v>
                </c:pt>
                <c:pt idx="622">
                  <c:v>2.7846571615181808</c:v>
                </c:pt>
                <c:pt idx="623">
                  <c:v>2.7892706166342416</c:v>
                </c:pt>
                <c:pt idx="624">
                  <c:v>2.7939181845744483</c:v>
                </c:pt>
                <c:pt idx="625">
                  <c:v>2.798600117575949</c:v>
                </c:pt>
                <c:pt idx="626">
                  <c:v>2.8033166697409881</c:v>
                </c:pt>
                <c:pt idx="627">
                  <c:v>2.8080680970506919</c:v>
                </c:pt>
                <c:pt idx="628">
                  <c:v>2.8128546573789639</c:v>
                </c:pt>
                <c:pt idx="629">
                  <c:v>2.8176766105064779</c:v>
                </c:pt>
                <c:pt idx="630">
                  <c:v>2.8225342181347806</c:v>
                </c:pt>
                <c:pt idx="631">
                  <c:v>2.8274277439004933</c:v>
                </c:pt>
                <c:pt idx="632">
                  <c:v>2.8323574533896183</c:v>
                </c:pt>
                <c:pt idx="633">
                  <c:v>2.8373236141519551</c:v>
                </c:pt>
                <c:pt idx="634">
                  <c:v>2.8423264957156222</c:v>
                </c:pt>
                <c:pt idx="635">
                  <c:v>2.8473663696016818</c:v>
                </c:pt>
                <c:pt idx="636">
                  <c:v>2.8524435093388805</c:v>
                </c:pt>
                <c:pt idx="637">
                  <c:v>2.8575581904784886</c:v>
                </c:pt>
                <c:pt idx="638">
                  <c:v>2.8627106906092616</c:v>
                </c:pt>
                <c:pt idx="639">
                  <c:v>2.8679012893725022</c:v>
                </c:pt>
                <c:pt idx="640">
                  <c:v>2.8731302684772357</c:v>
                </c:pt>
                <c:pt idx="641">
                  <c:v>2.8783979117155019</c:v>
                </c:pt>
                <c:pt idx="642">
                  <c:v>2.8837045049777577</c:v>
                </c:pt>
                <c:pt idx="643">
                  <c:v>2.8890503362683919</c:v>
                </c:pt>
                <c:pt idx="644">
                  <c:v>2.8944356957213553</c:v>
                </c:pt>
                <c:pt idx="645">
                  <c:v>2.8998608756159086</c:v>
                </c:pt>
                <c:pt idx="646">
                  <c:v>2.9053261703924838</c:v>
                </c:pt>
                <c:pt idx="647">
                  <c:v>2.9108318766686678</c:v>
                </c:pt>
                <c:pt idx="648">
                  <c:v>2.9163782932552946</c:v>
                </c:pt>
                <c:pt idx="649">
                  <c:v>2.9219657211726702</c:v>
                </c:pt>
                <c:pt idx="650">
                  <c:v>2.9275944636669018</c:v>
                </c:pt>
                <c:pt idx="651">
                  <c:v>2.9332648262263636</c:v>
                </c:pt>
                <c:pt idx="652">
                  <c:v>2.9389771165982692</c:v>
                </c:pt>
                <c:pt idx="653">
                  <c:v>2.9447316448053824</c:v>
                </c:pt>
                <c:pt idx="654">
                  <c:v>2.9505287231628325</c:v>
                </c:pt>
                <c:pt idx="655">
                  <c:v>2.9563686662950746</c:v>
                </c:pt>
                <c:pt idx="656">
                  <c:v>2.9622517911529598</c:v>
                </c:pt>
                <c:pt idx="657">
                  <c:v>2.9681784170309378</c:v>
                </c:pt>
                <c:pt idx="658">
                  <c:v>2.974148865584386</c:v>
                </c:pt>
                <c:pt idx="659">
                  <c:v>2.9801634608470677</c:v>
                </c:pt>
                <c:pt idx="660">
                  <c:v>2.9862225292487174</c:v>
                </c:pt>
                <c:pt idx="661">
                  <c:v>2.9923263996327578</c:v>
                </c:pt>
                <c:pt idx="662">
                  <c:v>2.9984754032741452</c:v>
                </c:pt>
                <c:pt idx="663">
                  <c:v>3.0046698738973521</c:v>
                </c:pt>
                <c:pt idx="664">
                  <c:v>3.0109101476944757</c:v>
                </c:pt>
                <c:pt idx="665">
                  <c:v>3.0171965633434876</c:v>
                </c:pt>
                <c:pt idx="666">
                  <c:v>3.0235294620266133</c:v>
                </c:pt>
                <c:pt idx="667">
                  <c:v>3.0299091874488462</c:v>
                </c:pt>
                <c:pt idx="668">
                  <c:v>3.0363360858566062</c:v>
                </c:pt>
                <c:pt idx="669">
                  <c:v>3.0428105060565307</c:v>
                </c:pt>
                <c:pt idx="670">
                  <c:v>3.0493327994344015</c:v>
                </c:pt>
                <c:pt idx="671">
                  <c:v>3.0559033199742198</c:v>
                </c:pt>
                <c:pt idx="672">
                  <c:v>3.0625224242774176</c:v>
                </c:pt>
                <c:pt idx="673">
                  <c:v>3.0691904715822065</c:v>
                </c:pt>
                <c:pt idx="674">
                  <c:v>3.0759078237830835</c:v>
                </c:pt>
                <c:pt idx="675">
                  <c:v>3.0826748454504624</c:v>
                </c:pt>
                <c:pt idx="676">
                  <c:v>3.0894919038504685</c:v>
                </c:pt>
                <c:pt idx="677">
                  <c:v>3.0963593689648623</c:v>
                </c:pt>
                <c:pt idx="678">
                  <c:v>3.1032776135111324</c:v>
                </c:pt>
                <c:pt idx="679">
                  <c:v>3.1102470129627084</c:v>
                </c:pt>
                <c:pt idx="680">
                  <c:v>3.1172679455693508</c:v>
                </c:pt>
                <c:pt idx="681">
                  <c:v>3.1243407923776738</c:v>
                </c:pt>
                <c:pt idx="682">
                  <c:v>3.1314659372518312</c:v>
                </c:pt>
                <c:pt idx="683">
                  <c:v>3.138643766894341</c:v>
                </c:pt>
                <c:pt idx="684">
                  <c:v>3.1458746708670833</c:v>
                </c:pt>
                <c:pt idx="685">
                  <c:v>3.1531590416124344</c:v>
                </c:pt>
                <c:pt idx="686">
                  <c:v>3.1604972744745701</c:v>
                </c:pt>
                <c:pt idx="687">
                  <c:v>3.1678897677209217</c:v>
                </c:pt>
                <c:pt idx="688">
                  <c:v>3.1753369225637913</c:v>
                </c:pt>
                <c:pt idx="689">
                  <c:v>3.1828391431821248</c:v>
                </c:pt>
                <c:pt idx="690">
                  <c:v>3.1903968367434499</c:v>
                </c:pt>
                <c:pt idx="691">
                  <c:v>3.1980104134259757</c:v>
                </c:pt>
                <c:pt idx="692">
                  <c:v>3.205680286440848</c:v>
                </c:pt>
                <c:pt idx="693">
                  <c:v>3.213406872054585</c:v>
                </c:pt>
                <c:pt idx="694">
                  <c:v>3.2211905896116599</c:v>
                </c:pt>
                <c:pt idx="695">
                  <c:v>3.2290318615572642</c:v>
                </c:pt>
                <c:pt idx="696">
                  <c:v>3.2369311134602383</c:v>
                </c:pt>
                <c:pt idx="697">
                  <c:v>3.2448887740361627</c:v>
                </c:pt>
                <c:pt idx="698">
                  <c:v>3.2529052751706273</c:v>
                </c:pt>
                <c:pt idx="699">
                  <c:v>3.2609810519426738</c:v>
                </c:pt>
                <c:pt idx="700">
                  <c:v>3.2691165426484052</c:v>
                </c:pt>
                <c:pt idx="701">
                  <c:v>3.2773121888247765</c:v>
                </c:pt>
                <c:pt idx="702">
                  <c:v>3.2855684352735528</c:v>
                </c:pt>
                <c:pt idx="703">
                  <c:v>3.2938857300854596</c:v>
                </c:pt>
                <c:pt idx="704">
                  <c:v>3.3022645246644902</c:v>
                </c:pt>
                <c:pt idx="705">
                  <c:v>3.3107052737524163</c:v>
                </c:pt>
                <c:pt idx="706">
                  <c:v>3.3192084354534579</c:v>
                </c:pt>
                <c:pt idx="707">
                  <c:v>3.3277744712591542</c:v>
                </c:pt>
                <c:pt idx="708">
                  <c:v>3.3364038460734031</c:v>
                </c:pt>
                <c:pt idx="709">
                  <c:v>3.3450970282377015</c:v>
                </c:pt>
                <c:pt idx="710">
                  <c:v>3.3538544895565532</c:v>
                </c:pt>
                <c:pt idx="711">
                  <c:v>3.3626767053230826</c:v>
                </c:pt>
                <c:pt idx="712">
                  <c:v>3.3715641543448274</c:v>
                </c:pt>
                <c:pt idx="713">
                  <c:v>3.380517318969726</c:v>
                </c:pt>
                <c:pt idx="714">
                  <c:v>3.3895366851122959</c:v>
                </c:pt>
                <c:pt idx="715">
                  <c:v>3.3986227422800042</c:v>
                </c:pt>
                <c:pt idx="716">
                  <c:v>3.4077759835998371</c:v>
                </c:pt>
                <c:pt idx="717">
                  <c:v>3.4169969058450582</c:v>
                </c:pt>
                <c:pt idx="718">
                  <c:v>3.4262860094621796</c:v>
                </c:pt>
                <c:pt idx="719">
                  <c:v>3.4356437985981123</c:v>
                </c:pt>
                <c:pt idx="720">
                  <c:v>3.4450707811275314</c:v>
                </c:pt>
                <c:pt idx="721">
                  <c:v>3.4545674686804406</c:v>
                </c:pt>
                <c:pt idx="722">
                  <c:v>3.4641343766699451</c:v>
                </c:pt>
                <c:pt idx="723">
                  <c:v>3.4737720243202115</c:v>
                </c:pt>
                <c:pt idx="724">
                  <c:v>3.4834809346946618</c:v>
                </c:pt>
                <c:pt idx="725">
                  <c:v>3.4932616347243504</c:v>
                </c:pt>
                <c:pt idx="726">
                  <c:v>3.5031146552365704</c:v>
                </c:pt>
                <c:pt idx="727">
                  <c:v>3.5130405309836563</c:v>
                </c:pt>
                <c:pt idx="728">
                  <c:v>3.5230398006720165</c:v>
                </c:pt>
                <c:pt idx="729">
                  <c:v>3.5331130069913543</c:v>
                </c:pt>
                <c:pt idx="730">
                  <c:v>3.543260696644138</c:v>
                </c:pt>
                <c:pt idx="731">
                  <c:v>3.553483420375263</c:v>
                </c:pt>
                <c:pt idx="732">
                  <c:v>3.5637817330019459</c:v>
                </c:pt>
                <c:pt idx="733">
                  <c:v>3.5741561934438306</c:v>
                </c:pt>
                <c:pt idx="734">
                  <c:v>3.5846073647533303</c:v>
                </c:pt>
                <c:pt idx="735">
                  <c:v>3.5951358141461789</c:v>
                </c:pt>
                <c:pt idx="736">
                  <c:v>3.6057421130322225</c:v>
                </c:pt>
                <c:pt idx="737">
                  <c:v>3.6164268370464234</c:v>
                </c:pt>
                <c:pt idx="738">
                  <c:v>3.6271905660801091</c:v>
                </c:pt>
                <c:pt idx="739">
                  <c:v>3.638033884312438</c:v>
                </c:pt>
                <c:pt idx="740">
                  <c:v>3.6489573802421122</c:v>
                </c:pt>
                <c:pt idx="741">
                  <c:v>3.6599616467193106</c:v>
                </c:pt>
                <c:pt idx="742">
                  <c:v>3.6710472809778647</c:v>
                </c:pt>
                <c:pt idx="743">
                  <c:v>3.6822148846676779</c:v>
                </c:pt>
                <c:pt idx="744">
                  <c:v>3.6934650638873712</c:v>
                </c:pt>
                <c:pt idx="745">
                  <c:v>3.7047984292171856</c:v>
                </c:pt>
                <c:pt idx="746">
                  <c:v>3.7162155957521135</c:v>
                </c:pt>
                <c:pt idx="747">
                  <c:v>3.727717183135288</c:v>
                </c:pt>
                <c:pt idx="748">
                  <c:v>3.7393038155916041</c:v>
                </c:pt>
                <c:pt idx="749">
                  <c:v>3.7509761219616102</c:v>
                </c:pt>
                <c:pt idx="750">
                  <c:v>3.7627347357356209</c:v>
                </c:pt>
                <c:pt idx="751">
                  <c:v>3.7745802950881151</c:v>
                </c:pt>
                <c:pt idx="752">
                  <c:v>3.7865134429123533</c:v>
                </c:pt>
                <c:pt idx="753">
                  <c:v>3.7985348268552914</c:v>
                </c:pt>
                <c:pt idx="754">
                  <c:v>3.8106450993527079</c:v>
                </c:pt>
                <c:pt idx="755">
                  <c:v>3.8228449176646313</c:v>
                </c:pt>
                <c:pt idx="756">
                  <c:v>3.8351349439109987</c:v>
                </c:pt>
                <c:pt idx="757">
                  <c:v>3.8475158451076008</c:v>
                </c:pt>
                <c:pt idx="758">
                  <c:v>3.8599882932022758</c:v>
                </c:pt>
                <c:pt idx="759">
                  <c:v>3.8725529651113835</c:v>
                </c:pt>
                <c:pt idx="760">
                  <c:v>3.8852105427565378</c:v>
                </c:pt>
                <c:pt idx="761">
                  <c:v>3.8979617131016187</c:v>
                </c:pt>
                <c:pt idx="762">
                  <c:v>3.9108071681900607</c:v>
                </c:pt>
                <c:pt idx="763">
                  <c:v>3.9237476051824074</c:v>
                </c:pt>
                <c:pt idx="764">
                  <c:v>3.9367837263941441</c:v>
                </c:pt>
                <c:pt idx="765">
                  <c:v>3.9499162393338252</c:v>
                </c:pt>
                <c:pt idx="766">
                  <c:v>3.9631458567414639</c:v>
                </c:pt>
                <c:pt idx="767">
                  <c:v>3.9764732966272196</c:v>
                </c:pt>
                <c:pt idx="768">
                  <c:v>3.9898992823103643</c:v>
                </c:pt>
                <c:pt idx="769">
                  <c:v>4.0034245424585384</c:v>
                </c:pt>
                <c:pt idx="770">
                  <c:v>4.017049811127297</c:v>
                </c:pt>
                <c:pt idx="771">
                  <c:v>4.0307758277999568</c:v>
                </c:pt>
                <c:pt idx="772">
                  <c:v>4.0446033374277208</c:v>
                </c:pt>
                <c:pt idx="773">
                  <c:v>4.0585330904701102</c:v>
                </c:pt>
                <c:pt idx="774">
                  <c:v>4.0725658429357026</c:v>
                </c:pt>
                <c:pt idx="775">
                  <c:v>4.0867023564231486</c:v>
                </c:pt>
                <c:pt idx="776">
                  <c:v>4.1009433981625243</c:v>
                </c:pt>
                <c:pt idx="777">
                  <c:v>4.1152897410569471</c:v>
                </c:pt>
                <c:pt idx="778">
                  <c:v>4.1297421637245515</c:v>
                </c:pt>
                <c:pt idx="779">
                  <c:v>4.1443014505407199</c:v>
                </c:pt>
                <c:pt idx="780">
                  <c:v>4.158968391680677</c:v>
                </c:pt>
                <c:pt idx="781">
                  <c:v>4.1737437831623527</c:v>
                </c:pt>
                <c:pt idx="782">
                  <c:v>4.1886284268896059</c:v>
                </c:pt>
                <c:pt idx="783">
                  <c:v>4.2036231306957257</c:v>
                </c:pt>
                <c:pt idx="784">
                  <c:v>4.2187287083872897</c:v>
                </c:pt>
                <c:pt idx="785">
                  <c:v>4.233945979788329</c:v>
                </c:pt>
                <c:pt idx="786">
                  <c:v>4.2492757707848154</c:v>
                </c:pt>
                <c:pt idx="787">
                  <c:v>4.2647189133694887</c:v>
                </c:pt>
                <c:pt idx="788">
                  <c:v>4.2802762456870163</c:v>
                </c:pt>
                <c:pt idx="789">
                  <c:v>4.2959486120794752</c:v>
                </c:pt>
                <c:pt idx="790">
                  <c:v>4.3117368631321789</c:v>
                </c:pt>
                <c:pt idx="791">
                  <c:v>4.3276418557198442</c:v>
                </c:pt>
                <c:pt idx="792">
                  <c:v>4.3436644530530888</c:v>
                </c:pt>
                <c:pt idx="793">
                  <c:v>4.3598055247252878</c:v>
                </c:pt>
                <c:pt idx="794">
                  <c:v>4.3760659467597698</c:v>
                </c:pt>
                <c:pt idx="795">
                  <c:v>4.3924466016573502</c:v>
                </c:pt>
                <c:pt idx="796">
                  <c:v>4.4089483784442391</c:v>
                </c:pt>
                <c:pt idx="797">
                  <c:v>4.4255721727202877</c:v>
                </c:pt>
                <c:pt idx="798">
                  <c:v>4.4423188867075929</c:v>
                </c:pt>
                <c:pt idx="799">
                  <c:v>4.4591894292994665</c:v>
                </c:pt>
                <c:pt idx="800">
                  <c:v>4.476184716109759</c:v>
                </c:pt>
                <c:pt idx="801">
                  <c:v>4.4933056695225595</c:v>
                </c:pt>
                <c:pt idx="802">
                  <c:v>4.5105532187422464</c:v>
                </c:pt>
                <c:pt idx="803">
                  <c:v>4.5279282998439339</c:v>
                </c:pt>
                <c:pt idx="804">
                  <c:v>4.5454318558242575</c:v>
                </c:pt>
                <c:pt idx="805">
                  <c:v>4.563064836652563</c:v>
                </c:pt>
                <c:pt idx="806">
                  <c:v>4.580828199322462</c:v>
                </c:pt>
                <c:pt idx="807">
                  <c:v>4.5987229079037757</c:v>
                </c:pt>
                <c:pt idx="808">
                  <c:v>4.6167499335948445</c:v>
                </c:pt>
                <c:pt idx="809">
                  <c:v>4.6349102547752601</c:v>
                </c:pt>
                <c:pt idx="810">
                  <c:v>4.653204857058939</c:v>
                </c:pt>
                <c:pt idx="811">
                  <c:v>4.6716347333476334</c:v>
                </c:pt>
                <c:pt idx="812">
                  <c:v>4.690200883884807</c:v>
                </c:pt>
                <c:pt idx="813">
                  <c:v>4.7089043163099422</c:v>
                </c:pt>
                <c:pt idx="814">
                  <c:v>4.7277460457131877</c:v>
                </c:pt>
                <c:pt idx="815">
                  <c:v>4.7467270946904918</c:v>
                </c:pt>
                <c:pt idx="816">
                  <c:v>4.7658484933990923</c:v>
                </c:pt>
                <c:pt idx="817">
                  <c:v>4.7851112796133943</c:v>
                </c:pt>
                <c:pt idx="818">
                  <c:v>4.8045164987813411</c:v>
                </c:pt>
                <c:pt idx="819">
                  <c:v>4.8240652040811147</c:v>
                </c:pt>
                <c:pt idx="820">
                  <c:v>4.8437584564783212</c:v>
                </c:pt>
                <c:pt idx="821">
                  <c:v>4.8635973247835516</c:v>
                </c:pt>
                <c:pt idx="822">
                  <c:v>4.8835828857104122</c:v>
                </c:pt>
                <c:pt idx="823">
                  <c:v>4.9037162239339382</c:v>
                </c:pt>
                <c:pt idx="824">
                  <c:v>4.9239984321494745</c:v>
                </c:pt>
                <c:pt idx="825">
                  <c:v>4.9444306111319793</c:v>
                </c:pt>
                <c:pt idx="826">
                  <c:v>4.9650138697957598</c:v>
                </c:pt>
                <c:pt idx="827">
                  <c:v>4.985749325254667</c:v>
                </c:pt>
                <c:pt idx="828">
                  <c:v>5.0066381028827216</c:v>
                </c:pt>
                <c:pt idx="829">
                  <c:v>5.0276813363751769</c:v>
                </c:pt>
                <c:pt idx="830">
                  <c:v>5.0488801678100668</c:v>
                </c:pt>
                <c:pt idx="831">
                  <c:v>5.0702357477101794</c:v>
                </c:pt>
                <c:pt idx="832">
                  <c:v>5.0917492351055031</c:v>
                </c:pt>
                <c:pt idx="833">
                  <c:v>5.1134217975961258</c:v>
                </c:pt>
                <c:pt idx="834">
                  <c:v>5.1352546114156192</c:v>
                </c:pt>
                <c:pt idx="835">
                  <c:v>5.1572488614948488</c:v>
                </c:pt>
                <c:pt idx="836">
                  <c:v>5.1794057415263151</c:v>
                </c:pt>
                <c:pt idx="837">
                  <c:v>5.2017264540289077</c:v>
                </c:pt>
                <c:pt idx="838">
                  <c:v>5.2242122104132065</c:v>
                </c:pt>
                <c:pt idx="839">
                  <c:v>5.2468642310471774</c:v>
                </c:pt>
                <c:pt idx="840">
                  <c:v>5.2696837453224594</c:v>
                </c:pt>
                <c:pt idx="841">
                  <c:v>5.2926719917210638</c:v>
                </c:pt>
                <c:pt idx="842">
                  <c:v>5.3158302178825645</c:v>
                </c:pt>
                <c:pt idx="843">
                  <c:v>5.3391596806718633</c:v>
                </c:pt>
                <c:pt idx="844">
                  <c:v>5.362661646247358</c:v>
                </c:pt>
                <c:pt idx="845">
                  <c:v>5.3863373901296949</c:v>
                </c:pt>
                <c:pt idx="846">
                  <c:v>5.4101881972709611</c:v>
                </c:pt>
                <c:pt idx="847">
                  <c:v>5.4342153621244575</c:v>
                </c:pt>
                <c:pt idx="848">
                  <c:v>5.458420188714924</c:v>
                </c:pt>
                <c:pt idx="849">
                  <c:v>5.4828039907093267</c:v>
                </c:pt>
                <c:pt idx="850">
                  <c:v>5.5073680914881535</c:v>
                </c:pt>
                <c:pt idx="851">
                  <c:v>5.5321138242172356</c:v>
                </c:pt>
                <c:pt idx="852">
                  <c:v>5.5570425319201009</c:v>
                </c:pt>
                <c:pt idx="853">
                  <c:v>5.5821555675508705</c:v>
                </c:pt>
                <c:pt idx="854">
                  <c:v>5.607454294067689</c:v>
                </c:pt>
                <c:pt idx="855">
                  <c:v>5.632940084506675</c:v>
                </c:pt>
                <c:pt idx="856">
                  <c:v>5.6586143220564651</c:v>
                </c:pt>
                <c:pt idx="857">
                  <c:v>5.68447840013327</c:v>
                </c:pt>
                <c:pt idx="858">
                  <c:v>5.7105337224564998</c:v>
                </c:pt>
                <c:pt idx="859">
                  <c:v>5.7367817031249642</c:v>
                </c:pt>
                <c:pt idx="860">
                  <c:v>5.763223766693593</c:v>
                </c:pt>
                <c:pt idx="861">
                  <c:v>5.7898613482507653</c:v>
                </c:pt>
                <c:pt idx="862">
                  <c:v>5.8166958934962034</c:v>
                </c:pt>
                <c:pt idx="863">
                  <c:v>5.843728858819432</c:v>
                </c:pt>
                <c:pt idx="864">
                  <c:v>5.8709617113787882</c:v>
                </c:pt>
                <c:pt idx="865">
                  <c:v>5.8983959291811017</c:v>
                </c:pt>
                <c:pt idx="866">
                  <c:v>5.9260330011618896</c:v>
                </c:pt>
                <c:pt idx="867">
                  <c:v>5.9538744272661273</c:v>
                </c:pt>
                <c:pt idx="868">
                  <c:v>5.9819217185297235</c:v>
                </c:pt>
                <c:pt idx="869">
                  <c:v>6.0101763971614739</c:v>
                </c:pt>
                <c:pt idx="870">
                  <c:v>6.0386399966256947</c:v>
                </c:pt>
                <c:pt idx="871">
                  <c:v>6.0673140617254608</c:v>
                </c:pt>
                <c:pt idx="872">
                  <c:v>6.0962001486864326</c:v>
                </c:pt>
                <c:pt idx="873">
                  <c:v>6.1252998252413082</c:v>
                </c:pt>
                <c:pt idx="874">
                  <c:v>6.1546146707149276</c:v>
                </c:pt>
                <c:pt idx="875">
                  <c:v>6.1841462761099777</c:v>
                </c:pt>
                <c:pt idx="876">
                  <c:v>6.2138962441933412</c:v>
                </c:pt>
                <c:pt idx="877">
                  <c:v>6.2438661895830814</c:v>
                </c:pt>
                <c:pt idx="878">
                  <c:v>6.2740577388360927</c:v>
                </c:pt>
                <c:pt idx="879">
                  <c:v>6.3044725305363363</c:v>
                </c:pt>
                <c:pt idx="880">
                  <c:v>6.3351122153838197</c:v>
                </c:pt>
                <c:pt idx="881">
                  <c:v>6.3659784562841457</c:v>
                </c:pt>
                <c:pt idx="882">
                  <c:v>6.3970729284387842</c:v>
                </c:pt>
                <c:pt idx="883">
                  <c:v>6.4283973194359785</c:v>
                </c:pt>
                <c:pt idx="884">
                  <c:v>6.4599533293423583</c:v>
                </c:pt>
                <c:pt idx="885">
                  <c:v>6.4917426707951762</c:v>
                </c:pt>
                <c:pt idx="886">
                  <c:v>6.5237670690952783</c:v>
                </c:pt>
                <c:pt idx="887">
                  <c:v>6.5560282623007282</c:v>
                </c:pt>
                <c:pt idx="888">
                  <c:v>6.588528001321162</c:v>
                </c:pt>
                <c:pt idx="889">
                  <c:v>6.6212680500127732</c:v>
                </c:pt>
                <c:pt idx="890">
                  <c:v>6.6542501852740861</c:v>
                </c:pt>
                <c:pt idx="891">
                  <c:v>6.6874761971423773</c:v>
                </c:pt>
                <c:pt idx="892">
                  <c:v>6.7209478888907874</c:v>
                </c:pt>
                <c:pt idx="893">
                  <c:v>6.7546670771262667</c:v>
                </c:pt>
                <c:pt idx="894">
                  <c:v>6.7886355918881023</c:v>
                </c:pt>
                <c:pt idx="895">
                  <c:v>6.8228552767472701</c:v>
                </c:pt>
                <c:pt idx="896">
                  <c:v>6.8573279889064773</c:v>
                </c:pt>
                <c:pt idx="897">
                  <c:v>6.8920555993009769</c:v>
                </c:pt>
                <c:pt idx="898">
                  <c:v>6.9270399927000987</c:v>
                </c:pt>
                <c:pt idx="899">
                  <c:v>6.962283067809528</c:v>
                </c:pt>
                <c:pt idx="900">
                  <c:v>6.9977867373743683</c:v>
                </c:pt>
                <c:pt idx="901">
                  <c:v>7.033552928282953</c:v>
                </c:pt>
                <c:pt idx="902">
                  <c:v>7.0695835816714085</c:v>
                </c:pt>
                <c:pt idx="903">
                  <c:v>7.1058806530290397</c:v>
                </c:pt>
                <c:pt idx="904">
                  <c:v>7.1424461123044143</c:v>
                </c:pt>
                <c:pt idx="905">
                  <c:v>7.1792819440123061</c:v>
                </c:pt>
                <c:pt idx="906">
                  <c:v>7.2163901473413903</c:v>
                </c:pt>
                <c:pt idx="907">
                  <c:v>7.253772736262766</c:v>
                </c:pt>
                <c:pt idx="908">
                  <c:v>7.2914317396392194</c:v>
                </c:pt>
                <c:pt idx="909">
                  <c:v>7.3293692013353855</c:v>
                </c:pt>
                <c:pt idx="910">
                  <c:v>7.3675871803286288</c:v>
                </c:pt>
                <c:pt idx="911">
                  <c:v>7.40608775082082</c:v>
                </c:pt>
                <c:pt idx="912">
                  <c:v>7.4448730023508913</c:v>
                </c:pt>
                <c:pt idx="913">
                  <c:v>7.4839450399082761</c:v>
                </c:pt>
                <c:pt idx="914">
                  <c:v>7.5233059840470817</c:v>
                </c:pt>
                <c:pt idx="915">
                  <c:v>7.5629579710012562</c:v>
                </c:pt>
                <c:pt idx="916">
                  <c:v>7.6029031528005175</c:v>
                </c:pt>
                <c:pt idx="917">
                  <c:v>7.643143697387063</c:v>
                </c:pt>
                <c:pt idx="918">
                  <c:v>7.6836817887333533</c:v>
                </c:pt>
                <c:pt idx="919">
                  <c:v>7.7245196269605563</c:v>
                </c:pt>
                <c:pt idx="920">
                  <c:v>7.7656594284579903</c:v>
                </c:pt>
                <c:pt idx="921">
                  <c:v>7.8071034260033967</c:v>
                </c:pt>
                <c:pt idx="922">
                  <c:v>7.848853868884154</c:v>
                </c:pt>
                <c:pt idx="923">
                  <c:v>7.890913023019305</c:v>
                </c:pt>
                <c:pt idx="924">
                  <c:v>7.9332831710825573</c:v>
                </c:pt>
                <c:pt idx="925">
                  <c:v>7.9759666126261974</c:v>
                </c:pt>
                <c:pt idx="926">
                  <c:v>8.0189656642058402</c:v>
                </c:pt>
                <c:pt idx="927">
                  <c:v>8.0622826595061863</c:v>
                </c:pt>
                <c:pt idx="928">
                  <c:v>8.105919949467701</c:v>
                </c:pt>
                <c:pt idx="929">
                  <c:v>8.1498799024141508</c:v>
                </c:pt>
                <c:pt idx="930">
                  <c:v>8.1941649041811857</c:v>
                </c:pt>
                <c:pt idx="931">
                  <c:v>8.2387773582457999</c:v>
                </c:pt>
                <c:pt idx="932">
                  <c:v>8.2837196858567808</c:v>
                </c:pt>
                <c:pt idx="933">
                  <c:v>8.328994326166141</c:v>
                </c:pt>
                <c:pt idx="934">
                  <c:v>8.3746037363614718</c:v>
                </c:pt>
                <c:pt idx="935">
                  <c:v>8.4205503917992974</c:v>
                </c:pt>
                <c:pt idx="936">
                  <c:v>8.4668367861394351</c:v>
                </c:pt>
                <c:pt idx="937">
                  <c:v>8.5134654314803235</c:v>
                </c:pt>
                <c:pt idx="938">
                  <c:v>8.5604388584954023</c:v>
                </c:pt>
                <c:pt idx="939">
                  <c:v>8.6077596165703607</c:v>
                </c:pt>
                <c:pt idx="940">
                  <c:v>8.6554302739416205</c:v>
                </c:pt>
                <c:pt idx="941">
                  <c:v>8.7034534178356502</c:v>
                </c:pt>
                <c:pt idx="942">
                  <c:v>8.7518316546093775</c:v>
                </c:pt>
                <c:pt idx="943">
                  <c:v>8.8005676098916901</c:v>
                </c:pt>
                <c:pt idx="944">
                  <c:v>8.8496639287258869</c:v>
                </c:pt>
                <c:pt idx="945">
                  <c:v>8.8991232757132632</c:v>
                </c:pt>
                <c:pt idx="946">
                  <c:v>8.9489483351577075</c:v>
                </c:pt>
                <c:pt idx="947">
                  <c:v>8.9991418112114214</c:v>
                </c:pt>
                <c:pt idx="948">
                  <c:v>9.0497064280216364</c:v>
                </c:pt>
                <c:pt idx="949">
                  <c:v>9.1006449298784826</c:v>
                </c:pt>
                <c:pt idx="950">
                  <c:v>9.1519600813639261</c:v>
                </c:pt>
                <c:pt idx="951">
                  <c:v>9.2036546675018371</c:v>
                </c:pt>
                <c:pt idx="952">
                  <c:v>9.2557314939090833</c:v>
                </c:pt>
                <c:pt idx="953">
                  <c:v>9.3081933869478704</c:v>
                </c:pt>
                <c:pt idx="954">
                  <c:v>9.3610431938790697</c:v>
                </c:pt>
                <c:pt idx="955">
                  <c:v>9.4142837830167903</c:v>
                </c:pt>
                <c:pt idx="956">
                  <c:v>9.4679180438840369</c:v>
                </c:pt>
                <c:pt idx="957">
                  <c:v>9.5219488873695362</c:v>
                </c:pt>
                <c:pt idx="958">
                  <c:v>9.576379245885704</c:v>
                </c:pt>
                <c:pt idx="959">
                  <c:v>9.6312120735278288</c:v>
                </c:pt>
                <c:pt idx="960">
                  <c:v>9.6864503462343858</c:v>
                </c:pt>
                <c:pt idx="961">
                  <c:v>9.7420970619485168</c:v>
                </c:pt>
                <c:pt idx="962">
                  <c:v>9.7981552407807655</c:v>
                </c:pt>
                <c:pt idx="963">
                  <c:v>9.8546279251730304</c:v>
                </c:pt>
                <c:pt idx="964">
                  <c:v>9.9115181800635668</c:v>
                </c:pt>
                <c:pt idx="965">
                  <c:v>9.9688290930534738</c:v>
                </c:pt>
                <c:pt idx="966">
                  <c:v>10.026563774574194</c:v>
                </c:pt>
                <c:pt idx="967">
                  <c:v>10.084725358056273</c:v>
                </c:pt>
                <c:pt idx="968">
                  <c:v>10.143317000099541</c:v>
                </c:pt>
                <c:pt idx="969">
                  <c:v>10.202341880644356</c:v>
                </c:pt>
                <c:pt idx="970">
                  <c:v>10.261803203144181</c:v>
                </c:pt>
                <c:pt idx="971">
                  <c:v>10.321704194739464</c:v>
                </c:pt>
                <c:pt idx="972">
                  <c:v>10.382048106432817</c:v>
                </c:pt>
                <c:pt idx="973">
                  <c:v>10.442838213265397</c:v>
                </c:pt>
                <c:pt idx="974">
                  <c:v>10.504077814494684</c:v>
                </c:pt>
                <c:pt idx="975">
                  <c:v>10.565770233773543</c:v>
                </c:pt>
                <c:pt idx="976">
                  <c:v>10.627918819330606</c:v>
                </c:pt>
                <c:pt idx="977">
                  <c:v>10.690526944151955</c:v>
                </c:pt>
                <c:pt idx="978">
                  <c:v>10.753598006164294</c:v>
                </c:pt>
                <c:pt idx="979">
                  <c:v>10.817135428419213</c:v>
                </c:pt>
                <c:pt idx="980">
                  <c:v>10.881142659279071</c:v>
                </c:pt>
                <c:pt idx="981">
                  <c:v>10.945623172604108</c:v>
                </c:pt>
                <c:pt idx="982">
                  <c:v>11.010580467940999</c:v>
                </c:pt>
                <c:pt idx="983">
                  <c:v>11.076018070712767</c:v>
                </c:pt>
                <c:pt idx="984">
                  <c:v>11.141939532410159</c:v>
                </c:pt>
                <c:pt idx="985">
                  <c:v>11.208348430784335</c:v>
                </c:pt>
                <c:pt idx="986">
                  <c:v>11.275248370041073</c:v>
                </c:pt>
                <c:pt idx="987">
                  <c:v>11.342642981036402</c:v>
                </c:pt>
                <c:pt idx="988">
                  <c:v>11.410535921473652</c:v>
                </c:pt>
                <c:pt idx="989">
                  <c:v>11.478930876101883</c:v>
                </c:pt>
                <c:pt idx="990">
                  <c:v>11.547831556916009</c:v>
                </c:pt>
                <c:pt idx="991">
                  <c:v>11.617241703358186</c:v>
                </c:pt>
                <c:pt idx="992">
                  <c:v>11.687165082520695</c:v>
                </c:pt>
                <c:pt idx="993">
                  <c:v>11.757605489350549</c:v>
                </c:pt>
                <c:pt idx="994">
                  <c:v>11.828566746855316</c:v>
                </c:pt>
                <c:pt idx="995">
                  <c:v>11.900052706310664</c:v>
                </c:pt>
                <c:pt idx="996">
                  <c:v>11.972067247469399</c:v>
                </c:pt>
                <c:pt idx="997">
                  <c:v>12.044614278772</c:v>
                </c:pt>
                <c:pt idx="998">
                  <c:v>12.117697737558737</c:v>
                </c:pt>
                <c:pt idx="999">
                  <c:v>12.191321590283376</c:v>
                </c:pt>
                <c:pt idx="1000">
                  <c:v>12.26548983272845</c:v>
                </c:pt>
              </c:numCache>
            </c:numRef>
          </c:xVal>
          <c:yVal>
            <c:numRef>
              <c:f>Production_Forecast!$L$12:$L$1012</c:f>
              <c:numCache>
                <c:formatCode>0</c:formatCode>
                <c:ptCount val="1001"/>
                <c:pt idx="0">
                  <c:v>810.95890410958918</c:v>
                </c:pt>
                <c:pt idx="1">
                  <c:v>916.18414829308051</c:v>
                </c:pt>
                <c:pt idx="2">
                  <c:v>1035.0627995202153</c:v>
                </c:pt>
                <c:pt idx="3">
                  <c:v>1169.366443358183</c:v>
                </c:pt>
                <c:pt idx="4">
                  <c:v>1321.0965358681701</c:v>
                </c:pt>
                <c:pt idx="5">
                  <c:v>1492.5142302448346</c:v>
                </c:pt>
                <c:pt idx="6">
                  <c:v>1686.174073584597</c:v>
                </c:pt>
                <c:pt idx="7">
                  <c:v>1904.9620759478278</c:v>
                </c:pt>
                <c:pt idx="8">
                  <c:v>2152.1387190380083</c:v>
                </c:pt>
                <c:pt idx="9">
                  <c:v>2431.3875454334311</c:v>
                </c:pt>
                <c:pt idx="10">
                  <c:v>2746.8700524709989</c:v>
                </c:pt>
                <c:pt idx="11">
                  <c:v>3103.2877088366313</c:v>
                </c:pt>
                <c:pt idx="12">
                  <c:v>3505.9520180626323</c:v>
                </c:pt>
                <c:pt idx="13">
                  <c:v>3960.8636730512439</c:v>
                </c:pt>
                <c:pt idx="14">
                  <c:v>4474.8019812223038</c:v>
                </c:pt>
                <c:pt idx="15">
                  <c:v>5055.4258929405942</c:v>
                </c:pt>
                <c:pt idx="16">
                  <c:v>5711.3881387960682</c:v>
                </c:pt>
                <c:pt idx="17">
                  <c:v>6452.4641766643172</c:v>
                </c:pt>
                <c:pt idx="18">
                  <c:v>6487.6712328767135</c:v>
                </c:pt>
                <c:pt idx="19">
                  <c:v>6487.6712328767135</c:v>
                </c:pt>
                <c:pt idx="20">
                  <c:v>6487.6712328767135</c:v>
                </c:pt>
                <c:pt idx="21">
                  <c:v>6487.6712328767135</c:v>
                </c:pt>
                <c:pt idx="22">
                  <c:v>6487.6712328767135</c:v>
                </c:pt>
                <c:pt idx="23">
                  <c:v>6487.6712328767135</c:v>
                </c:pt>
                <c:pt idx="24">
                  <c:v>6487.6712328767135</c:v>
                </c:pt>
                <c:pt idx="25">
                  <c:v>6487.6712328767135</c:v>
                </c:pt>
                <c:pt idx="26">
                  <c:v>6487.6712328767135</c:v>
                </c:pt>
                <c:pt idx="27">
                  <c:v>6487.6712328767135</c:v>
                </c:pt>
                <c:pt idx="28">
                  <c:v>6487.6712328767135</c:v>
                </c:pt>
                <c:pt idx="29">
                  <c:v>6487.6712328767135</c:v>
                </c:pt>
                <c:pt idx="30">
                  <c:v>6487.6712328767135</c:v>
                </c:pt>
                <c:pt idx="31">
                  <c:v>6487.6712328767135</c:v>
                </c:pt>
                <c:pt idx="32">
                  <c:v>6487.6712328767135</c:v>
                </c:pt>
                <c:pt idx="33">
                  <c:v>6487.6712328767135</c:v>
                </c:pt>
                <c:pt idx="34">
                  <c:v>6487.6712328767135</c:v>
                </c:pt>
                <c:pt idx="35">
                  <c:v>6487.6712328767135</c:v>
                </c:pt>
                <c:pt idx="36">
                  <c:v>6487.6712328767135</c:v>
                </c:pt>
                <c:pt idx="37">
                  <c:v>6487.6712328767135</c:v>
                </c:pt>
                <c:pt idx="38">
                  <c:v>6487.6712328767135</c:v>
                </c:pt>
                <c:pt idx="39">
                  <c:v>6487.6712328767135</c:v>
                </c:pt>
                <c:pt idx="40">
                  <c:v>6487.6712328767135</c:v>
                </c:pt>
                <c:pt idx="41">
                  <c:v>6487.6712328767135</c:v>
                </c:pt>
                <c:pt idx="42">
                  <c:v>6487.6712328767135</c:v>
                </c:pt>
                <c:pt idx="43">
                  <c:v>6487.6712328767135</c:v>
                </c:pt>
                <c:pt idx="44">
                  <c:v>6487.6712328767135</c:v>
                </c:pt>
                <c:pt idx="45">
                  <c:v>6487.6712328767135</c:v>
                </c:pt>
                <c:pt idx="46">
                  <c:v>6487.6712328767135</c:v>
                </c:pt>
                <c:pt idx="47">
                  <c:v>6487.6712328767135</c:v>
                </c:pt>
                <c:pt idx="48">
                  <c:v>6487.6712328767135</c:v>
                </c:pt>
                <c:pt idx="49">
                  <c:v>6487.6712328767135</c:v>
                </c:pt>
                <c:pt idx="50">
                  <c:v>6487.6712328767135</c:v>
                </c:pt>
                <c:pt idx="51">
                  <c:v>6487.6712328767135</c:v>
                </c:pt>
                <c:pt idx="52">
                  <c:v>6487.6712328767135</c:v>
                </c:pt>
                <c:pt idx="53">
                  <c:v>6487.6712328767135</c:v>
                </c:pt>
                <c:pt idx="54">
                  <c:v>6487.6712328767135</c:v>
                </c:pt>
                <c:pt idx="55">
                  <c:v>6487.6712328767135</c:v>
                </c:pt>
                <c:pt idx="56">
                  <c:v>6487.6712328767135</c:v>
                </c:pt>
                <c:pt idx="57">
                  <c:v>6487.6712328767135</c:v>
                </c:pt>
                <c:pt idx="58">
                  <c:v>6487.6712328767135</c:v>
                </c:pt>
                <c:pt idx="59">
                  <c:v>6487.6712328767135</c:v>
                </c:pt>
                <c:pt idx="60">
                  <c:v>6487.6712328767135</c:v>
                </c:pt>
                <c:pt idx="61">
                  <c:v>6487.6712328767135</c:v>
                </c:pt>
                <c:pt idx="62">
                  <c:v>6487.6712328767135</c:v>
                </c:pt>
                <c:pt idx="63">
                  <c:v>6487.6712328767135</c:v>
                </c:pt>
                <c:pt idx="64">
                  <c:v>6487.6712328767135</c:v>
                </c:pt>
                <c:pt idx="65">
                  <c:v>6487.6712328767135</c:v>
                </c:pt>
                <c:pt idx="66">
                  <c:v>6487.6712328767135</c:v>
                </c:pt>
                <c:pt idx="67">
                  <c:v>6487.6712328767135</c:v>
                </c:pt>
                <c:pt idx="68">
                  <c:v>6487.6712328767135</c:v>
                </c:pt>
                <c:pt idx="69">
                  <c:v>6487.6712328767135</c:v>
                </c:pt>
                <c:pt idx="70">
                  <c:v>6487.6712328767135</c:v>
                </c:pt>
                <c:pt idx="71">
                  <c:v>6487.6712328767135</c:v>
                </c:pt>
                <c:pt idx="72">
                  <c:v>6487.6712328767135</c:v>
                </c:pt>
                <c:pt idx="73">
                  <c:v>6487.6712328767135</c:v>
                </c:pt>
                <c:pt idx="74">
                  <c:v>6487.6712328767135</c:v>
                </c:pt>
                <c:pt idx="75">
                  <c:v>6487.6712328767135</c:v>
                </c:pt>
                <c:pt idx="76">
                  <c:v>6487.6712328767135</c:v>
                </c:pt>
                <c:pt idx="77">
                  <c:v>6487.6712328767135</c:v>
                </c:pt>
                <c:pt idx="78">
                  <c:v>6487.6712328767135</c:v>
                </c:pt>
                <c:pt idx="79">
                  <c:v>6487.6712328767135</c:v>
                </c:pt>
                <c:pt idx="80">
                  <c:v>6487.6712328767135</c:v>
                </c:pt>
                <c:pt idx="81">
                  <c:v>6487.6712328767135</c:v>
                </c:pt>
                <c:pt idx="82">
                  <c:v>6487.6712328767135</c:v>
                </c:pt>
                <c:pt idx="83">
                  <c:v>6487.6712328767135</c:v>
                </c:pt>
                <c:pt idx="84">
                  <c:v>6487.6712328767135</c:v>
                </c:pt>
                <c:pt idx="85">
                  <c:v>6487.6712328767135</c:v>
                </c:pt>
                <c:pt idx="86">
                  <c:v>6487.6712328767135</c:v>
                </c:pt>
                <c:pt idx="87">
                  <c:v>6487.6712328767135</c:v>
                </c:pt>
                <c:pt idx="88">
                  <c:v>6487.6712328767135</c:v>
                </c:pt>
                <c:pt idx="89">
                  <c:v>6487.6712328767135</c:v>
                </c:pt>
                <c:pt idx="90">
                  <c:v>6487.6712328767135</c:v>
                </c:pt>
                <c:pt idx="91">
                  <c:v>6487.6712328767135</c:v>
                </c:pt>
                <c:pt idx="92">
                  <c:v>6487.6712328767135</c:v>
                </c:pt>
                <c:pt idx="93">
                  <c:v>6487.6712328767135</c:v>
                </c:pt>
                <c:pt idx="94">
                  <c:v>6487.6712328767135</c:v>
                </c:pt>
                <c:pt idx="95">
                  <c:v>6487.6712328767135</c:v>
                </c:pt>
                <c:pt idx="96">
                  <c:v>6487.6712328767135</c:v>
                </c:pt>
                <c:pt idx="97">
                  <c:v>6487.6712328767135</c:v>
                </c:pt>
                <c:pt idx="98">
                  <c:v>6487.6712328767135</c:v>
                </c:pt>
                <c:pt idx="99">
                  <c:v>6487.6712328767135</c:v>
                </c:pt>
                <c:pt idx="100">
                  <c:v>6487.6712328767135</c:v>
                </c:pt>
                <c:pt idx="101">
                  <c:v>6487.6712328767135</c:v>
                </c:pt>
                <c:pt idx="102">
                  <c:v>6487.6712328767135</c:v>
                </c:pt>
                <c:pt idx="103">
                  <c:v>6487.6712328767135</c:v>
                </c:pt>
                <c:pt idx="104">
                  <c:v>6487.6712328767135</c:v>
                </c:pt>
                <c:pt idx="105">
                  <c:v>6487.6712328767135</c:v>
                </c:pt>
                <c:pt idx="106">
                  <c:v>6487.6712328767135</c:v>
                </c:pt>
                <c:pt idx="107">
                  <c:v>6487.6712328767135</c:v>
                </c:pt>
                <c:pt idx="108">
                  <c:v>6487.6712328767135</c:v>
                </c:pt>
                <c:pt idx="109">
                  <c:v>6487.6712328767135</c:v>
                </c:pt>
                <c:pt idx="110">
                  <c:v>6487.6712328767135</c:v>
                </c:pt>
                <c:pt idx="111">
                  <c:v>6487.6712328767135</c:v>
                </c:pt>
                <c:pt idx="112">
                  <c:v>6487.6712328767135</c:v>
                </c:pt>
                <c:pt idx="113">
                  <c:v>6487.6712328767135</c:v>
                </c:pt>
                <c:pt idx="114">
                  <c:v>6487.6712328767135</c:v>
                </c:pt>
                <c:pt idx="115">
                  <c:v>6487.6712328767135</c:v>
                </c:pt>
                <c:pt idx="116">
                  <c:v>6487.6712328767135</c:v>
                </c:pt>
                <c:pt idx="117">
                  <c:v>6487.6712328767135</c:v>
                </c:pt>
                <c:pt idx="118">
                  <c:v>6487.6712328767135</c:v>
                </c:pt>
                <c:pt idx="119">
                  <c:v>6487.6712328767135</c:v>
                </c:pt>
                <c:pt idx="120">
                  <c:v>6487.6712328767135</c:v>
                </c:pt>
                <c:pt idx="121">
                  <c:v>6487.6712328767135</c:v>
                </c:pt>
                <c:pt idx="122">
                  <c:v>6487.6712328767135</c:v>
                </c:pt>
                <c:pt idx="123">
                  <c:v>6487.6712328767135</c:v>
                </c:pt>
                <c:pt idx="124">
                  <c:v>6487.6712328767135</c:v>
                </c:pt>
                <c:pt idx="125">
                  <c:v>6487.6712328767135</c:v>
                </c:pt>
                <c:pt idx="126">
                  <c:v>6487.6712328767135</c:v>
                </c:pt>
                <c:pt idx="127">
                  <c:v>6487.6712328767135</c:v>
                </c:pt>
                <c:pt idx="128">
                  <c:v>6487.6712328767135</c:v>
                </c:pt>
                <c:pt idx="129">
                  <c:v>6487.6712328767135</c:v>
                </c:pt>
                <c:pt idx="130">
                  <c:v>6487.6712328767135</c:v>
                </c:pt>
                <c:pt idx="131">
                  <c:v>6487.6712328767135</c:v>
                </c:pt>
                <c:pt idx="132">
                  <c:v>6487.6712328767135</c:v>
                </c:pt>
                <c:pt idx="133">
                  <c:v>6487.6712328767135</c:v>
                </c:pt>
                <c:pt idx="134">
                  <c:v>6487.6712328767135</c:v>
                </c:pt>
                <c:pt idx="135">
                  <c:v>6487.6712328767135</c:v>
                </c:pt>
                <c:pt idx="136">
                  <c:v>6487.6712328767135</c:v>
                </c:pt>
                <c:pt idx="137">
                  <c:v>6487.6712328767135</c:v>
                </c:pt>
                <c:pt idx="138">
                  <c:v>6487.6712328767135</c:v>
                </c:pt>
                <c:pt idx="139">
                  <c:v>6487.6712328767135</c:v>
                </c:pt>
                <c:pt idx="140">
                  <c:v>6487.6712328767135</c:v>
                </c:pt>
                <c:pt idx="141">
                  <c:v>6487.6712328767135</c:v>
                </c:pt>
                <c:pt idx="142">
                  <c:v>6487.6712328767135</c:v>
                </c:pt>
                <c:pt idx="143">
                  <c:v>6487.6712328767135</c:v>
                </c:pt>
                <c:pt idx="144">
                  <c:v>6487.6712328767135</c:v>
                </c:pt>
                <c:pt idx="145">
                  <c:v>6487.6712328767135</c:v>
                </c:pt>
                <c:pt idx="146">
                  <c:v>6487.6712328767135</c:v>
                </c:pt>
                <c:pt idx="147">
                  <c:v>6487.6712328767135</c:v>
                </c:pt>
                <c:pt idx="148">
                  <c:v>6487.6712328767135</c:v>
                </c:pt>
                <c:pt idx="149">
                  <c:v>6487.6712328767135</c:v>
                </c:pt>
                <c:pt idx="150">
                  <c:v>6487.6712328767135</c:v>
                </c:pt>
                <c:pt idx="151">
                  <c:v>6487.6712328767135</c:v>
                </c:pt>
                <c:pt idx="152">
                  <c:v>6487.6712328767135</c:v>
                </c:pt>
                <c:pt idx="153">
                  <c:v>6487.6712328767135</c:v>
                </c:pt>
                <c:pt idx="154">
                  <c:v>6487.6712328767135</c:v>
                </c:pt>
                <c:pt idx="155">
                  <c:v>6487.6712328767135</c:v>
                </c:pt>
                <c:pt idx="156">
                  <c:v>6487.6712328767135</c:v>
                </c:pt>
                <c:pt idx="157">
                  <c:v>6487.6712328767135</c:v>
                </c:pt>
                <c:pt idx="158">
                  <c:v>6487.6712328767135</c:v>
                </c:pt>
                <c:pt idx="159">
                  <c:v>6487.6712328767135</c:v>
                </c:pt>
                <c:pt idx="160">
                  <c:v>6487.6712328767135</c:v>
                </c:pt>
                <c:pt idx="161">
                  <c:v>6487.6712328767135</c:v>
                </c:pt>
                <c:pt idx="162">
                  <c:v>6487.6712328767135</c:v>
                </c:pt>
                <c:pt idx="163">
                  <c:v>6487.6712328767135</c:v>
                </c:pt>
                <c:pt idx="164">
                  <c:v>6487.6712328767135</c:v>
                </c:pt>
                <c:pt idx="165">
                  <c:v>6487.6712328767135</c:v>
                </c:pt>
                <c:pt idx="166">
                  <c:v>6487.6712328767135</c:v>
                </c:pt>
                <c:pt idx="167">
                  <c:v>6487.6712328767135</c:v>
                </c:pt>
                <c:pt idx="168">
                  <c:v>6487.6712328767135</c:v>
                </c:pt>
                <c:pt idx="169">
                  <c:v>6487.6712328767135</c:v>
                </c:pt>
                <c:pt idx="170">
                  <c:v>6487.6712328767135</c:v>
                </c:pt>
                <c:pt idx="171">
                  <c:v>6487.6712328767135</c:v>
                </c:pt>
                <c:pt idx="172">
                  <c:v>6487.6712328767135</c:v>
                </c:pt>
                <c:pt idx="173">
                  <c:v>6487.6712328767135</c:v>
                </c:pt>
                <c:pt idx="174">
                  <c:v>6487.6712328767135</c:v>
                </c:pt>
                <c:pt idx="175">
                  <c:v>6487.6712328767135</c:v>
                </c:pt>
                <c:pt idx="176">
                  <c:v>6487.6712328767135</c:v>
                </c:pt>
                <c:pt idx="177">
                  <c:v>6487.6712328767135</c:v>
                </c:pt>
                <c:pt idx="178">
                  <c:v>6487.6712328767135</c:v>
                </c:pt>
                <c:pt idx="179">
                  <c:v>6487.6712328767135</c:v>
                </c:pt>
                <c:pt idx="180">
                  <c:v>6487.6712328767135</c:v>
                </c:pt>
                <c:pt idx="181">
                  <c:v>6487.6712328767135</c:v>
                </c:pt>
                <c:pt idx="182">
                  <c:v>6487.6712328767135</c:v>
                </c:pt>
                <c:pt idx="183">
                  <c:v>6487.6712328767135</c:v>
                </c:pt>
                <c:pt idx="184">
                  <c:v>6487.6712328767135</c:v>
                </c:pt>
                <c:pt idx="185">
                  <c:v>6487.6712328767135</c:v>
                </c:pt>
                <c:pt idx="186">
                  <c:v>6487.6712328767135</c:v>
                </c:pt>
                <c:pt idx="187">
                  <c:v>6487.6712328767135</c:v>
                </c:pt>
                <c:pt idx="188">
                  <c:v>6487.6712328767135</c:v>
                </c:pt>
                <c:pt idx="189">
                  <c:v>6487.6712328767135</c:v>
                </c:pt>
                <c:pt idx="190">
                  <c:v>6487.6712328767135</c:v>
                </c:pt>
                <c:pt idx="191">
                  <c:v>6487.6712328767135</c:v>
                </c:pt>
                <c:pt idx="192">
                  <c:v>6487.6712328767135</c:v>
                </c:pt>
                <c:pt idx="193">
                  <c:v>6487.6712328767135</c:v>
                </c:pt>
                <c:pt idx="194">
                  <c:v>6487.6712328767135</c:v>
                </c:pt>
                <c:pt idx="195">
                  <c:v>6487.6712328767135</c:v>
                </c:pt>
                <c:pt idx="196">
                  <c:v>6487.6712328767135</c:v>
                </c:pt>
                <c:pt idx="197">
                  <c:v>6487.6712328767135</c:v>
                </c:pt>
                <c:pt idx="198">
                  <c:v>6487.6712328767135</c:v>
                </c:pt>
                <c:pt idx="199">
                  <c:v>6487.6712328767135</c:v>
                </c:pt>
                <c:pt idx="200">
                  <c:v>6487.6712328767135</c:v>
                </c:pt>
                <c:pt idx="201">
                  <c:v>6487.6712328767135</c:v>
                </c:pt>
                <c:pt idx="202">
                  <c:v>6487.6712328767135</c:v>
                </c:pt>
                <c:pt idx="203">
                  <c:v>6487.6712328767135</c:v>
                </c:pt>
                <c:pt idx="204">
                  <c:v>6487.6712328767135</c:v>
                </c:pt>
                <c:pt idx="205">
                  <c:v>6487.6712328767135</c:v>
                </c:pt>
                <c:pt idx="206">
                  <c:v>6487.6712328767135</c:v>
                </c:pt>
                <c:pt idx="207">
                  <c:v>6487.6712328767135</c:v>
                </c:pt>
                <c:pt idx="208">
                  <c:v>6487.6712328767135</c:v>
                </c:pt>
                <c:pt idx="209">
                  <c:v>6487.6712328767135</c:v>
                </c:pt>
                <c:pt idx="210">
                  <c:v>6487.6712328767135</c:v>
                </c:pt>
                <c:pt idx="211">
                  <c:v>6487.6712328767135</c:v>
                </c:pt>
                <c:pt idx="212">
                  <c:v>6487.6712328767135</c:v>
                </c:pt>
                <c:pt idx="213">
                  <c:v>6487.6712328767135</c:v>
                </c:pt>
                <c:pt idx="214">
                  <c:v>6487.6712328767135</c:v>
                </c:pt>
                <c:pt idx="215">
                  <c:v>6487.6712328767135</c:v>
                </c:pt>
                <c:pt idx="216">
                  <c:v>6487.6712328767135</c:v>
                </c:pt>
                <c:pt idx="217">
                  <c:v>6487.6712328767135</c:v>
                </c:pt>
                <c:pt idx="218">
                  <c:v>6487.6712328767135</c:v>
                </c:pt>
                <c:pt idx="219">
                  <c:v>6487.6712328767135</c:v>
                </c:pt>
                <c:pt idx="220">
                  <c:v>6487.6712328767135</c:v>
                </c:pt>
                <c:pt idx="221">
                  <c:v>6487.6712328767135</c:v>
                </c:pt>
                <c:pt idx="222">
                  <c:v>6487.6712328767135</c:v>
                </c:pt>
                <c:pt idx="223">
                  <c:v>6487.6712328767135</c:v>
                </c:pt>
                <c:pt idx="224">
                  <c:v>6487.6712328767135</c:v>
                </c:pt>
                <c:pt idx="225">
                  <c:v>6487.6712328767135</c:v>
                </c:pt>
                <c:pt idx="226">
                  <c:v>6487.6712328767135</c:v>
                </c:pt>
                <c:pt idx="227">
                  <c:v>6487.6712328767135</c:v>
                </c:pt>
                <c:pt idx="228">
                  <c:v>6487.6712328767135</c:v>
                </c:pt>
                <c:pt idx="229">
                  <c:v>6487.6712328767135</c:v>
                </c:pt>
                <c:pt idx="230">
                  <c:v>6487.6712328767135</c:v>
                </c:pt>
                <c:pt idx="231">
                  <c:v>6487.6712328767135</c:v>
                </c:pt>
                <c:pt idx="232">
                  <c:v>6487.6712328767135</c:v>
                </c:pt>
                <c:pt idx="233">
                  <c:v>6487.6712328767135</c:v>
                </c:pt>
                <c:pt idx="234">
                  <c:v>6487.6712328767135</c:v>
                </c:pt>
                <c:pt idx="235">
                  <c:v>6487.6712328767135</c:v>
                </c:pt>
                <c:pt idx="236">
                  <c:v>6487.6712328767135</c:v>
                </c:pt>
                <c:pt idx="237">
                  <c:v>6487.6712328767135</c:v>
                </c:pt>
                <c:pt idx="238">
                  <c:v>6487.6712328767135</c:v>
                </c:pt>
                <c:pt idx="239">
                  <c:v>6487.6712328767135</c:v>
                </c:pt>
                <c:pt idx="240">
                  <c:v>6487.6712328767135</c:v>
                </c:pt>
                <c:pt idx="241">
                  <c:v>6487.6712328767135</c:v>
                </c:pt>
                <c:pt idx="242">
                  <c:v>6487.6712328767135</c:v>
                </c:pt>
                <c:pt idx="243">
                  <c:v>6487.6712328767135</c:v>
                </c:pt>
                <c:pt idx="244">
                  <c:v>6487.6712328767135</c:v>
                </c:pt>
                <c:pt idx="245">
                  <c:v>6487.6712328767135</c:v>
                </c:pt>
                <c:pt idx="246">
                  <c:v>6487.6712328767135</c:v>
                </c:pt>
                <c:pt idx="247">
                  <c:v>6487.6712328767135</c:v>
                </c:pt>
                <c:pt idx="248">
                  <c:v>6487.6712328767135</c:v>
                </c:pt>
                <c:pt idx="249">
                  <c:v>6487.6712328767135</c:v>
                </c:pt>
                <c:pt idx="250">
                  <c:v>6487.6712328767135</c:v>
                </c:pt>
                <c:pt idx="251">
                  <c:v>6487.6712328767135</c:v>
                </c:pt>
                <c:pt idx="252">
                  <c:v>6487.6712328767135</c:v>
                </c:pt>
                <c:pt idx="253">
                  <c:v>6487.6712328767135</c:v>
                </c:pt>
                <c:pt idx="254">
                  <c:v>6487.6712328767135</c:v>
                </c:pt>
                <c:pt idx="255">
                  <c:v>6487.6712328767135</c:v>
                </c:pt>
                <c:pt idx="256">
                  <c:v>6487.6712328767135</c:v>
                </c:pt>
                <c:pt idx="257">
                  <c:v>6487.6712328767135</c:v>
                </c:pt>
                <c:pt idx="258">
                  <c:v>6487.6712328767135</c:v>
                </c:pt>
                <c:pt idx="259">
                  <c:v>6487.6712328767135</c:v>
                </c:pt>
                <c:pt idx="260">
                  <c:v>6487.6712328767135</c:v>
                </c:pt>
                <c:pt idx="261">
                  <c:v>6487.6712328767135</c:v>
                </c:pt>
                <c:pt idx="262">
                  <c:v>6487.6712328767135</c:v>
                </c:pt>
                <c:pt idx="263">
                  <c:v>6487.6712328767135</c:v>
                </c:pt>
                <c:pt idx="264">
                  <c:v>6487.6712328767135</c:v>
                </c:pt>
                <c:pt idx="265">
                  <c:v>6487.6712328767135</c:v>
                </c:pt>
                <c:pt idx="266">
                  <c:v>6487.6712328767135</c:v>
                </c:pt>
                <c:pt idx="267">
                  <c:v>6487.6712328767135</c:v>
                </c:pt>
                <c:pt idx="268">
                  <c:v>6487.6712328767135</c:v>
                </c:pt>
                <c:pt idx="269">
                  <c:v>6487.6712328767135</c:v>
                </c:pt>
                <c:pt idx="270">
                  <c:v>6487.6712328767135</c:v>
                </c:pt>
                <c:pt idx="271">
                  <c:v>6487.6712328767135</c:v>
                </c:pt>
                <c:pt idx="272">
                  <c:v>6487.6712328767135</c:v>
                </c:pt>
                <c:pt idx="273">
                  <c:v>6487.6712328767135</c:v>
                </c:pt>
                <c:pt idx="274">
                  <c:v>6487.6712328767135</c:v>
                </c:pt>
                <c:pt idx="275">
                  <c:v>6487.6712328767135</c:v>
                </c:pt>
                <c:pt idx="276">
                  <c:v>6487.6712328767135</c:v>
                </c:pt>
                <c:pt idx="277">
                  <c:v>6487.6712328767135</c:v>
                </c:pt>
                <c:pt idx="278">
                  <c:v>6487.6712328767135</c:v>
                </c:pt>
                <c:pt idx="279">
                  <c:v>6487.6712328767135</c:v>
                </c:pt>
                <c:pt idx="280">
                  <c:v>6487.6712328767135</c:v>
                </c:pt>
                <c:pt idx="281">
                  <c:v>6487.6712328767135</c:v>
                </c:pt>
                <c:pt idx="282">
                  <c:v>6487.6712328767135</c:v>
                </c:pt>
                <c:pt idx="283">
                  <c:v>6487.6712328767135</c:v>
                </c:pt>
                <c:pt idx="284">
                  <c:v>6487.6712328767135</c:v>
                </c:pt>
                <c:pt idx="285">
                  <c:v>6487.6712328767135</c:v>
                </c:pt>
                <c:pt idx="286">
                  <c:v>6487.6712328767135</c:v>
                </c:pt>
                <c:pt idx="287">
                  <c:v>6487.6712328767135</c:v>
                </c:pt>
                <c:pt idx="288">
                  <c:v>6487.6712328767135</c:v>
                </c:pt>
                <c:pt idx="289">
                  <c:v>6487.6712328767135</c:v>
                </c:pt>
                <c:pt idx="290">
                  <c:v>6487.6712328767135</c:v>
                </c:pt>
                <c:pt idx="291">
                  <c:v>6487.6712328767135</c:v>
                </c:pt>
                <c:pt idx="292">
                  <c:v>6487.6712328767135</c:v>
                </c:pt>
                <c:pt idx="293">
                  <c:v>6487.6712328767135</c:v>
                </c:pt>
                <c:pt idx="294">
                  <c:v>6487.6712328767135</c:v>
                </c:pt>
                <c:pt idx="295">
                  <c:v>6487.6712328767135</c:v>
                </c:pt>
                <c:pt idx="296">
                  <c:v>6487.6712328767135</c:v>
                </c:pt>
                <c:pt idx="297">
                  <c:v>6487.6712328767135</c:v>
                </c:pt>
                <c:pt idx="298">
                  <c:v>6487.6712328767135</c:v>
                </c:pt>
                <c:pt idx="299">
                  <c:v>6487.6712328767135</c:v>
                </c:pt>
                <c:pt idx="300">
                  <c:v>6487.6712328767135</c:v>
                </c:pt>
                <c:pt idx="301">
                  <c:v>6487.6712328767135</c:v>
                </c:pt>
                <c:pt idx="302">
                  <c:v>6487.6712328767135</c:v>
                </c:pt>
                <c:pt idx="303">
                  <c:v>6487.6712328767135</c:v>
                </c:pt>
                <c:pt idx="304">
                  <c:v>6487.6712328767135</c:v>
                </c:pt>
                <c:pt idx="305">
                  <c:v>6487.6712328767135</c:v>
                </c:pt>
                <c:pt idx="306">
                  <c:v>6487.6712328767135</c:v>
                </c:pt>
                <c:pt idx="307">
                  <c:v>6487.6712328767135</c:v>
                </c:pt>
                <c:pt idx="308">
                  <c:v>6487.6712328767135</c:v>
                </c:pt>
                <c:pt idx="309">
                  <c:v>6487.6712328767135</c:v>
                </c:pt>
                <c:pt idx="310">
                  <c:v>6487.6712328767135</c:v>
                </c:pt>
                <c:pt idx="311">
                  <c:v>6487.6712328767135</c:v>
                </c:pt>
                <c:pt idx="312">
                  <c:v>6487.6712328767135</c:v>
                </c:pt>
                <c:pt idx="313">
                  <c:v>6487.6712328767135</c:v>
                </c:pt>
                <c:pt idx="314">
                  <c:v>6487.6712328767135</c:v>
                </c:pt>
                <c:pt idx="315">
                  <c:v>6487.6712328767135</c:v>
                </c:pt>
                <c:pt idx="316">
                  <c:v>6487.6712328767135</c:v>
                </c:pt>
                <c:pt idx="317">
                  <c:v>6487.6712328767135</c:v>
                </c:pt>
                <c:pt idx="318">
                  <c:v>6487.6712328767135</c:v>
                </c:pt>
                <c:pt idx="319">
                  <c:v>6487.6712328767135</c:v>
                </c:pt>
                <c:pt idx="320">
                  <c:v>6487.6712328767135</c:v>
                </c:pt>
                <c:pt idx="321">
                  <c:v>6487.6712328767135</c:v>
                </c:pt>
                <c:pt idx="322">
                  <c:v>6487.6712328767135</c:v>
                </c:pt>
                <c:pt idx="323">
                  <c:v>6487.6712328767135</c:v>
                </c:pt>
                <c:pt idx="324">
                  <c:v>6487.6712328767135</c:v>
                </c:pt>
                <c:pt idx="325">
                  <c:v>6487.6712328767135</c:v>
                </c:pt>
                <c:pt idx="326">
                  <c:v>6487.6712328767135</c:v>
                </c:pt>
                <c:pt idx="327">
                  <c:v>6487.6712328767135</c:v>
                </c:pt>
                <c:pt idx="328">
                  <c:v>6487.6712328767135</c:v>
                </c:pt>
                <c:pt idx="329">
                  <c:v>6487.6712328767135</c:v>
                </c:pt>
                <c:pt idx="330">
                  <c:v>6487.6712328767135</c:v>
                </c:pt>
                <c:pt idx="331">
                  <c:v>6487.6712328767135</c:v>
                </c:pt>
                <c:pt idx="332">
                  <c:v>6487.6712328767135</c:v>
                </c:pt>
                <c:pt idx="333">
                  <c:v>6487.6712328767135</c:v>
                </c:pt>
                <c:pt idx="334">
                  <c:v>6487.6712328767135</c:v>
                </c:pt>
                <c:pt idx="335">
                  <c:v>6487.6712328767135</c:v>
                </c:pt>
                <c:pt idx="336">
                  <c:v>6487.6712328767135</c:v>
                </c:pt>
                <c:pt idx="337">
                  <c:v>6487.6712328767135</c:v>
                </c:pt>
                <c:pt idx="338">
                  <c:v>6487.6712328767135</c:v>
                </c:pt>
                <c:pt idx="339">
                  <c:v>6487.6712328767135</c:v>
                </c:pt>
                <c:pt idx="340">
                  <c:v>6487.6712328767135</c:v>
                </c:pt>
                <c:pt idx="341">
                  <c:v>6487.6712328767135</c:v>
                </c:pt>
                <c:pt idx="342">
                  <c:v>6487.6712328767135</c:v>
                </c:pt>
                <c:pt idx="343">
                  <c:v>6487.6712328767135</c:v>
                </c:pt>
                <c:pt idx="344">
                  <c:v>6487.6712328767135</c:v>
                </c:pt>
                <c:pt idx="345">
                  <c:v>6487.6712328767135</c:v>
                </c:pt>
                <c:pt idx="346">
                  <c:v>6487.6712328767135</c:v>
                </c:pt>
                <c:pt idx="347">
                  <c:v>6487.6712328767135</c:v>
                </c:pt>
                <c:pt idx="348">
                  <c:v>6487.6712328767135</c:v>
                </c:pt>
                <c:pt idx="349">
                  <c:v>6487.6712328767135</c:v>
                </c:pt>
                <c:pt idx="350">
                  <c:v>6487.6712328767135</c:v>
                </c:pt>
                <c:pt idx="351">
                  <c:v>6487.6712328767135</c:v>
                </c:pt>
                <c:pt idx="352">
                  <c:v>6487.6712328767135</c:v>
                </c:pt>
                <c:pt idx="353">
                  <c:v>6487.6712328767135</c:v>
                </c:pt>
                <c:pt idx="354">
                  <c:v>6487.6712328767135</c:v>
                </c:pt>
                <c:pt idx="355">
                  <c:v>6487.6712328767135</c:v>
                </c:pt>
                <c:pt idx="356">
                  <c:v>6487.6712328767135</c:v>
                </c:pt>
                <c:pt idx="357">
                  <c:v>6487.6712328767135</c:v>
                </c:pt>
                <c:pt idx="358">
                  <c:v>6487.6712328767135</c:v>
                </c:pt>
                <c:pt idx="359">
                  <c:v>6487.6712328767135</c:v>
                </c:pt>
                <c:pt idx="360">
                  <c:v>6487.6712328767135</c:v>
                </c:pt>
                <c:pt idx="361">
                  <c:v>6487.6712328767135</c:v>
                </c:pt>
                <c:pt idx="362">
                  <c:v>6487.6712328767135</c:v>
                </c:pt>
                <c:pt idx="363">
                  <c:v>6487.6712328767135</c:v>
                </c:pt>
                <c:pt idx="364">
                  <c:v>6487.6712328767135</c:v>
                </c:pt>
                <c:pt idx="365">
                  <c:v>6487.6712328767135</c:v>
                </c:pt>
                <c:pt idx="366">
                  <c:v>6487.6712328767135</c:v>
                </c:pt>
                <c:pt idx="367">
                  <c:v>6487.6712328767135</c:v>
                </c:pt>
                <c:pt idx="368">
                  <c:v>6487.6712328767135</c:v>
                </c:pt>
                <c:pt idx="369">
                  <c:v>6487.6712328767135</c:v>
                </c:pt>
                <c:pt idx="370">
                  <c:v>6487.6712328767135</c:v>
                </c:pt>
                <c:pt idx="371">
                  <c:v>6487.6712328767135</c:v>
                </c:pt>
                <c:pt idx="372">
                  <c:v>6487.6712328767135</c:v>
                </c:pt>
                <c:pt idx="373">
                  <c:v>6487.6712328767135</c:v>
                </c:pt>
                <c:pt idx="374">
                  <c:v>6487.6712328767135</c:v>
                </c:pt>
                <c:pt idx="375">
                  <c:v>6487.6712328767135</c:v>
                </c:pt>
                <c:pt idx="376">
                  <c:v>6487.6712328767135</c:v>
                </c:pt>
                <c:pt idx="377">
                  <c:v>6487.6712328767135</c:v>
                </c:pt>
                <c:pt idx="378">
                  <c:v>6487.6712328767135</c:v>
                </c:pt>
                <c:pt idx="379">
                  <c:v>6487.6712328767135</c:v>
                </c:pt>
                <c:pt idx="380">
                  <c:v>6487.6712328767135</c:v>
                </c:pt>
                <c:pt idx="381">
                  <c:v>6487.6712328767135</c:v>
                </c:pt>
                <c:pt idx="382">
                  <c:v>6487.6712328767135</c:v>
                </c:pt>
                <c:pt idx="383">
                  <c:v>6487.6712328767135</c:v>
                </c:pt>
                <c:pt idx="384">
                  <c:v>6487.6712328767135</c:v>
                </c:pt>
                <c:pt idx="385">
                  <c:v>6487.6712328767135</c:v>
                </c:pt>
                <c:pt idx="386">
                  <c:v>6487.6712328767135</c:v>
                </c:pt>
                <c:pt idx="387">
                  <c:v>6487.6712328767135</c:v>
                </c:pt>
                <c:pt idx="388">
                  <c:v>6487.6712328767135</c:v>
                </c:pt>
                <c:pt idx="389">
                  <c:v>6487.6712328767135</c:v>
                </c:pt>
                <c:pt idx="390">
                  <c:v>6487.6712328767135</c:v>
                </c:pt>
                <c:pt idx="391">
                  <c:v>6487.6712328767135</c:v>
                </c:pt>
                <c:pt idx="392">
                  <c:v>6487.6712328767135</c:v>
                </c:pt>
                <c:pt idx="393">
                  <c:v>6487.6712328767135</c:v>
                </c:pt>
                <c:pt idx="394">
                  <c:v>6487.6712328767135</c:v>
                </c:pt>
                <c:pt idx="395">
                  <c:v>6487.6712328767135</c:v>
                </c:pt>
                <c:pt idx="396">
                  <c:v>6487.6712328767135</c:v>
                </c:pt>
                <c:pt idx="397">
                  <c:v>6487.6712328767135</c:v>
                </c:pt>
                <c:pt idx="398">
                  <c:v>6487.6712328767135</c:v>
                </c:pt>
                <c:pt idx="399">
                  <c:v>6487.6712328767135</c:v>
                </c:pt>
                <c:pt idx="400">
                  <c:v>6487.6712328767135</c:v>
                </c:pt>
                <c:pt idx="401">
                  <c:v>6487.6712328767135</c:v>
                </c:pt>
                <c:pt idx="402">
                  <c:v>6487.6712328767135</c:v>
                </c:pt>
                <c:pt idx="403">
                  <c:v>6487.6712328767135</c:v>
                </c:pt>
                <c:pt idx="404">
                  <c:v>6487.6712328767135</c:v>
                </c:pt>
                <c:pt idx="405">
                  <c:v>6487.6712328767135</c:v>
                </c:pt>
                <c:pt idx="406">
                  <c:v>6487.6712328767135</c:v>
                </c:pt>
                <c:pt idx="407">
                  <c:v>6487.6712328767135</c:v>
                </c:pt>
                <c:pt idx="408">
                  <c:v>6487.6712328767135</c:v>
                </c:pt>
                <c:pt idx="409">
                  <c:v>6487.6712328767135</c:v>
                </c:pt>
                <c:pt idx="410">
                  <c:v>6487.6712328767135</c:v>
                </c:pt>
                <c:pt idx="411">
                  <c:v>6487.6712328767135</c:v>
                </c:pt>
                <c:pt idx="412">
                  <c:v>6487.6712328767135</c:v>
                </c:pt>
                <c:pt idx="413">
                  <c:v>6487.6712328767135</c:v>
                </c:pt>
                <c:pt idx="414">
                  <c:v>6487.6712328767135</c:v>
                </c:pt>
                <c:pt idx="415">
                  <c:v>6487.6712328767135</c:v>
                </c:pt>
                <c:pt idx="416">
                  <c:v>6487.6712328767135</c:v>
                </c:pt>
                <c:pt idx="417">
                  <c:v>6487.6712328767135</c:v>
                </c:pt>
                <c:pt idx="418">
                  <c:v>6487.6712328767135</c:v>
                </c:pt>
                <c:pt idx="419">
                  <c:v>6487.6712328767135</c:v>
                </c:pt>
                <c:pt idx="420">
                  <c:v>6487.6712328767135</c:v>
                </c:pt>
                <c:pt idx="421">
                  <c:v>6487.6712328767135</c:v>
                </c:pt>
                <c:pt idx="422">
                  <c:v>6487.6712328767135</c:v>
                </c:pt>
                <c:pt idx="423">
                  <c:v>6487.6712328767135</c:v>
                </c:pt>
                <c:pt idx="424">
                  <c:v>6487.6712328767135</c:v>
                </c:pt>
                <c:pt idx="425">
                  <c:v>6487.6712328767135</c:v>
                </c:pt>
                <c:pt idx="426">
                  <c:v>6487.6712328767135</c:v>
                </c:pt>
                <c:pt idx="427">
                  <c:v>6487.6712328767135</c:v>
                </c:pt>
                <c:pt idx="428">
                  <c:v>6487.6712328767135</c:v>
                </c:pt>
                <c:pt idx="429">
                  <c:v>6487.6712328767135</c:v>
                </c:pt>
                <c:pt idx="430">
                  <c:v>6487.6712328767135</c:v>
                </c:pt>
                <c:pt idx="431">
                  <c:v>6487.6712328767135</c:v>
                </c:pt>
                <c:pt idx="432">
                  <c:v>6487.6712328767135</c:v>
                </c:pt>
                <c:pt idx="433">
                  <c:v>6487.6712328767135</c:v>
                </c:pt>
                <c:pt idx="434">
                  <c:v>6487.6712328767135</c:v>
                </c:pt>
                <c:pt idx="435">
                  <c:v>6487.6712328767135</c:v>
                </c:pt>
                <c:pt idx="436">
                  <c:v>6487.6712328767135</c:v>
                </c:pt>
                <c:pt idx="437">
                  <c:v>6487.6712328767135</c:v>
                </c:pt>
                <c:pt idx="438">
                  <c:v>6487.6712328767135</c:v>
                </c:pt>
                <c:pt idx="439">
                  <c:v>6487.6712328767135</c:v>
                </c:pt>
                <c:pt idx="440">
                  <c:v>6487.6712328767135</c:v>
                </c:pt>
                <c:pt idx="441">
                  <c:v>6487.6712328767135</c:v>
                </c:pt>
                <c:pt idx="442">
                  <c:v>6487.6712328767135</c:v>
                </c:pt>
                <c:pt idx="443">
                  <c:v>6487.6712328767135</c:v>
                </c:pt>
                <c:pt idx="444">
                  <c:v>6487.6712328767135</c:v>
                </c:pt>
                <c:pt idx="445">
                  <c:v>6487.6712328767135</c:v>
                </c:pt>
                <c:pt idx="446">
                  <c:v>6487.6712328767135</c:v>
                </c:pt>
                <c:pt idx="447">
                  <c:v>6487.6712328767135</c:v>
                </c:pt>
                <c:pt idx="448">
                  <c:v>6487.6712328767135</c:v>
                </c:pt>
                <c:pt idx="449">
                  <c:v>6487.6712328767135</c:v>
                </c:pt>
                <c:pt idx="450">
                  <c:v>6487.6712328767135</c:v>
                </c:pt>
                <c:pt idx="451">
                  <c:v>6487.6712328767135</c:v>
                </c:pt>
                <c:pt idx="452">
                  <c:v>6487.6712328767135</c:v>
                </c:pt>
                <c:pt idx="453">
                  <c:v>6487.6712328767135</c:v>
                </c:pt>
                <c:pt idx="454">
                  <c:v>6487.6712328767135</c:v>
                </c:pt>
                <c:pt idx="455">
                  <c:v>6487.6712328767135</c:v>
                </c:pt>
                <c:pt idx="456">
                  <c:v>6487.6712328767135</c:v>
                </c:pt>
                <c:pt idx="457">
                  <c:v>6487.6712328767135</c:v>
                </c:pt>
                <c:pt idx="458">
                  <c:v>6487.6712328767135</c:v>
                </c:pt>
                <c:pt idx="459">
                  <c:v>6487.6712328767135</c:v>
                </c:pt>
                <c:pt idx="460">
                  <c:v>6487.6712328767135</c:v>
                </c:pt>
                <c:pt idx="461">
                  <c:v>6487.6712328767135</c:v>
                </c:pt>
                <c:pt idx="462">
                  <c:v>6487.6712328767135</c:v>
                </c:pt>
                <c:pt idx="463">
                  <c:v>6487.6712328767135</c:v>
                </c:pt>
                <c:pt idx="464">
                  <c:v>6487.6712328767135</c:v>
                </c:pt>
                <c:pt idx="465">
                  <c:v>6487.6712328767135</c:v>
                </c:pt>
                <c:pt idx="466">
                  <c:v>6487.6712328767135</c:v>
                </c:pt>
                <c:pt idx="467">
                  <c:v>6487.6712328767135</c:v>
                </c:pt>
                <c:pt idx="468">
                  <c:v>6487.6712328767135</c:v>
                </c:pt>
                <c:pt idx="469">
                  <c:v>6487.6712328767135</c:v>
                </c:pt>
                <c:pt idx="470">
                  <c:v>6487.6712328767135</c:v>
                </c:pt>
                <c:pt idx="471">
                  <c:v>6487.6712328767135</c:v>
                </c:pt>
                <c:pt idx="472">
                  <c:v>6487.6712328767135</c:v>
                </c:pt>
                <c:pt idx="473">
                  <c:v>6487.6712328767135</c:v>
                </c:pt>
                <c:pt idx="474">
                  <c:v>6487.6712328767135</c:v>
                </c:pt>
                <c:pt idx="475">
                  <c:v>6487.6712328767135</c:v>
                </c:pt>
                <c:pt idx="476">
                  <c:v>6487.6712328767135</c:v>
                </c:pt>
                <c:pt idx="477">
                  <c:v>6487.6712328767135</c:v>
                </c:pt>
                <c:pt idx="478">
                  <c:v>6487.6712328767135</c:v>
                </c:pt>
                <c:pt idx="479">
                  <c:v>6487.6712328767135</c:v>
                </c:pt>
                <c:pt idx="480">
                  <c:v>6487.6712328767135</c:v>
                </c:pt>
                <c:pt idx="481">
                  <c:v>6487.6712328767135</c:v>
                </c:pt>
                <c:pt idx="482">
                  <c:v>6487.6712328767135</c:v>
                </c:pt>
                <c:pt idx="483">
                  <c:v>6487.6712328767135</c:v>
                </c:pt>
                <c:pt idx="484">
                  <c:v>6487.6712328767135</c:v>
                </c:pt>
                <c:pt idx="485">
                  <c:v>6487.6712328767135</c:v>
                </c:pt>
                <c:pt idx="486">
                  <c:v>6487.6712328767135</c:v>
                </c:pt>
                <c:pt idx="487">
                  <c:v>6487.6712328767135</c:v>
                </c:pt>
                <c:pt idx="488">
                  <c:v>6487.6712328767135</c:v>
                </c:pt>
                <c:pt idx="489">
                  <c:v>6487.6712328767135</c:v>
                </c:pt>
                <c:pt idx="490">
                  <c:v>6487.6712328767135</c:v>
                </c:pt>
                <c:pt idx="491">
                  <c:v>6487.6712328767135</c:v>
                </c:pt>
                <c:pt idx="492">
                  <c:v>6487.6712328767135</c:v>
                </c:pt>
                <c:pt idx="493">
                  <c:v>6487.6712328767135</c:v>
                </c:pt>
                <c:pt idx="494">
                  <c:v>6487.6712328767135</c:v>
                </c:pt>
                <c:pt idx="495">
                  <c:v>6487.6712328767135</c:v>
                </c:pt>
                <c:pt idx="496">
                  <c:v>6487.6712328767135</c:v>
                </c:pt>
                <c:pt idx="497">
                  <c:v>6487.6712328767135</c:v>
                </c:pt>
                <c:pt idx="498">
                  <c:v>6487.6712328767135</c:v>
                </c:pt>
                <c:pt idx="499">
                  <c:v>6487.6712328767135</c:v>
                </c:pt>
                <c:pt idx="500">
                  <c:v>6487.6712328767135</c:v>
                </c:pt>
                <c:pt idx="501">
                  <c:v>6487.6712328767135</c:v>
                </c:pt>
                <c:pt idx="502">
                  <c:v>6487.6712328767135</c:v>
                </c:pt>
                <c:pt idx="503">
                  <c:v>6487.6712328767135</c:v>
                </c:pt>
                <c:pt idx="504">
                  <c:v>6487.6712328767135</c:v>
                </c:pt>
                <c:pt idx="505">
                  <c:v>6487.6712328767135</c:v>
                </c:pt>
                <c:pt idx="506">
                  <c:v>6487.6712328767135</c:v>
                </c:pt>
                <c:pt idx="507">
                  <c:v>6487.6712328767135</c:v>
                </c:pt>
                <c:pt idx="508">
                  <c:v>6487.6712328767135</c:v>
                </c:pt>
                <c:pt idx="509">
                  <c:v>6487.6712328767135</c:v>
                </c:pt>
                <c:pt idx="510">
                  <c:v>6487.6712328767135</c:v>
                </c:pt>
                <c:pt idx="511">
                  <c:v>6487.6712328767135</c:v>
                </c:pt>
                <c:pt idx="512">
                  <c:v>6487.6712328767135</c:v>
                </c:pt>
                <c:pt idx="513">
                  <c:v>6487.6712328767135</c:v>
                </c:pt>
                <c:pt idx="514">
                  <c:v>6487.6712328767135</c:v>
                </c:pt>
                <c:pt idx="515">
                  <c:v>6487.6712328767135</c:v>
                </c:pt>
                <c:pt idx="516">
                  <c:v>6487.6712328767135</c:v>
                </c:pt>
                <c:pt idx="517">
                  <c:v>6487.6712328767135</c:v>
                </c:pt>
                <c:pt idx="518">
                  <c:v>6487.6712328767135</c:v>
                </c:pt>
                <c:pt idx="519">
                  <c:v>6487.6712328767135</c:v>
                </c:pt>
                <c:pt idx="520">
                  <c:v>6487.6712328767135</c:v>
                </c:pt>
                <c:pt idx="521">
                  <c:v>6487.6712328767135</c:v>
                </c:pt>
                <c:pt idx="522">
                  <c:v>6487.6712328767135</c:v>
                </c:pt>
                <c:pt idx="523">
                  <c:v>6487.6712328767135</c:v>
                </c:pt>
                <c:pt idx="524">
                  <c:v>6487.6712328767135</c:v>
                </c:pt>
                <c:pt idx="525">
                  <c:v>6487.6712328767135</c:v>
                </c:pt>
                <c:pt idx="526">
                  <c:v>6487.6712328767135</c:v>
                </c:pt>
                <c:pt idx="527">
                  <c:v>6487.6712328767135</c:v>
                </c:pt>
                <c:pt idx="528">
                  <c:v>6487.6712328767135</c:v>
                </c:pt>
                <c:pt idx="529">
                  <c:v>6487.6712328767135</c:v>
                </c:pt>
                <c:pt idx="530">
                  <c:v>6487.6712328767135</c:v>
                </c:pt>
                <c:pt idx="531">
                  <c:v>6487.6712328767135</c:v>
                </c:pt>
                <c:pt idx="532">
                  <c:v>6487.6712328767135</c:v>
                </c:pt>
                <c:pt idx="533">
                  <c:v>6487.6712328767135</c:v>
                </c:pt>
                <c:pt idx="534">
                  <c:v>6487.6712328767135</c:v>
                </c:pt>
                <c:pt idx="535">
                  <c:v>6487.6712328767135</c:v>
                </c:pt>
                <c:pt idx="536">
                  <c:v>6487.6712328767135</c:v>
                </c:pt>
                <c:pt idx="537">
                  <c:v>6487.6712328767135</c:v>
                </c:pt>
                <c:pt idx="538">
                  <c:v>6487.6712328767135</c:v>
                </c:pt>
                <c:pt idx="539">
                  <c:v>6487.6712328767135</c:v>
                </c:pt>
                <c:pt idx="540">
                  <c:v>6487.6712328767135</c:v>
                </c:pt>
                <c:pt idx="541">
                  <c:v>6487.6712328767135</c:v>
                </c:pt>
                <c:pt idx="542">
                  <c:v>6487.6712328767135</c:v>
                </c:pt>
                <c:pt idx="543">
                  <c:v>6487.6712328767135</c:v>
                </c:pt>
                <c:pt idx="544">
                  <c:v>6487.6712328767135</c:v>
                </c:pt>
                <c:pt idx="545">
                  <c:v>6487.6712328767135</c:v>
                </c:pt>
                <c:pt idx="546">
                  <c:v>6487.6712328767135</c:v>
                </c:pt>
                <c:pt idx="547">
                  <c:v>6487.6712328767135</c:v>
                </c:pt>
                <c:pt idx="548">
                  <c:v>6487.6712328767135</c:v>
                </c:pt>
                <c:pt idx="549">
                  <c:v>6487.6712328767135</c:v>
                </c:pt>
                <c:pt idx="550">
                  <c:v>6487.6712328767135</c:v>
                </c:pt>
                <c:pt idx="551">
                  <c:v>6487.6712328767135</c:v>
                </c:pt>
                <c:pt idx="552">
                  <c:v>6487.6712328767135</c:v>
                </c:pt>
                <c:pt idx="553">
                  <c:v>6487.6712328767135</c:v>
                </c:pt>
                <c:pt idx="554">
                  <c:v>6487.6712328767135</c:v>
                </c:pt>
                <c:pt idx="555">
                  <c:v>6487.6712328767135</c:v>
                </c:pt>
                <c:pt idx="556">
                  <c:v>6487.6712328767135</c:v>
                </c:pt>
                <c:pt idx="557">
                  <c:v>6487.6712328767135</c:v>
                </c:pt>
                <c:pt idx="558">
                  <c:v>6487.6712328767135</c:v>
                </c:pt>
                <c:pt idx="559">
                  <c:v>6487.6712328767135</c:v>
                </c:pt>
                <c:pt idx="560">
                  <c:v>6487.6712328767135</c:v>
                </c:pt>
                <c:pt idx="561">
                  <c:v>6487.6712328767135</c:v>
                </c:pt>
                <c:pt idx="562">
                  <c:v>6487.6712328767135</c:v>
                </c:pt>
                <c:pt idx="563">
                  <c:v>6487.6712328767135</c:v>
                </c:pt>
                <c:pt idx="564">
                  <c:v>6487.6712328767135</c:v>
                </c:pt>
                <c:pt idx="565">
                  <c:v>6487.6712328767135</c:v>
                </c:pt>
                <c:pt idx="566">
                  <c:v>6487.6712328767135</c:v>
                </c:pt>
                <c:pt idx="567">
                  <c:v>6487.6712328767135</c:v>
                </c:pt>
                <c:pt idx="568">
                  <c:v>6487.6712328767135</c:v>
                </c:pt>
                <c:pt idx="569">
                  <c:v>6487.6712328767135</c:v>
                </c:pt>
                <c:pt idx="570">
                  <c:v>6487.6712328767135</c:v>
                </c:pt>
                <c:pt idx="571">
                  <c:v>6487.6712328767135</c:v>
                </c:pt>
                <c:pt idx="572">
                  <c:v>6487.6712328767135</c:v>
                </c:pt>
                <c:pt idx="573">
                  <c:v>6487.6712328767135</c:v>
                </c:pt>
                <c:pt idx="574">
                  <c:v>6487.6712328767135</c:v>
                </c:pt>
                <c:pt idx="575">
                  <c:v>6487.6712328767135</c:v>
                </c:pt>
                <c:pt idx="576">
                  <c:v>6487.6712328767135</c:v>
                </c:pt>
                <c:pt idx="577">
                  <c:v>6487.6712328767135</c:v>
                </c:pt>
                <c:pt idx="578">
                  <c:v>6487.6712328767135</c:v>
                </c:pt>
                <c:pt idx="579">
                  <c:v>6487.6712328767135</c:v>
                </c:pt>
                <c:pt idx="580">
                  <c:v>6487.6712328767135</c:v>
                </c:pt>
                <c:pt idx="581">
                  <c:v>6487.6712328767135</c:v>
                </c:pt>
                <c:pt idx="582">
                  <c:v>6487.6712328767135</c:v>
                </c:pt>
                <c:pt idx="583">
                  <c:v>6487.6712328767135</c:v>
                </c:pt>
                <c:pt idx="584">
                  <c:v>6487.6712328767135</c:v>
                </c:pt>
                <c:pt idx="585">
                  <c:v>6487.6712328767135</c:v>
                </c:pt>
                <c:pt idx="586">
                  <c:v>6487.6712328767135</c:v>
                </c:pt>
                <c:pt idx="587">
                  <c:v>6487.6712328767135</c:v>
                </c:pt>
                <c:pt idx="588">
                  <c:v>6487.6712328767135</c:v>
                </c:pt>
                <c:pt idx="589">
                  <c:v>6487.6712328767135</c:v>
                </c:pt>
                <c:pt idx="590">
                  <c:v>6487.6712328767135</c:v>
                </c:pt>
                <c:pt idx="591">
                  <c:v>6487.6712328767135</c:v>
                </c:pt>
                <c:pt idx="592">
                  <c:v>6487.6712328767135</c:v>
                </c:pt>
                <c:pt idx="593">
                  <c:v>6487.6712328767135</c:v>
                </c:pt>
                <c:pt idx="594">
                  <c:v>6487.6712328767135</c:v>
                </c:pt>
                <c:pt idx="595">
                  <c:v>6487.6712328767135</c:v>
                </c:pt>
                <c:pt idx="596">
                  <c:v>6487.6712328767135</c:v>
                </c:pt>
                <c:pt idx="597">
                  <c:v>6487.6712328767135</c:v>
                </c:pt>
                <c:pt idx="598">
                  <c:v>6487.6712328767135</c:v>
                </c:pt>
                <c:pt idx="599">
                  <c:v>6487.6712328767135</c:v>
                </c:pt>
                <c:pt idx="600">
                  <c:v>6487.6712328767135</c:v>
                </c:pt>
                <c:pt idx="601">
                  <c:v>6487.6712328767135</c:v>
                </c:pt>
                <c:pt idx="602">
                  <c:v>6487.6712328767135</c:v>
                </c:pt>
                <c:pt idx="603">
                  <c:v>6487.6712328767135</c:v>
                </c:pt>
                <c:pt idx="604">
                  <c:v>6487.6712328767135</c:v>
                </c:pt>
                <c:pt idx="605">
                  <c:v>6487.6712328767135</c:v>
                </c:pt>
                <c:pt idx="606">
                  <c:v>6487.6712328767135</c:v>
                </c:pt>
                <c:pt idx="607">
                  <c:v>6487.6712328767135</c:v>
                </c:pt>
                <c:pt idx="608">
                  <c:v>6487.6712328767135</c:v>
                </c:pt>
                <c:pt idx="609">
                  <c:v>6487.6712328767135</c:v>
                </c:pt>
                <c:pt idx="610">
                  <c:v>6487.6712328767135</c:v>
                </c:pt>
                <c:pt idx="611">
                  <c:v>6487.4527110891995</c:v>
                </c:pt>
                <c:pt idx="612">
                  <c:v>6439.8352612036488</c:v>
                </c:pt>
                <c:pt idx="613">
                  <c:v>6392.5673200751726</c:v>
                </c:pt>
                <c:pt idx="614">
                  <c:v>6345.6463223338915</c:v>
                </c:pt>
                <c:pt idx="615">
                  <c:v>6299.069721439575</c:v>
                </c:pt>
                <c:pt idx="616">
                  <c:v>6252.834989543413</c:v>
                </c:pt>
                <c:pt idx="617">
                  <c:v>6206.9396173508385</c:v>
                </c:pt>
                <c:pt idx="618">
                  <c:v>6161.3811139853151</c:v>
                </c:pt>
                <c:pt idx="619">
                  <c:v>6116.1570068531764</c:v>
                </c:pt>
                <c:pt idx="620">
                  <c:v>6071.2648415094327</c:v>
                </c:pt>
                <c:pt idx="621">
                  <c:v>6026.7021815245153</c:v>
                </c:pt>
                <c:pt idx="622">
                  <c:v>5982.4666083521151</c:v>
                </c:pt>
                <c:pt idx="623">
                  <c:v>5938.5557211978621</c:v>
                </c:pt>
                <c:pt idx="624">
                  <c:v>5894.9671368890631</c:v>
                </c:pt>
                <c:pt idx="625">
                  <c:v>5851.6984897453276</c:v>
                </c:pt>
                <c:pt idx="626">
                  <c:v>5808.7474314502124</c:v>
                </c:pt>
                <c:pt idx="627">
                  <c:v>5766.1116309237441</c:v>
                </c:pt>
                <c:pt idx="628">
                  <c:v>5723.7887741959184</c:v>
                </c:pt>
                <c:pt idx="629">
                  <c:v>5681.7765642810982</c:v>
                </c:pt>
                <c:pt idx="630">
                  <c:v>5640.0727210533732</c:v>
                </c:pt>
                <c:pt idx="631">
                  <c:v>5598.6749811227965</c:v>
                </c:pt>
                <c:pt idx="632">
                  <c:v>5557.581097712532</c:v>
                </c:pt>
                <c:pt idx="633">
                  <c:v>5516.7888405369467</c:v>
                </c:pt>
                <c:pt idx="634">
                  <c:v>5476.2959956805353</c:v>
                </c:pt>
                <c:pt idx="635">
                  <c:v>5436.1003654777915</c:v>
                </c:pt>
                <c:pt idx="636">
                  <c:v>5396.1997683939026</c:v>
                </c:pt>
                <c:pt idx="637">
                  <c:v>5356.5920389063795</c:v>
                </c:pt>
                <c:pt idx="638">
                  <c:v>5317.275027387519</c:v>
                </c:pt>
                <c:pt idx="639">
                  <c:v>5278.246599987734</c:v>
                </c:pt>
                <c:pt idx="640">
                  <c:v>5239.5046385197329</c:v>
                </c:pt>
                <c:pt idx="641">
                  <c:v>5201.047040343592</c:v>
                </c:pt>
                <c:pt idx="642">
                  <c:v>5162.871718252597</c:v>
                </c:pt>
                <c:pt idx="643">
                  <c:v>5124.976600359998</c:v>
                </c:pt>
                <c:pt idx="644">
                  <c:v>5087.3596299865394</c:v>
                </c:pt>
                <c:pt idx="645">
                  <c:v>5050.0187655488608</c:v>
                </c:pt>
                <c:pt idx="646">
                  <c:v>5012.9519804486717</c:v>
                </c:pt>
                <c:pt idx="647">
                  <c:v>4976.1572629627735</c:v>
                </c:pt>
                <c:pt idx="648">
                  <c:v>4939.6326161338729</c:v>
                </c:pt>
                <c:pt idx="649">
                  <c:v>4903.376057662209</c:v>
                </c:pt>
                <c:pt idx="650">
                  <c:v>4867.3856197979603</c:v>
                </c:pt>
                <c:pt idx="651">
                  <c:v>4831.6593492344464</c:v>
                </c:pt>
                <c:pt idx="652">
                  <c:v>4796.1953070021355</c:v>
                </c:pt>
                <c:pt idx="653">
                  <c:v>4760.9915683633808</c:v>
                </c:pt>
                <c:pt idx="654">
                  <c:v>4726.0462227079861</c:v>
                </c:pt>
                <c:pt idx="655">
                  <c:v>4691.3573734494939</c:v>
                </c:pt>
                <c:pt idx="656">
                  <c:v>4656.9231379222638</c:v>
                </c:pt>
                <c:pt idx="657">
                  <c:v>4622.7416472792884</c:v>
                </c:pt>
                <c:pt idx="658">
                  <c:v>4588.8110463907597</c:v>
                </c:pt>
                <c:pt idx="659">
                  <c:v>4555.1294937434086</c:v>
                </c:pt>
                <c:pt idx="660">
                  <c:v>4521.6951613405336</c:v>
                </c:pt>
                <c:pt idx="661">
                  <c:v>4488.5062346028008</c:v>
                </c:pt>
                <c:pt idx="662">
                  <c:v>4455.560912269767</c:v>
                </c:pt>
                <c:pt idx="663">
                  <c:v>4422.8574063021088</c:v>
                </c:pt>
                <c:pt idx="664">
                  <c:v>4390.3939417845941</c:v>
                </c:pt>
                <c:pt idx="665">
                  <c:v>4358.1687568297348</c:v>
                </c:pt>
                <c:pt idx="666">
                  <c:v>4326.180102482188</c:v>
                </c:pt>
                <c:pt idx="667">
                  <c:v>4294.4262426238101</c:v>
                </c:pt>
                <c:pt idx="668">
                  <c:v>4262.9054538794444</c:v>
                </c:pt>
                <c:pt idx="669">
                  <c:v>4231.616025523389</c:v>
                </c:pt>
                <c:pt idx="670">
                  <c:v>4200.5562593865516</c:v>
                </c:pt>
                <c:pt idx="671">
                  <c:v>4169.7244697642782</c:v>
                </c:pt>
                <c:pt idx="672">
                  <c:v>4139.1189833248682</c:v>
                </c:pt>
                <c:pt idx="673">
                  <c:v>4108.7381390187693</c:v>
                </c:pt>
                <c:pt idx="674">
                  <c:v>4078.5802879884059</c:v>
                </c:pt>
                <c:pt idx="675">
                  <c:v>4048.6437934787064</c:v>
                </c:pt>
                <c:pt idx="676">
                  <c:v>4018.9270307482652</c:v>
                </c:pt>
                <c:pt idx="677">
                  <c:v>3989.4283869811666</c:v>
                </c:pt>
                <c:pt idx="678">
                  <c:v>3960.1462611994521</c:v>
                </c:pt>
                <c:pt idx="679">
                  <c:v>3931.0790641762246</c:v>
                </c:pt>
                <c:pt idx="680">
                  <c:v>3902.2252183494065</c:v>
                </c:pt>
                <c:pt idx="681">
                  <c:v>3873.5831577361173</c:v>
                </c:pt>
                <c:pt idx="682">
                  <c:v>3845.1513278476782</c:v>
                </c:pt>
                <c:pt idx="683">
                  <c:v>3816.9281856052457</c:v>
                </c:pt>
                <c:pt idx="684">
                  <c:v>3788.9121992560713</c:v>
                </c:pt>
                <c:pt idx="685">
                  <c:v>3761.1018482903669</c:v>
                </c:pt>
                <c:pt idx="686">
                  <c:v>3733.495623358775</c:v>
                </c:pt>
                <c:pt idx="687">
                  <c:v>3706.0920261904566</c:v>
                </c:pt>
                <c:pt idx="688">
                  <c:v>3678.8895695117831</c:v>
                </c:pt>
                <c:pt idx="689">
                  <c:v>3651.8867769656058</c:v>
                </c:pt>
                <c:pt idx="690">
                  <c:v>3625.0821830311329</c:v>
                </c:pt>
                <c:pt idx="691">
                  <c:v>3598.4743329443941</c:v>
                </c:pt>
                <c:pt idx="692">
                  <c:v>3572.0617826192861</c:v>
                </c:pt>
                <c:pt idx="693">
                  <c:v>3545.8430985691975</c:v>
                </c:pt>
                <c:pt idx="694">
                  <c:v>3519.816857829202</c:v>
                </c:pt>
                <c:pt idx="695">
                  <c:v>3493.9816478788493</c:v>
                </c:pt>
                <c:pt idx="696">
                  <c:v>3468.3360665654791</c:v>
                </c:pt>
                <c:pt idx="697">
                  <c:v>3442.878722028137</c:v>
                </c:pt>
                <c:pt idx="698">
                  <c:v>3417.6082326220326</c:v>
                </c:pt>
                <c:pt idx="699">
                  <c:v>3392.5232268435502</c:v>
                </c:pt>
                <c:pt idx="700">
                  <c:v>3367.6223432558145</c:v>
                </c:pt>
                <c:pt idx="701">
                  <c:v>3342.9042304148006</c:v>
                </c:pt>
                <c:pt idx="702">
                  <c:v>3318.3675467959965</c:v>
                </c:pt>
                <c:pt idx="703">
                  <c:v>3294.0109607215763</c:v>
                </c:pt>
                <c:pt idx="704">
                  <c:v>3269.8331502881397</c:v>
                </c:pt>
                <c:pt idx="705">
                  <c:v>3245.8328032949676</c:v>
                </c:pt>
                <c:pt idx="706">
                  <c:v>3222.0086171727989</c:v>
                </c:pt>
                <c:pt idx="707">
                  <c:v>3198.359298913143</c:v>
                </c:pt>
                <c:pt idx="708">
                  <c:v>3174.8835649980961</c:v>
                </c:pt>
                <c:pt idx="709">
                  <c:v>3151.5801413306954</c:v>
                </c:pt>
                <c:pt idx="710">
                  <c:v>3128.4477631657546</c:v>
                </c:pt>
                <c:pt idx="711">
                  <c:v>3105.4851750412267</c:v>
                </c:pt>
                <c:pt idx="712">
                  <c:v>3082.6911307100731</c:v>
                </c:pt>
                <c:pt idx="713">
                  <c:v>3060.0643930726205</c:v>
                </c:pt>
                <c:pt idx="714">
                  <c:v>3037.6037341094179</c:v>
                </c:pt>
                <c:pt idx="715">
                  <c:v>3015.3079348145925</c:v>
                </c:pt>
                <c:pt idx="716">
                  <c:v>2993.1757851296952</c:v>
                </c:pt>
                <c:pt idx="717">
                  <c:v>2971.2060838780139</c:v>
                </c:pt>
                <c:pt idx="718">
                  <c:v>2949.3976386993927</c:v>
                </c:pt>
                <c:pt idx="719">
                  <c:v>2927.7492659855143</c:v>
                </c:pt>
                <c:pt idx="720">
                  <c:v>2906.2597908156686</c:v>
                </c:pt>
                <c:pt idx="721">
                  <c:v>2884.9280468929755</c:v>
                </c:pt>
                <c:pt idx="722">
                  <c:v>2863.7528764810954</c:v>
                </c:pt>
                <c:pt idx="723">
                  <c:v>2842.7331303413903</c:v>
                </c:pt>
                <c:pt idx="724">
                  <c:v>2821.8676676705591</c:v>
                </c:pt>
                <c:pt idx="725">
                  <c:v>2801.1553560387133</c:v>
                </c:pt>
                <c:pt idx="726">
                  <c:v>2780.5950713279208</c:v>
                </c:pt>
                <c:pt idx="727">
                  <c:v>2760.185697671197</c:v>
                </c:pt>
                <c:pt idx="728">
                  <c:v>2739.9261273919419</c:v>
                </c:pt>
                <c:pt idx="729">
                  <c:v>2719.8152609438271</c:v>
                </c:pt>
                <c:pt idx="730">
                  <c:v>2699.8520068511107</c:v>
                </c:pt>
                <c:pt idx="731">
                  <c:v>2680.0352816494192</c:v>
                </c:pt>
                <c:pt idx="732">
                  <c:v>2660.3640098269225</c:v>
                </c:pt>
                <c:pt idx="733">
                  <c:v>2640.8371237659721</c:v>
                </c:pt>
                <c:pt idx="734">
                  <c:v>2621.4535636851624</c:v>
                </c:pt>
                <c:pt idx="735">
                  <c:v>2602.2122775818066</c:v>
                </c:pt>
                <c:pt idx="736">
                  <c:v>2583.1122211748448</c:v>
                </c:pt>
                <c:pt idx="737">
                  <c:v>2564.1523578481651</c:v>
                </c:pt>
                <c:pt idx="738">
                  <c:v>2545.331658594353</c:v>
                </c:pt>
                <c:pt idx="739">
                  <c:v>2526.6491019588293</c:v>
                </c:pt>
                <c:pt idx="740">
                  <c:v>2508.1036739844217</c:v>
                </c:pt>
                <c:pt idx="741">
                  <c:v>2489.6943681563339</c:v>
                </c:pt>
                <c:pt idx="742">
                  <c:v>2471.4201853475142</c:v>
                </c:pt>
                <c:pt idx="743">
                  <c:v>2453.2801337644414</c:v>
                </c:pt>
                <c:pt idx="744">
                  <c:v>2435.2732288932802</c:v>
                </c:pt>
                <c:pt idx="745">
                  <c:v>2417.3984934464652</c:v>
                </c:pt>
                <c:pt idx="746">
                  <c:v>2399.6549573096522</c:v>
                </c:pt>
                <c:pt idx="747">
                  <c:v>2382.041657489066</c:v>
                </c:pt>
                <c:pt idx="748">
                  <c:v>2364.5576380592388</c:v>
                </c:pt>
                <c:pt idx="749">
                  <c:v>2347.2019501111317</c:v>
                </c:pt>
                <c:pt idx="750">
                  <c:v>2329.973651700629</c:v>
                </c:pt>
                <c:pt idx="751">
                  <c:v>2312.8718077974186</c:v>
                </c:pt>
                <c:pt idx="752">
                  <c:v>2295.8954902342512</c:v>
                </c:pt>
                <c:pt idx="753">
                  <c:v>2279.0437776565541</c:v>
                </c:pt>
                <c:pt idx="754">
                  <c:v>2262.3157554724348</c:v>
                </c:pt>
                <c:pt idx="755">
                  <c:v>2245.7105158030422</c:v>
                </c:pt>
                <c:pt idx="756">
                  <c:v>2229.2271574332917</c:v>
                </c:pt>
                <c:pt idx="757">
                  <c:v>2212.8647857629553</c:v>
                </c:pt>
                <c:pt idx="758">
                  <c:v>2196.622512758107</c:v>
                </c:pt>
                <c:pt idx="759">
                  <c:v>2180.4994569029268</c:v>
                </c:pt>
                <c:pt idx="760">
                  <c:v>2164.4947431518649</c:v>
                </c:pt>
                <c:pt idx="761">
                  <c:v>2148.6075028821392</c:v>
                </c:pt>
                <c:pt idx="762">
                  <c:v>2132.8368738465988</c:v>
                </c:pt>
                <c:pt idx="763">
                  <c:v>2117.1820001269289</c:v>
                </c:pt>
                <c:pt idx="764">
                  <c:v>2101.6420320871935</c:v>
                </c:pt>
                <c:pt idx="765">
                  <c:v>2086.2161263277258</c:v>
                </c:pt>
                <c:pt idx="766">
                  <c:v>2070.903445639351</c:v>
                </c:pt>
                <c:pt idx="767">
                  <c:v>2055.7031589579587</c:v>
                </c:pt>
                <c:pt idx="768">
                  <c:v>2040.6144413193833</c:v>
                </c:pt>
                <c:pt idx="769">
                  <c:v>2025.6364738146412</c:v>
                </c:pt>
                <c:pt idx="770">
                  <c:v>2010.7684435454839</c:v>
                </c:pt>
                <c:pt idx="771">
                  <c:v>1996.0095435802798</c:v>
                </c:pt>
                <c:pt idx="772">
                  <c:v>1981.3589729102166</c:v>
                </c:pt>
                <c:pt idx="773">
                  <c:v>1966.8159364058324</c:v>
                </c:pt>
                <c:pt idx="774">
                  <c:v>1952.3796447738628</c:v>
                </c:pt>
                <c:pt idx="775">
                  <c:v>1938.0493145143969</c:v>
                </c:pt>
                <c:pt idx="776">
                  <c:v>1923.8241678783588</c:v>
                </c:pt>
                <c:pt idx="777">
                  <c:v>1909.7034328252987</c:v>
                </c:pt>
                <c:pt idx="778">
                  <c:v>1895.6863429814882</c:v>
                </c:pt>
                <c:pt idx="779">
                  <c:v>1881.7721375983283</c:v>
                </c:pt>
                <c:pt idx="780">
                  <c:v>1867.9600615110605</c:v>
                </c:pt>
                <c:pt idx="781">
                  <c:v>1854.2493650977892</c:v>
                </c:pt>
                <c:pt idx="782">
                  <c:v>1840.6393042387831</c:v>
                </c:pt>
                <c:pt idx="783">
                  <c:v>1827.1291402761019</c:v>
                </c:pt>
                <c:pt idx="784">
                  <c:v>1813.7181399735025</c:v>
                </c:pt>
                <c:pt idx="785">
                  <c:v>1800.4055754766448</c:v>
                </c:pt>
                <c:pt idx="786">
                  <c:v>1787.1907242735872</c:v>
                </c:pt>
                <c:pt idx="787">
                  <c:v>1774.0728691555764</c:v>
                </c:pt>
                <c:pt idx="788">
                  <c:v>1761.0512981781226</c:v>
                </c:pt>
                <c:pt idx="789">
                  <c:v>1748.1253046223576</c:v>
                </c:pt>
                <c:pt idx="790">
                  <c:v>1735.2941869566796</c:v>
                </c:pt>
                <c:pt idx="791">
                  <c:v>1722.5572487986803</c:v>
                </c:pt>
                <c:pt idx="792">
                  <c:v>1709.9137988773502</c:v>
                </c:pt>
                <c:pt idx="793">
                  <c:v>1697.3631509955608</c:v>
                </c:pt>
                <c:pt idx="794">
                  <c:v>1684.9046239928198</c:v>
                </c:pt>
                <c:pt idx="795">
                  <c:v>1672.537541708311</c:v>
                </c:pt>
                <c:pt idx="796">
                  <c:v>1660.2612329441863</c:v>
                </c:pt>
                <c:pt idx="797">
                  <c:v>1648.0750314291449</c:v>
                </c:pt>
                <c:pt idx="798">
                  <c:v>1635.9782757822716</c:v>
                </c:pt>
                <c:pt idx="799">
                  <c:v>1623.9703094771382</c:v>
                </c:pt>
                <c:pt idx="800">
                  <c:v>1612.0504808061783</c:v>
                </c:pt>
                <c:pt idx="801">
                  <c:v>1600.2181428453102</c:v>
                </c:pt>
                <c:pt idx="802">
                  <c:v>1588.4726534188305</c:v>
                </c:pt>
                <c:pt idx="803">
                  <c:v>1576.8133750645641</c:v>
                </c:pt>
                <c:pt idx="804">
                  <c:v>1565.2396749992593</c:v>
                </c:pt>
                <c:pt idx="805">
                  <c:v>1553.7509250842518</c:v>
                </c:pt>
                <c:pt idx="806">
                  <c:v>1542.3465017913695</c:v>
                </c:pt>
                <c:pt idx="807">
                  <c:v>1531.0257861690948</c:v>
                </c:pt>
                <c:pt idx="808">
                  <c:v>1519.7881638089707</c:v>
                </c:pt>
                <c:pt idx="809">
                  <c:v>1508.6330248122542</c:v>
                </c:pt>
                <c:pt idx="810">
                  <c:v>1497.5597637568198</c:v>
                </c:pt>
                <c:pt idx="811">
                  <c:v>1486.5677796642949</c:v>
                </c:pt>
                <c:pt idx="812">
                  <c:v>1475.6564759674479</c:v>
                </c:pt>
                <c:pt idx="813">
                  <c:v>1464.8252604778072</c:v>
                </c:pt>
                <c:pt idx="814">
                  <c:v>1454.0735453535253</c:v>
                </c:pt>
                <c:pt idx="815">
                  <c:v>1443.4007470674717</c:v>
                </c:pt>
                <c:pt idx="816">
                  <c:v>1432.8062863755629</c:v>
                </c:pt>
                <c:pt idx="817">
                  <c:v>1422.2895882853309</c:v>
                </c:pt>
                <c:pt idx="818">
                  <c:v>1411.8500820247086</c:v>
                </c:pt>
                <c:pt idx="819">
                  <c:v>1401.487201011056</c:v>
                </c:pt>
                <c:pt idx="820">
                  <c:v>1391.200382820412</c:v>
                </c:pt>
                <c:pt idx="821">
                  <c:v>1380.9890691569665</c:v>
                </c:pt>
                <c:pt idx="822">
                  <c:v>1370.8527058227621</c:v>
                </c:pt>
                <c:pt idx="823">
                  <c:v>1360.7907426876159</c:v>
                </c:pt>
                <c:pt idx="824">
                  <c:v>1350.8026336592632</c:v>
                </c:pt>
                <c:pt idx="825">
                  <c:v>1340.8878366537167</c:v>
                </c:pt>
                <c:pt idx="826">
                  <c:v>1331.045813565848</c:v>
                </c:pt>
                <c:pt idx="827">
                  <c:v>1321.2760302401841</c:v>
                </c:pt>
                <c:pt idx="828">
                  <c:v>1311.5779564419133</c:v>
                </c:pt>
                <c:pt idx="829">
                  <c:v>1301.9510658281129</c:v>
                </c:pt>
                <c:pt idx="830">
                  <c:v>1292.3948359191786</c:v>
                </c:pt>
                <c:pt idx="831">
                  <c:v>1282.9087480704723</c:v>
                </c:pt>
                <c:pt idx="832">
                  <c:v>1273.4922874441697</c:v>
                </c:pt>
                <c:pt idx="833">
                  <c:v>1264.1449429813199</c:v>
                </c:pt>
                <c:pt idx="834">
                  <c:v>1254.8662073741093</c:v>
                </c:pt>
                <c:pt idx="835">
                  <c:v>1245.6555770383286</c:v>
                </c:pt>
                <c:pt idx="836">
                  <c:v>1236.5125520860418</c:v>
                </c:pt>
                <c:pt idx="837">
                  <c:v>1227.4366362984526</c:v>
                </c:pt>
                <c:pt idx="838">
                  <c:v>1218.4273370989815</c:v>
                </c:pt>
                <c:pt idx="839">
                  <c:v>1209.4841655265222</c:v>
                </c:pt>
                <c:pt idx="840">
                  <c:v>1200.6066362089095</c:v>
                </c:pt>
                <c:pt idx="841">
                  <c:v>1191.7942673365771</c:v>
                </c:pt>
                <c:pt idx="842">
                  <c:v>1183.0465806364068</c:v>
                </c:pt>
                <c:pt idx="843">
                  <c:v>1174.3631013457716</c:v>
                </c:pt>
                <c:pt idx="844">
                  <c:v>1165.7433581867685</c:v>
                </c:pt>
                <c:pt idx="845">
                  <c:v>1157.186883340642</c:v>
                </c:pt>
                <c:pt idx="846">
                  <c:v>1148.6932124223947</c:v>
                </c:pt>
                <c:pt idx="847">
                  <c:v>1140.2618844555811</c:v>
                </c:pt>
                <c:pt idx="848">
                  <c:v>1131.89244184729</c:v>
                </c:pt>
                <c:pt idx="849">
                  <c:v>1123.5844303633128</c:v>
                </c:pt>
                <c:pt idx="850">
                  <c:v>1115.3373991034855</c:v>
                </c:pt>
                <c:pt idx="851">
                  <c:v>1107.1509004772217</c:v>
                </c:pt>
                <c:pt idx="852">
                  <c:v>1099.0244901792166</c:v>
                </c:pt>
                <c:pt idx="853">
                  <c:v>1090.9577271653388</c:v>
                </c:pt>
                <c:pt idx="854">
                  <c:v>1082.950173628687</c:v>
                </c:pt>
                <c:pt idx="855">
                  <c:v>1075.0013949758331</c:v>
                </c:pt>
                <c:pt idx="856">
                  <c:v>1067.110959803234</c:v>
                </c:pt>
                <c:pt idx="857">
                  <c:v>1059.2784398738183</c:v>
                </c:pt>
                <c:pt idx="858">
                  <c:v>1051.5034100937462</c:v>
                </c:pt>
                <c:pt idx="859">
                  <c:v>1043.7854484893342</c:v>
                </c:pt>
                <c:pt idx="860">
                  <c:v>1036.1241361841603</c:v>
                </c:pt>
                <c:pt idx="861">
                  <c:v>1028.519057376323</c:v>
                </c:pt>
                <c:pt idx="862">
                  <c:v>1020.9697993158784</c:v>
                </c:pt>
                <c:pt idx="863">
                  <c:v>1013.4759522824381</c:v>
                </c:pt>
                <c:pt idx="864">
                  <c:v>1006.0371095629338</c:v>
                </c:pt>
                <c:pt idx="865">
                  <c:v>998.6528674295422</c:v>
                </c:pt>
                <c:pt idx="866">
                  <c:v>991.32282511777271</c:v>
                </c:pt>
                <c:pt idx="867">
                  <c:v>984.04658480472108</c:v>
                </c:pt>
                <c:pt idx="868">
                  <c:v>976.82375158747323</c:v>
                </c:pt>
                <c:pt idx="869">
                  <c:v>969.65393346167502</c:v>
                </c:pt>
                <c:pt idx="870">
                  <c:v>962.53674130025729</c:v>
                </c:pt>
                <c:pt idx="871">
                  <c:v>955.47178883231618</c:v>
                </c:pt>
                <c:pt idx="872">
                  <c:v>948.45869262214978</c:v>
                </c:pt>
                <c:pt idx="873">
                  <c:v>941.49707204844594</c:v>
                </c:pt>
                <c:pt idx="874">
                  <c:v>934.5865492836291</c:v>
                </c:pt>
                <c:pt idx="875">
                  <c:v>927.72674927334958</c:v>
                </c:pt>
                <c:pt idx="876">
                  <c:v>920.91729971613097</c:v>
                </c:pt>
                <c:pt idx="877">
                  <c:v>914.1578310431637</c:v>
                </c:pt>
                <c:pt idx="878">
                  <c:v>907.44797639824731</c:v>
                </c:pt>
                <c:pt idx="879">
                  <c:v>900.78737161788081</c:v>
                </c:pt>
                <c:pt idx="880">
                  <c:v>894.17565521149675</c:v>
                </c:pt>
                <c:pt idx="881">
                  <c:v>887.61246834184499</c:v>
                </c:pt>
                <c:pt idx="882">
                  <c:v>881.09745480551419</c:v>
                </c:pt>
                <c:pt idx="883">
                  <c:v>874.6302610136014</c:v>
                </c:pt>
                <c:pt idx="884">
                  <c:v>868.21053597252239</c:v>
                </c:pt>
                <c:pt idx="885">
                  <c:v>861.83793126496016</c:v>
                </c:pt>
                <c:pt idx="886">
                  <c:v>855.51210103095775</c:v>
                </c:pt>
                <c:pt idx="887">
                  <c:v>849.23270194914448</c:v>
                </c:pt>
                <c:pt idx="888">
                  <c:v>842.99939321810564</c:v>
                </c:pt>
                <c:pt idx="889">
                  <c:v>836.81183653788628</c:v>
                </c:pt>
                <c:pt idx="890">
                  <c:v>830.66969609162732</c:v>
                </c:pt>
                <c:pt idx="891">
                  <c:v>824.57263852734297</c:v>
                </c:pt>
                <c:pt idx="892">
                  <c:v>818.52033293982754</c:v>
                </c:pt>
                <c:pt idx="893">
                  <c:v>812.51245085269659</c:v>
                </c:pt>
                <c:pt idx="894">
                  <c:v>806.54866620055941</c:v>
                </c:pt>
                <c:pt idx="895">
                  <c:v>800.62865531132195</c:v>
                </c:pt>
                <c:pt idx="896">
                  <c:v>794.75209688862208</c:v>
                </c:pt>
                <c:pt idx="897">
                  <c:v>788.91867199438934</c:v>
                </c:pt>
                <c:pt idx="898">
                  <c:v>783.12806403153661</c:v>
                </c:pt>
                <c:pt idx="899">
                  <c:v>777.37995872677755</c:v>
                </c:pt>
                <c:pt idx="900">
                  <c:v>771.67404411356949</c:v>
                </c:pt>
                <c:pt idx="901">
                  <c:v>766.0100105151829</c:v>
                </c:pt>
                <c:pt idx="902">
                  <c:v>760.38755052789293</c:v>
                </c:pt>
                <c:pt idx="903">
                  <c:v>754.80635900429775</c:v>
                </c:pt>
                <c:pt idx="904">
                  <c:v>749.26613303675583</c:v>
                </c:pt>
                <c:pt idx="905">
                  <c:v>743.7665719409456</c:v>
                </c:pt>
                <c:pt idx="906">
                  <c:v>738.30737723954883</c:v>
                </c:pt>
                <c:pt idx="907">
                  <c:v>732.88825264604884</c:v>
                </c:pt>
                <c:pt idx="908">
                  <c:v>727.50890404865163</c:v>
                </c:pt>
                <c:pt idx="909">
                  <c:v>722.1690394943231</c:v>
                </c:pt>
                <c:pt idx="910">
                  <c:v>716.86836917294522</c:v>
                </c:pt>
                <c:pt idx="911">
                  <c:v>711.60660540158449</c:v>
                </c:pt>
                <c:pt idx="912">
                  <c:v>706.38346260888068</c:v>
                </c:pt>
                <c:pt idx="913">
                  <c:v>701.19865731954735</c:v>
                </c:pt>
                <c:pt idx="914">
                  <c:v>696.05190813898651</c:v>
                </c:pt>
                <c:pt idx="915">
                  <c:v>690.94293573801735</c:v>
                </c:pt>
                <c:pt idx="916">
                  <c:v>685.87146283771551</c:v>
                </c:pt>
                <c:pt idx="917">
                  <c:v>680.83721419436517</c:v>
                </c:pt>
                <c:pt idx="918">
                  <c:v>675.83991658451919</c:v>
                </c:pt>
                <c:pt idx="919">
                  <c:v>670.87929879017213</c:v>
                </c:pt>
                <c:pt idx="920">
                  <c:v>665.95509158403945</c:v>
                </c:pt>
                <c:pt idx="921">
                  <c:v>661.06702771494633</c:v>
                </c:pt>
                <c:pt idx="922">
                  <c:v>656.21484189332227</c:v>
                </c:pt>
                <c:pt idx="923">
                  <c:v>651.39827077680422</c:v>
                </c:pt>
                <c:pt idx="924">
                  <c:v>646.61705295594447</c:v>
                </c:pt>
                <c:pt idx="925">
                  <c:v>641.87092894002103</c:v>
                </c:pt>
                <c:pt idx="926">
                  <c:v>637.15964114295627</c:v>
                </c:pt>
                <c:pt idx="927">
                  <c:v>632.48293386933631</c:v>
                </c:pt>
                <c:pt idx="928">
                  <c:v>627.84055330053366</c:v>
                </c:pt>
                <c:pt idx="929">
                  <c:v>623.23224748093253</c:v>
                </c:pt>
                <c:pt idx="930">
                  <c:v>618.65776630425262</c:v>
                </c:pt>
                <c:pt idx="931">
                  <c:v>614.11686149997649</c:v>
                </c:pt>
                <c:pt idx="932">
                  <c:v>609.60928661987634</c:v>
                </c:pt>
                <c:pt idx="933">
                  <c:v>605.13479702463576</c:v>
                </c:pt>
                <c:pt idx="934">
                  <c:v>600.69314987057385</c:v>
                </c:pt>
                <c:pt idx="935">
                  <c:v>596.28410409646608</c:v>
                </c:pt>
                <c:pt idx="936">
                  <c:v>591.90742041046008</c:v>
                </c:pt>
                <c:pt idx="937">
                  <c:v>587.5628612770887</c:v>
                </c:pt>
                <c:pt idx="938">
                  <c:v>583.25019090437843</c:v>
                </c:pt>
                <c:pt idx="939">
                  <c:v>578.96917523105412</c:v>
                </c:pt>
                <c:pt idx="940">
                  <c:v>574.71958191383203</c:v>
                </c:pt>
                <c:pt idx="941">
                  <c:v>570.50118031481213</c:v>
                </c:pt>
                <c:pt idx="942">
                  <c:v>566.31374148896168</c:v>
                </c:pt>
                <c:pt idx="943">
                  <c:v>562.15703817168719</c:v>
                </c:pt>
                <c:pt idx="944">
                  <c:v>558.03084476650201</c:v>
                </c:pt>
                <c:pt idx="945">
                  <c:v>553.93493733278171</c:v>
                </c:pt>
                <c:pt idx="946">
                  <c:v>549.86909357361105</c:v>
                </c:pt>
                <c:pt idx="947">
                  <c:v>545.83309282371806</c:v>
                </c:pt>
                <c:pt idx="948">
                  <c:v>541.82671603749839</c:v>
                </c:pt>
                <c:pt idx="949">
                  <c:v>537.84974577712751</c:v>
                </c:pt>
                <c:pt idx="950">
                  <c:v>533.90196620075881</c:v>
                </c:pt>
                <c:pt idx="951">
                  <c:v>529.98316305081016</c:v>
                </c:pt>
                <c:pt idx="952">
                  <c:v>526.09312364233494</c:v>
                </c:pt>
                <c:pt idx="953">
                  <c:v>522.23163685147972</c:v>
                </c:pt>
                <c:pt idx="954">
                  <c:v>518.39849310402485</c:v>
                </c:pt>
                <c:pt idx="955">
                  <c:v>514.59348436401069</c:v>
                </c:pt>
                <c:pt idx="956">
                  <c:v>510.81640412244741</c:v>
                </c:pt>
                <c:pt idx="957">
                  <c:v>507.06704738610659</c:v>
                </c:pt>
                <c:pt idx="958">
                  <c:v>503.34521066639587</c:v>
                </c:pt>
                <c:pt idx="959">
                  <c:v>499.65069196831428</c:v>
                </c:pt>
                <c:pt idx="960">
                  <c:v>495.9832907794916</c:v>
                </c:pt>
                <c:pt idx="961">
                  <c:v>492.3428080593032</c:v>
                </c:pt>
                <c:pt idx="962">
                  <c:v>488.72904622806874</c:v>
                </c:pt>
                <c:pt idx="963">
                  <c:v>485.14180915632954</c:v>
                </c:pt>
                <c:pt idx="964">
                  <c:v>481.58090215420265</c:v>
                </c:pt>
                <c:pt idx="965">
                  <c:v>478.04613196081613</c:v>
                </c:pt>
                <c:pt idx="966">
                  <c:v>474.53730673381824</c:v>
                </c:pt>
                <c:pt idx="967">
                  <c:v>471.05423603896844</c:v>
                </c:pt>
                <c:pt idx="968">
                  <c:v>467.59673083979857</c:v>
                </c:pt>
                <c:pt idx="969">
                  <c:v>464.16460348735581</c:v>
                </c:pt>
                <c:pt idx="970">
                  <c:v>460.75766771001713</c:v>
                </c:pt>
                <c:pt idx="971">
                  <c:v>457.37573860338028</c:v>
                </c:pt>
                <c:pt idx="972">
                  <c:v>454.01863262022874</c:v>
                </c:pt>
                <c:pt idx="973">
                  <c:v>450.6861675605694</c:v>
                </c:pt>
                <c:pt idx="974">
                  <c:v>447.37816256174403</c:v>
                </c:pt>
                <c:pt idx="975">
                  <c:v>444.09443808861482</c:v>
                </c:pt>
                <c:pt idx="976">
                  <c:v>440.83481592381872</c:v>
                </c:pt>
                <c:pt idx="977">
                  <c:v>437.59911915809511</c:v>
                </c:pt>
                <c:pt idx="978">
                  <c:v>434.38717218068581</c:v>
                </c:pt>
                <c:pt idx="979">
                  <c:v>431.19880066980278</c:v>
                </c:pt>
                <c:pt idx="980">
                  <c:v>428.03383158316819</c:v>
                </c:pt>
                <c:pt idx="981">
                  <c:v>424.89209314862188</c:v>
                </c:pt>
                <c:pt idx="982">
                  <c:v>421.77341485479997</c:v>
                </c:pt>
                <c:pt idx="983">
                  <c:v>418.67762744188008</c:v>
                </c:pt>
                <c:pt idx="984">
                  <c:v>415.60456289239448</c:v>
                </c:pt>
                <c:pt idx="985">
                  <c:v>412.55405442211236</c:v>
                </c:pt>
                <c:pt idx="986">
                  <c:v>409.52593647098746</c:v>
                </c:pt>
                <c:pt idx="987">
                  <c:v>406.52004469417267</c:v>
                </c:pt>
                <c:pt idx="988">
                  <c:v>403.53621595310028</c:v>
                </c:pt>
                <c:pt idx="989">
                  <c:v>400.574288306629</c:v>
                </c:pt>
                <c:pt idx="990">
                  <c:v>397.63410100225389</c:v>
                </c:pt>
                <c:pt idx="991">
                  <c:v>394.71549446738192</c:v>
                </c:pt>
                <c:pt idx="992">
                  <c:v>391.81831030067173</c:v>
                </c:pt>
                <c:pt idx="993">
                  <c:v>388.94239126343712</c:v>
                </c:pt>
                <c:pt idx="994">
                  <c:v>386.08758127111253</c:v>
                </c:pt>
                <c:pt idx="995">
                  <c:v>383.253725384782</c:v>
                </c:pt>
                <c:pt idx="996">
                  <c:v>380.44066980277171</c:v>
                </c:pt>
                <c:pt idx="997">
                  <c:v>377.64826185229964</c:v>
                </c:pt>
                <c:pt idx="998">
                  <c:v>374.87634998119239</c:v>
                </c:pt>
                <c:pt idx="999">
                  <c:v>372.1247837496586</c:v>
                </c:pt>
                <c:pt idx="1000">
                  <c:v>369.39341382212456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493-4C0B-9EC8-5EEE455D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8385056"/>
        <c:axId val="1518139440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731.73</c:v>
                      </c:pt>
                      <c:pt idx="1">
                        <c:v>732.05642436722292</c:v>
                      </c:pt>
                      <c:pt idx="2">
                        <c:v>732.38299435218403</c:v>
                      </c:pt>
                      <c:pt idx="3">
                        <c:v>732.70971001984333</c:v>
                      </c:pt>
                      <c:pt idx="4">
                        <c:v>733.03657143518956</c:v>
                      </c:pt>
                      <c:pt idx="5">
                        <c:v>733.36357866324101</c:v>
                      </c:pt>
                      <c:pt idx="6">
                        <c:v>733.69073176904431</c:v>
                      </c:pt>
                      <c:pt idx="7">
                        <c:v>734.01803081767582</c:v>
                      </c:pt>
                      <c:pt idx="8">
                        <c:v>734.34547587424026</c:v>
                      </c:pt>
                      <c:pt idx="9">
                        <c:v>734.67306700387167</c:v>
                      </c:pt>
                      <c:pt idx="10">
                        <c:v>735.00080427173361</c:v>
                      </c:pt>
                      <c:pt idx="11">
                        <c:v>735.32868774301778</c:v>
                      </c:pt>
                      <c:pt idx="12">
                        <c:v>735.65671748294551</c:v>
                      </c:pt>
                      <c:pt idx="13">
                        <c:v>735.98489355676759</c:v>
                      </c:pt>
                      <c:pt idx="14">
                        <c:v>736.313216029763</c:v>
                      </c:pt>
                      <c:pt idx="15">
                        <c:v>736.64168496724051</c:v>
                      </c:pt>
                      <c:pt idx="16">
                        <c:v>736.97030043453776</c:v>
                      </c:pt>
                      <c:pt idx="17">
                        <c:v>737.29906249702185</c:v>
                      </c:pt>
                      <c:pt idx="18">
                        <c:v>737.62797122008874</c:v>
                      </c:pt>
                      <c:pt idx="19">
                        <c:v>737.9570266691635</c:v>
                      </c:pt>
                      <c:pt idx="20">
                        <c:v>738.28622890970053</c:v>
                      </c:pt>
                      <c:pt idx="21">
                        <c:v>738.61557800718356</c:v>
                      </c:pt>
                      <c:pt idx="22">
                        <c:v>738.94507402712554</c:v>
                      </c:pt>
                      <c:pt idx="23">
                        <c:v>739.27471703506808</c:v>
                      </c:pt>
                      <c:pt idx="24">
                        <c:v>739.60450709658278</c:v>
                      </c:pt>
                      <c:pt idx="25">
                        <c:v>739.93444427726979</c:v>
                      </c:pt>
                      <c:pt idx="26">
                        <c:v>740.2645286427595</c:v>
                      </c:pt>
                      <c:pt idx="27">
                        <c:v>740.59476025871061</c:v>
                      </c:pt>
                      <c:pt idx="28">
                        <c:v>740.92513919081125</c:v>
                      </c:pt>
                      <c:pt idx="29">
                        <c:v>741.25566550477947</c:v>
                      </c:pt>
                      <c:pt idx="30">
                        <c:v>741.58633926636207</c:v>
                      </c:pt>
                      <c:pt idx="31">
                        <c:v>741.91716054133542</c:v>
                      </c:pt>
                      <c:pt idx="32">
                        <c:v>742.24812939550498</c:v>
                      </c:pt>
                      <c:pt idx="33">
                        <c:v>742.57924589470599</c:v>
                      </c:pt>
                      <c:pt idx="34">
                        <c:v>742.91051010480282</c:v>
                      </c:pt>
                      <c:pt idx="35">
                        <c:v>743.24192209168905</c:v>
                      </c:pt>
                      <c:pt idx="36">
                        <c:v>743.57348192128779</c:v>
                      </c:pt>
                      <c:pt idx="37">
                        <c:v>743.90518965955198</c:v>
                      </c:pt>
                      <c:pt idx="38">
                        <c:v>744.23704537246317</c:v>
                      </c:pt>
                      <c:pt idx="39">
                        <c:v>744.56904912603284</c:v>
                      </c:pt>
                      <c:pt idx="40">
                        <c:v>744.901200986302</c:v>
                      </c:pt>
                      <c:pt idx="41">
                        <c:v>745.23350101934102</c:v>
                      </c:pt>
                      <c:pt idx="42">
                        <c:v>745.56594929124958</c:v>
                      </c:pt>
                      <c:pt idx="43">
                        <c:v>745.8985458681567</c:v>
                      </c:pt>
                      <c:pt idx="44">
                        <c:v>746.23129081622176</c:v>
                      </c:pt>
                      <c:pt idx="45">
                        <c:v>746.56418420163266</c:v>
                      </c:pt>
                      <c:pt idx="46">
                        <c:v>746.89722609060721</c:v>
                      </c:pt>
                      <c:pt idx="47">
                        <c:v>747.23041654939277</c:v>
                      </c:pt>
                      <c:pt idx="48">
                        <c:v>747.56375564426651</c:v>
                      </c:pt>
                      <c:pt idx="49">
                        <c:v>747.89724344153467</c:v>
                      </c:pt>
                      <c:pt idx="50">
                        <c:v>748.23088000753307</c:v>
                      </c:pt>
                      <c:pt idx="51">
                        <c:v>748.564665408628</c:v>
                      </c:pt>
                      <c:pt idx="52">
                        <c:v>748.89859971121427</c:v>
                      </c:pt>
                      <c:pt idx="53">
                        <c:v>749.23268298171706</c:v>
                      </c:pt>
                      <c:pt idx="54">
                        <c:v>749.56691528659053</c:v>
                      </c:pt>
                      <c:pt idx="55">
                        <c:v>749.90129669231908</c:v>
                      </c:pt>
                      <c:pt idx="56">
                        <c:v>750.23582726541622</c:v>
                      </c:pt>
                      <c:pt idx="57">
                        <c:v>750.57050707242581</c:v>
                      </c:pt>
                      <c:pt idx="58">
                        <c:v>750.90533617992094</c:v>
                      </c:pt>
                      <c:pt idx="59">
                        <c:v>751.24031465450423</c:v>
                      </c:pt>
                      <c:pt idx="60">
                        <c:v>751.57544256280835</c:v>
                      </c:pt>
                      <c:pt idx="61">
                        <c:v>751.91071997149606</c:v>
                      </c:pt>
                      <c:pt idx="62">
                        <c:v>752.24614694725881</c:v>
                      </c:pt>
                      <c:pt idx="63">
                        <c:v>752.58172355681847</c:v>
                      </c:pt>
                      <c:pt idx="64">
                        <c:v>752.91744986692686</c:v>
                      </c:pt>
                      <c:pt idx="65">
                        <c:v>753.2533259443652</c:v>
                      </c:pt>
                      <c:pt idx="66">
                        <c:v>753.58935185594464</c:v>
                      </c:pt>
                      <c:pt idx="67">
                        <c:v>753.92552766850611</c:v>
                      </c:pt>
                      <c:pt idx="68">
                        <c:v>754.26185344892019</c:v>
                      </c:pt>
                      <c:pt idx="69">
                        <c:v>754.59832926408762</c:v>
                      </c:pt>
                      <c:pt idx="70">
                        <c:v>754.93495518093891</c:v>
                      </c:pt>
                      <c:pt idx="71">
                        <c:v>755.27173126643413</c:v>
                      </c:pt>
                      <c:pt idx="72">
                        <c:v>755.60865758756358</c:v>
                      </c:pt>
                      <c:pt idx="73">
                        <c:v>755.94573421134714</c:v>
                      </c:pt>
                      <c:pt idx="74">
                        <c:v>756.28296120483503</c:v>
                      </c:pt>
                      <c:pt idx="75">
                        <c:v>756.6203386351068</c:v>
                      </c:pt>
                      <c:pt idx="76">
                        <c:v>756.95786656927237</c:v>
                      </c:pt>
                      <c:pt idx="77">
                        <c:v>757.29554507447153</c:v>
                      </c:pt>
                      <c:pt idx="78">
                        <c:v>757.63337421787367</c:v>
                      </c:pt>
                      <c:pt idx="79">
                        <c:v>757.9713540666786</c:v>
                      </c:pt>
                      <c:pt idx="80">
                        <c:v>758.30948468811607</c:v>
                      </c:pt>
                      <c:pt idx="81">
                        <c:v>758.64776614944526</c:v>
                      </c:pt>
                      <c:pt idx="82">
                        <c:v>758.98619851795627</c:v>
                      </c:pt>
                      <c:pt idx="83">
                        <c:v>759.3247818609683</c:v>
                      </c:pt>
                      <c:pt idx="84">
                        <c:v>759.66351624583103</c:v>
                      </c:pt>
                      <c:pt idx="85">
                        <c:v>760.00240173992449</c:v>
                      </c:pt>
                      <c:pt idx="86">
                        <c:v>760.34143841065804</c:v>
                      </c:pt>
                      <c:pt idx="87">
                        <c:v>760.68062632547174</c:v>
                      </c:pt>
                      <c:pt idx="88">
                        <c:v>761.01996555183541</c:v>
                      </c:pt>
                      <c:pt idx="89">
                        <c:v>761.35945615724881</c:v>
                      </c:pt>
                      <c:pt idx="90">
                        <c:v>761.69909820924261</c:v>
                      </c:pt>
                      <c:pt idx="91">
                        <c:v>762.03889177537678</c:v>
                      </c:pt>
                      <c:pt idx="92">
                        <c:v>762.37883692324147</c:v>
                      </c:pt>
                      <c:pt idx="93">
                        <c:v>762.71893372045736</c:v>
                      </c:pt>
                      <c:pt idx="94">
                        <c:v>763.0591822346754</c:v>
                      </c:pt>
                      <c:pt idx="95">
                        <c:v>763.39958253357599</c:v>
                      </c:pt>
                      <c:pt idx="96">
                        <c:v>763.74013468487067</c:v>
                      </c:pt>
                      <c:pt idx="97">
                        <c:v>764.08083875630041</c:v>
                      </c:pt>
                      <c:pt idx="98">
                        <c:v>764.42169481563678</c:v>
                      </c:pt>
                      <c:pt idx="99">
                        <c:v>764.7627029306816</c:v>
                      </c:pt>
                      <c:pt idx="100">
                        <c:v>765.10386316926667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9493-4C0B-9EC8-5EEE455DB4E8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0.37633</c:v>
                      </c:pt>
                      <c:pt idx="1">
                        <c:v>0.37861445494800561</c:v>
                      </c:pt>
                      <c:pt idx="2">
                        <c:v>0.38091277733790929</c:v>
                      </c:pt>
                      <c:pt idx="3">
                        <c:v>0.38322505134994173</c:v>
                      </c:pt>
                      <c:pt idx="4">
                        <c:v>0.38555136167533721</c:v>
                      </c:pt>
                      <c:pt idx="5">
                        <c:v>0.38789179351943559</c:v>
                      </c:pt>
                      <c:pt idx="6">
                        <c:v>0.39024643260480291</c:v>
                      </c:pt>
                      <c:pt idx="7">
                        <c:v>0.39261536517437112</c:v>
                      </c:pt>
                      <c:pt idx="8">
                        <c:v>0.39499867799459709</c:v>
                      </c:pt>
                      <c:pt idx="9">
                        <c:v>0.3973964583586404</c:v>
                      </c:pt>
                      <c:pt idx="10">
                        <c:v>0.39980879408956099</c:v>
                      </c:pt>
                      <c:pt idx="11">
                        <c:v>0.40223577354353501</c:v>
                      </c:pt>
                      <c:pt idx="12">
                        <c:v>0.40467748561309208</c:v>
                      </c:pt>
                      <c:pt idx="13">
                        <c:v>0.40713401973037033</c:v>
                      </c:pt>
                      <c:pt idx="14">
                        <c:v>0.40960546587039232</c:v>
                      </c:pt>
                      <c:pt idx="15">
                        <c:v>0.41209191455436062</c:v>
                      </c:pt>
                      <c:pt idx="16">
                        <c:v>0.41459345685297311</c:v>
                      </c:pt>
                      <c:pt idx="17">
                        <c:v>0.41711018438975878</c:v>
                      </c:pt>
                      <c:pt idx="18">
                        <c:v>0.41964218934443348</c:v>
                      </c:pt>
                      <c:pt idx="19">
                        <c:v>0.42218956445627637</c:v>
                      </c:pt>
                      <c:pt idx="20">
                        <c:v>0.42475240302752626</c:v>
                      </c:pt>
                      <c:pt idx="21">
                        <c:v>0.42733079892679959</c:v>
                      </c:pt>
                      <c:pt idx="22">
                        <c:v>0.42992484659252789</c:v>
                      </c:pt>
                      <c:pt idx="23">
                        <c:v>0.43253464103641726</c:v>
                      </c:pt>
                      <c:pt idx="24">
                        <c:v>0.43516027784692796</c:v>
                      </c:pt>
                      <c:pt idx="25">
                        <c:v>0.43780185319277587</c:v>
                      </c:pt>
                      <c:pt idx="26">
                        <c:v>0.44045946382645451</c:v>
                      </c:pt>
                      <c:pt idx="27">
                        <c:v>0.44313320708777898</c:v>
                      </c:pt>
                      <c:pt idx="28">
                        <c:v>0.44582318090745138</c:v>
                      </c:pt>
                      <c:pt idx="29">
                        <c:v>0.44852948381064706</c:v>
                      </c:pt>
                      <c:pt idx="30">
                        <c:v>0.45125221492062417</c:v>
                      </c:pt>
                      <c:pt idx="31">
                        <c:v>0.45399147396235323</c:v>
                      </c:pt>
                      <c:pt idx="32">
                        <c:v>0.45674736126617088</c:v>
                      </c:pt>
                      <c:pt idx="33">
                        <c:v>0.45951997777145354</c:v>
                      </c:pt>
                      <c:pt idx="34">
                        <c:v>0.4623094250303153</c:v>
                      </c:pt>
                      <c:pt idx="35">
                        <c:v>0.46511580521132712</c:v>
                      </c:pt>
                      <c:pt idx="36">
                        <c:v>0.46793922110325881</c:v>
                      </c:pt>
                      <c:pt idx="37">
                        <c:v>0.4707797761188442</c:v>
                      </c:pt>
                      <c:pt idx="38">
                        <c:v>0.47363757429856862</c:v>
                      </c:pt>
                      <c:pt idx="39">
                        <c:v>0.4765127203144795</c:v>
                      </c:pt>
                      <c:pt idx="40">
                        <c:v>0.47940531947402043</c:v>
                      </c:pt>
                      <c:pt idx="41">
                        <c:v>0.482315477723888</c:v>
                      </c:pt>
                      <c:pt idx="42">
                        <c:v>0.48524330165391233</c:v>
                      </c:pt>
                      <c:pt idx="43">
                        <c:v>0.48818889850096114</c:v>
                      </c:pt>
                      <c:pt idx="44">
                        <c:v>0.4911523761528675</c:v>
                      </c:pt>
                      <c:pt idx="45">
                        <c:v>0.49413384315238168</c:v>
                      </c:pt>
                      <c:pt idx="46">
                        <c:v>0.49713340870114608</c:v>
                      </c:pt>
                      <c:pt idx="47">
                        <c:v>0.50015118266369551</c:v>
                      </c:pt>
                      <c:pt idx="48">
                        <c:v>0.50318727557148113</c:v>
                      </c:pt>
                      <c:pt idx="49">
                        <c:v>0.50624179862691854</c:v>
                      </c:pt>
                      <c:pt idx="50">
                        <c:v>0.50931486370746104</c:v>
                      </c:pt>
                      <c:pt idx="51">
                        <c:v>0.51240658336969713</c:v>
                      </c:pt>
                      <c:pt idx="52">
                        <c:v>0.51551707085347354</c:v>
                      </c:pt>
                      <c:pt idx="53">
                        <c:v>0.51864644008604233</c:v>
                      </c:pt>
                      <c:pt idx="54">
                        <c:v>0.52179480568623382</c:v>
                      </c:pt>
                      <c:pt idx="55">
                        <c:v>0.52496228296865499</c:v>
                      </c:pt>
                      <c:pt idx="56">
                        <c:v>0.52814898794791276</c:v>
                      </c:pt>
                      <c:pt idx="57">
                        <c:v>0.53135503734286349</c:v>
                      </c:pt>
                      <c:pt idx="58">
                        <c:v>0.53458054858088766</c:v>
                      </c:pt>
                      <c:pt idx="59">
                        <c:v>0.53782563980219111</c:v>
                      </c:pt>
                      <c:pt idx="60">
                        <c:v>0.54109042986413258</c:v>
                      </c:pt>
                      <c:pt idx="61">
                        <c:v>0.5443750383455761</c:v>
                      </c:pt>
                      <c:pt idx="62">
                        <c:v>0.54767958555127139</c:v>
                      </c:pt>
                      <c:pt idx="63">
                        <c:v>0.55100419251626032</c:v>
                      </c:pt>
                      <c:pt idx="64">
                        <c:v>0.55434898101030983</c:v>
                      </c:pt>
                      <c:pt idx="65">
                        <c:v>0.55771407354237179</c:v>
                      </c:pt>
                      <c:pt idx="66">
                        <c:v>0.56109959336507065</c:v>
                      </c:pt>
                      <c:pt idx="67">
                        <c:v>0.56450566447921724</c:v>
                      </c:pt>
                      <c:pt idx="68">
                        <c:v>0.56793241163835095</c:v>
                      </c:pt>
                      <c:pt idx="69">
                        <c:v>0.57137996035330851</c:v>
                      </c:pt>
                      <c:pt idx="70">
                        <c:v>0.57484843689682197</c:v>
                      </c:pt>
                      <c:pt idx="71">
                        <c:v>0.57833796830814244</c:v>
                      </c:pt>
                      <c:pt idx="72">
                        <c:v>0.58184868239769427</c:v>
                      </c:pt>
                      <c:pt idx="73">
                        <c:v>0.58538070775175588</c:v>
                      </c:pt>
                      <c:pt idx="74">
                        <c:v>0.58893417373716905</c:v>
                      </c:pt>
                      <c:pt idx="75">
                        <c:v>0.59250921050607797</c:v>
                      </c:pt>
                      <c:pt idx="76">
                        <c:v>0.5961059490006958</c:v>
                      </c:pt>
                      <c:pt idx="77">
                        <c:v>0.59972452095810092</c:v>
                      </c:pt>
                      <c:pt idx="78">
                        <c:v>0.60336505891506165</c:v>
                      </c:pt>
                      <c:pt idx="79">
                        <c:v>0.60702769621289132</c:v>
                      </c:pt>
                      <c:pt idx="80">
                        <c:v>0.61071256700233145</c:v>
                      </c:pt>
                      <c:pt idx="81">
                        <c:v>0.61441980624846571</c:v>
                      </c:pt>
                      <c:pt idx="82">
                        <c:v>0.61814954973566305</c:v>
                      </c:pt>
                      <c:pt idx="83">
                        <c:v>0.62190193407255123</c:v>
                      </c:pt>
                      <c:pt idx="84">
                        <c:v>0.62567709669701999</c:v>
                      </c:pt>
                      <c:pt idx="85">
                        <c:v>0.62947517588125534</c:v>
                      </c:pt>
                      <c:pt idx="86">
                        <c:v>0.63329631073680404</c:v>
                      </c:pt>
                      <c:pt idx="87">
                        <c:v>0.63714064121966862</c:v>
                      </c:pt>
                      <c:pt idx="88">
                        <c:v>0.64100830813543341</c:v>
                      </c:pt>
                      <c:pt idx="89">
                        <c:v>0.6448994531444221</c:v>
                      </c:pt>
                      <c:pt idx="90">
                        <c:v>0.64881421876688627</c:v>
                      </c:pt>
                      <c:pt idx="91">
                        <c:v>0.65275274838822506</c:v>
                      </c:pt>
                      <c:pt idx="92">
                        <c:v>0.65671518626423742</c:v>
                      </c:pt>
                      <c:pt idx="93">
                        <c:v>0.66070167752640574</c:v>
                      </c:pt>
                      <c:pt idx="94">
                        <c:v>0.66471236818721102</c:v>
                      </c:pt>
                      <c:pt idx="95">
                        <c:v>0.66874740514548114</c:v>
                      </c:pt>
                      <c:pt idx="96">
                        <c:v>0.67280693619177168</c:v>
                      </c:pt>
                      <c:pt idx="97">
                        <c:v>0.67689111001377855</c:v>
                      </c:pt>
                      <c:pt idx="98">
                        <c:v>0.68100007620178382</c:v>
                      </c:pt>
                      <c:pt idx="99">
                        <c:v>0.68513398525413516</c:v>
                      </c:pt>
                      <c:pt idx="100">
                        <c:v>0.689292988582758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493-4C0B-9EC8-5EEE455DB4E8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3000</c:v>
                      </c:pt>
                      <c:pt idx="33">
                        <c:v>3000</c:v>
                      </c:pt>
                      <c:pt idx="34">
                        <c:v>3000</c:v>
                      </c:pt>
                      <c:pt idx="35">
                        <c:v>3000</c:v>
                      </c:pt>
                      <c:pt idx="36">
                        <c:v>3000</c:v>
                      </c:pt>
                      <c:pt idx="37">
                        <c:v>3000</c:v>
                      </c:pt>
                      <c:pt idx="38">
                        <c:v>3000</c:v>
                      </c:pt>
                      <c:pt idx="39">
                        <c:v>3000</c:v>
                      </c:pt>
                      <c:pt idx="40">
                        <c:v>3000</c:v>
                      </c:pt>
                      <c:pt idx="41">
                        <c:v>3000</c:v>
                      </c:pt>
                      <c:pt idx="42">
                        <c:v>3000</c:v>
                      </c:pt>
                      <c:pt idx="43">
                        <c:v>3000</c:v>
                      </c:pt>
                      <c:pt idx="44">
                        <c:v>3000</c:v>
                      </c:pt>
                      <c:pt idx="45">
                        <c:v>3000</c:v>
                      </c:pt>
                      <c:pt idx="46">
                        <c:v>3000</c:v>
                      </c:pt>
                      <c:pt idx="47">
                        <c:v>3000</c:v>
                      </c:pt>
                      <c:pt idx="48">
                        <c:v>3000</c:v>
                      </c:pt>
                      <c:pt idx="49">
                        <c:v>3000</c:v>
                      </c:pt>
                      <c:pt idx="50">
                        <c:v>3000</c:v>
                      </c:pt>
                      <c:pt idx="51">
                        <c:v>3000</c:v>
                      </c:pt>
                      <c:pt idx="52">
                        <c:v>3000</c:v>
                      </c:pt>
                      <c:pt idx="53">
                        <c:v>3000</c:v>
                      </c:pt>
                      <c:pt idx="54">
                        <c:v>3000</c:v>
                      </c:pt>
                      <c:pt idx="55">
                        <c:v>3000</c:v>
                      </c:pt>
                      <c:pt idx="56">
                        <c:v>3000</c:v>
                      </c:pt>
                      <c:pt idx="57">
                        <c:v>3000</c:v>
                      </c:pt>
                      <c:pt idx="58">
                        <c:v>3000</c:v>
                      </c:pt>
                      <c:pt idx="59">
                        <c:v>3000</c:v>
                      </c:pt>
                      <c:pt idx="60">
                        <c:v>3000</c:v>
                      </c:pt>
                      <c:pt idx="61">
                        <c:v>3000</c:v>
                      </c:pt>
                      <c:pt idx="62">
                        <c:v>3000</c:v>
                      </c:pt>
                      <c:pt idx="63">
                        <c:v>3000</c:v>
                      </c:pt>
                      <c:pt idx="64">
                        <c:v>3000</c:v>
                      </c:pt>
                      <c:pt idx="65">
                        <c:v>3000</c:v>
                      </c:pt>
                      <c:pt idx="66">
                        <c:v>3000</c:v>
                      </c:pt>
                      <c:pt idx="67">
                        <c:v>3000</c:v>
                      </c:pt>
                      <c:pt idx="68">
                        <c:v>3000</c:v>
                      </c:pt>
                      <c:pt idx="69">
                        <c:v>3000</c:v>
                      </c:pt>
                      <c:pt idx="70">
                        <c:v>3000</c:v>
                      </c:pt>
                      <c:pt idx="71">
                        <c:v>3000</c:v>
                      </c:pt>
                      <c:pt idx="72">
                        <c:v>3000</c:v>
                      </c:pt>
                      <c:pt idx="73">
                        <c:v>3000</c:v>
                      </c:pt>
                      <c:pt idx="74">
                        <c:v>3000</c:v>
                      </c:pt>
                      <c:pt idx="75">
                        <c:v>3000</c:v>
                      </c:pt>
                      <c:pt idx="76">
                        <c:v>3000</c:v>
                      </c:pt>
                      <c:pt idx="77">
                        <c:v>3000</c:v>
                      </c:pt>
                      <c:pt idx="78">
                        <c:v>3000</c:v>
                      </c:pt>
                      <c:pt idx="79">
                        <c:v>3000</c:v>
                      </c:pt>
                      <c:pt idx="80">
                        <c:v>3000</c:v>
                      </c:pt>
                      <c:pt idx="81">
                        <c:v>3000</c:v>
                      </c:pt>
                      <c:pt idx="82">
                        <c:v>3000</c:v>
                      </c:pt>
                      <c:pt idx="83">
                        <c:v>3000</c:v>
                      </c:pt>
                      <c:pt idx="84">
                        <c:v>3000</c:v>
                      </c:pt>
                      <c:pt idx="85">
                        <c:v>3000</c:v>
                      </c:pt>
                      <c:pt idx="86">
                        <c:v>3000</c:v>
                      </c:pt>
                      <c:pt idx="87">
                        <c:v>3000</c:v>
                      </c:pt>
                      <c:pt idx="88">
                        <c:v>3000</c:v>
                      </c:pt>
                      <c:pt idx="89">
                        <c:v>3000</c:v>
                      </c:pt>
                      <c:pt idx="90">
                        <c:v>3000</c:v>
                      </c:pt>
                      <c:pt idx="91">
                        <c:v>3000</c:v>
                      </c:pt>
                      <c:pt idx="92">
                        <c:v>3000</c:v>
                      </c:pt>
                      <c:pt idx="93">
                        <c:v>3000</c:v>
                      </c:pt>
                      <c:pt idx="94">
                        <c:v>3000</c:v>
                      </c:pt>
                      <c:pt idx="95">
                        <c:v>3000</c:v>
                      </c:pt>
                      <c:pt idx="96">
                        <c:v>3000</c:v>
                      </c:pt>
                      <c:pt idx="97">
                        <c:v>3000</c:v>
                      </c:pt>
                      <c:pt idx="98">
                        <c:v>3000</c:v>
                      </c:pt>
                      <c:pt idx="99">
                        <c:v>3000</c:v>
                      </c:pt>
                      <c:pt idx="100">
                        <c:v>3000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493-4C0B-9EC8-5EEE455DB4E8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4"/>
          <c:order val="4"/>
          <c:tx>
            <c:strRef>
              <c:f>Production_Forecast!$G$10</c:f>
              <c:strCache>
                <c:ptCount val="1"/>
                <c:pt idx="0">
                  <c:v>Cum. Np</c:v>
                </c:pt>
              </c:strCache>
            </c:strRef>
          </c:tx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Production_Forecast!$K$12:$K$1012</c:f>
              <c:numCache>
                <c:formatCode>0.00</c:formatCode>
                <c:ptCount val="1001"/>
                <c:pt idx="0">
                  <c:v>0</c:v>
                </c:pt>
                <c:pt idx="1">
                  <c:v>2.990366109806172E-2</c:v>
                </c:pt>
                <c:pt idx="2">
                  <c:v>5.6372837931266531E-2</c:v>
                </c:pt>
                <c:pt idx="3">
                  <c:v>7.9801986620785331E-2</c:v>
                </c:pt>
                <c:pt idx="4">
                  <c:v>0.10054025935871833</c:v>
                </c:pt>
                <c:pt idx="5">
                  <c:v>0.11889670763826224</c:v>
                </c:pt>
                <c:pt idx="6">
                  <c:v>0.1351448878844034</c:v>
                </c:pt>
                <c:pt idx="7">
                  <c:v>0.14952693812041182</c:v>
                </c:pt>
                <c:pt idx="8">
                  <c:v>0.16225718642253756</c:v>
                </c:pt>
                <c:pt idx="9">
                  <c:v>0.17352534493779748</c:v>
                </c:pt>
                <c:pt idx="10">
                  <c:v>0.18349933706360874</c:v>
                </c:pt>
                <c:pt idx="11">
                  <c:v>0.19232779992122867</c:v>
                </c:pt>
                <c:pt idx="12">
                  <c:v>0.20014229941603701</c:v>
                </c:pt>
                <c:pt idx="13">
                  <c:v>0.20705929089453118</c:v>
                </c:pt>
                <c:pt idx="14">
                  <c:v>0.21318185461666689</c:v>
                </c:pt>
                <c:pt idx="15">
                  <c:v>0.21860123190636871</c:v>
                </c:pt>
                <c:pt idx="16">
                  <c:v>0.22339818487264843</c:v>
                </c:pt>
                <c:pt idx="17">
                  <c:v>0.22764419996453475</c:v>
                </c:pt>
                <c:pt idx="18">
                  <c:v>0.23186717293750775</c:v>
                </c:pt>
                <c:pt idx="19">
                  <c:v>0.23609014591048072</c:v>
                </c:pt>
                <c:pt idx="20">
                  <c:v>0.24031311888345366</c:v>
                </c:pt>
                <c:pt idx="21">
                  <c:v>0.24453609185642666</c:v>
                </c:pt>
                <c:pt idx="22">
                  <c:v>0.24875906482939963</c:v>
                </c:pt>
                <c:pt idx="23">
                  <c:v>0.25298203780237261</c:v>
                </c:pt>
                <c:pt idx="24">
                  <c:v>0.25720501077534558</c:v>
                </c:pt>
                <c:pt idx="25">
                  <c:v>0.26142798374831855</c:v>
                </c:pt>
                <c:pt idx="26">
                  <c:v>0.26565095672129152</c:v>
                </c:pt>
                <c:pt idx="27">
                  <c:v>0.26987392969426449</c:v>
                </c:pt>
                <c:pt idx="28">
                  <c:v>0.27409690266723746</c:v>
                </c:pt>
                <c:pt idx="29">
                  <c:v>0.27831987564021043</c:v>
                </c:pt>
                <c:pt idx="30">
                  <c:v>0.28254284861318341</c:v>
                </c:pt>
                <c:pt idx="31">
                  <c:v>0.28676582158615638</c:v>
                </c:pt>
                <c:pt idx="32">
                  <c:v>0.29098879455912929</c:v>
                </c:pt>
                <c:pt idx="33">
                  <c:v>0.29521176753210226</c:v>
                </c:pt>
                <c:pt idx="34">
                  <c:v>0.29943474050507524</c:v>
                </c:pt>
                <c:pt idx="35">
                  <c:v>0.30365771347804821</c:v>
                </c:pt>
                <c:pt idx="36">
                  <c:v>0.30788068645102118</c:v>
                </c:pt>
                <c:pt idx="37">
                  <c:v>0.31210365942399415</c:v>
                </c:pt>
                <c:pt idx="38">
                  <c:v>0.31632663239696712</c:v>
                </c:pt>
                <c:pt idx="39">
                  <c:v>0.32054960536994009</c:v>
                </c:pt>
                <c:pt idx="40">
                  <c:v>0.32477257834291301</c:v>
                </c:pt>
                <c:pt idx="41">
                  <c:v>0.32899555131588593</c:v>
                </c:pt>
                <c:pt idx="42">
                  <c:v>0.3332185242888589</c:v>
                </c:pt>
                <c:pt idx="43">
                  <c:v>0.33744149726183187</c:v>
                </c:pt>
                <c:pt idx="44">
                  <c:v>0.34166447023480484</c:v>
                </c:pt>
                <c:pt idx="45">
                  <c:v>0.34588744320777776</c:v>
                </c:pt>
                <c:pt idx="46">
                  <c:v>0.35011041618075067</c:v>
                </c:pt>
                <c:pt idx="47">
                  <c:v>0.3543333891537237</c:v>
                </c:pt>
                <c:pt idx="48">
                  <c:v>0.35855636212669667</c:v>
                </c:pt>
                <c:pt idx="49">
                  <c:v>0.36277933509966959</c:v>
                </c:pt>
                <c:pt idx="50">
                  <c:v>0.36700230807264256</c:v>
                </c:pt>
                <c:pt idx="51">
                  <c:v>0.37122528104561553</c:v>
                </c:pt>
                <c:pt idx="52">
                  <c:v>0.3754482540185885</c:v>
                </c:pt>
                <c:pt idx="53">
                  <c:v>0.37967122699156142</c:v>
                </c:pt>
                <c:pt idx="54">
                  <c:v>0.38389419996453439</c:v>
                </c:pt>
                <c:pt idx="55">
                  <c:v>0.38811717293750736</c:v>
                </c:pt>
                <c:pt idx="56">
                  <c:v>0.39234014591048039</c:v>
                </c:pt>
                <c:pt idx="57">
                  <c:v>0.39656311888345336</c:v>
                </c:pt>
                <c:pt idx="58">
                  <c:v>0.40078609185642633</c:v>
                </c:pt>
                <c:pt idx="59">
                  <c:v>0.40500906482939925</c:v>
                </c:pt>
                <c:pt idx="60">
                  <c:v>0.40923203780237222</c:v>
                </c:pt>
                <c:pt idx="61">
                  <c:v>0.41345501077534519</c:v>
                </c:pt>
                <c:pt idx="62">
                  <c:v>0.41767798374831816</c:v>
                </c:pt>
                <c:pt idx="63">
                  <c:v>0.42190095672129113</c:v>
                </c:pt>
                <c:pt idx="64">
                  <c:v>0.42612392969426405</c:v>
                </c:pt>
                <c:pt idx="65">
                  <c:v>0.43034690266723702</c:v>
                </c:pt>
                <c:pt idx="66">
                  <c:v>0.43456987564020999</c:v>
                </c:pt>
                <c:pt idx="67">
                  <c:v>0.43879284861318302</c:v>
                </c:pt>
                <c:pt idx="68">
                  <c:v>0.44301582158615599</c:v>
                </c:pt>
                <c:pt idx="69">
                  <c:v>0.44723879455912885</c:v>
                </c:pt>
                <c:pt idx="70">
                  <c:v>0.45146176753210182</c:v>
                </c:pt>
                <c:pt idx="71">
                  <c:v>0.45568474050507479</c:v>
                </c:pt>
                <c:pt idx="72">
                  <c:v>0.45990771347804771</c:v>
                </c:pt>
                <c:pt idx="73">
                  <c:v>0.46413068645102068</c:v>
                </c:pt>
                <c:pt idx="74">
                  <c:v>0.46835365942399365</c:v>
                </c:pt>
                <c:pt idx="75">
                  <c:v>0.47257663239696662</c:v>
                </c:pt>
                <c:pt idx="76">
                  <c:v>0.47679960536993954</c:v>
                </c:pt>
                <c:pt idx="77">
                  <c:v>0.48102257834291251</c:v>
                </c:pt>
                <c:pt idx="78">
                  <c:v>0.48524555131588548</c:v>
                </c:pt>
                <c:pt idx="79">
                  <c:v>0.48946852428885845</c:v>
                </c:pt>
                <c:pt idx="80">
                  <c:v>0.49369149726183137</c:v>
                </c:pt>
                <c:pt idx="81">
                  <c:v>0.49791447023480434</c:v>
                </c:pt>
                <c:pt idx="82">
                  <c:v>0.50213744320777731</c:v>
                </c:pt>
                <c:pt idx="83">
                  <c:v>0.50636041618075023</c:v>
                </c:pt>
                <c:pt idx="84">
                  <c:v>0.51058338915372325</c:v>
                </c:pt>
                <c:pt idx="85">
                  <c:v>0.51480636212669617</c:v>
                </c:pt>
                <c:pt idx="86">
                  <c:v>0.5190293350996692</c:v>
                </c:pt>
                <c:pt idx="87">
                  <c:v>0.52325230807264211</c:v>
                </c:pt>
                <c:pt idx="88">
                  <c:v>0.52747528104561503</c:v>
                </c:pt>
                <c:pt idx="89">
                  <c:v>0.53169825401858806</c:v>
                </c:pt>
                <c:pt idx="90">
                  <c:v>0.53592122699156108</c:v>
                </c:pt>
                <c:pt idx="91">
                  <c:v>0.540144199964534</c:v>
                </c:pt>
                <c:pt idx="92">
                  <c:v>0.54436717293750703</c:v>
                </c:pt>
                <c:pt idx="93">
                  <c:v>0.54859014591047994</c:v>
                </c:pt>
                <c:pt idx="94">
                  <c:v>0.55281311888345286</c:v>
                </c:pt>
                <c:pt idx="95">
                  <c:v>0.55703609185642577</c:v>
                </c:pt>
                <c:pt idx="96">
                  <c:v>0.56125906482939869</c:v>
                </c:pt>
                <c:pt idx="97">
                  <c:v>0.56548203780237172</c:v>
                </c:pt>
                <c:pt idx="98">
                  <c:v>0.56970501077534463</c:v>
                </c:pt>
                <c:pt idx="99">
                  <c:v>0.57392798374831755</c:v>
                </c:pt>
                <c:pt idx="100">
                  <c:v>0.57815095672129058</c:v>
                </c:pt>
                <c:pt idx="101">
                  <c:v>0.58237392969426349</c:v>
                </c:pt>
                <c:pt idx="102">
                  <c:v>0.58659690266723652</c:v>
                </c:pt>
                <c:pt idx="103">
                  <c:v>0.59081987564020955</c:v>
                </c:pt>
                <c:pt idx="104">
                  <c:v>0.59504284861318235</c:v>
                </c:pt>
                <c:pt idx="105">
                  <c:v>0.59926582158615538</c:v>
                </c:pt>
                <c:pt idx="106">
                  <c:v>0.60348879455912829</c:v>
                </c:pt>
                <c:pt idx="107">
                  <c:v>0.60771176753210132</c:v>
                </c:pt>
                <c:pt idx="108">
                  <c:v>0.61193474050507435</c:v>
                </c:pt>
                <c:pt idx="109">
                  <c:v>0.61615771347804726</c:v>
                </c:pt>
                <c:pt idx="110">
                  <c:v>0.62038068645102018</c:v>
                </c:pt>
                <c:pt idx="111">
                  <c:v>0.6246036594239931</c:v>
                </c:pt>
                <c:pt idx="112">
                  <c:v>0.62882663239696601</c:v>
                </c:pt>
                <c:pt idx="113">
                  <c:v>0.63304960536993893</c:v>
                </c:pt>
                <c:pt idx="114">
                  <c:v>0.63727257834291184</c:v>
                </c:pt>
                <c:pt idx="115">
                  <c:v>0.64149555131588487</c:v>
                </c:pt>
                <c:pt idx="116">
                  <c:v>0.64571852428885779</c:v>
                </c:pt>
                <c:pt idx="117">
                  <c:v>0.64994149726183081</c:v>
                </c:pt>
                <c:pt idx="118">
                  <c:v>0.65416447023480373</c:v>
                </c:pt>
                <c:pt idx="119">
                  <c:v>0.65838744320777665</c:v>
                </c:pt>
                <c:pt idx="120">
                  <c:v>0.66261041618074956</c:v>
                </c:pt>
                <c:pt idx="121">
                  <c:v>0.66683338915372248</c:v>
                </c:pt>
                <c:pt idx="122">
                  <c:v>0.67105636212669539</c:v>
                </c:pt>
                <c:pt idx="123">
                  <c:v>0.67527933509966842</c:v>
                </c:pt>
                <c:pt idx="124">
                  <c:v>0.67950230807264134</c:v>
                </c:pt>
                <c:pt idx="125">
                  <c:v>0.68372528104561436</c:v>
                </c:pt>
                <c:pt idx="126">
                  <c:v>0.68794825401858728</c:v>
                </c:pt>
                <c:pt idx="127">
                  <c:v>0.69217122699156008</c:v>
                </c:pt>
                <c:pt idx="128">
                  <c:v>0.69639419996453311</c:v>
                </c:pt>
                <c:pt idx="129">
                  <c:v>0.70061717293750603</c:v>
                </c:pt>
                <c:pt idx="130">
                  <c:v>0.70484014591047917</c:v>
                </c:pt>
                <c:pt idx="131">
                  <c:v>0.70906311888345219</c:v>
                </c:pt>
                <c:pt idx="132">
                  <c:v>0.71328609185642522</c:v>
                </c:pt>
                <c:pt idx="133">
                  <c:v>0.71750906482939814</c:v>
                </c:pt>
                <c:pt idx="134">
                  <c:v>0.72173203780237116</c:v>
                </c:pt>
                <c:pt idx="135">
                  <c:v>0.72595501077534419</c:v>
                </c:pt>
                <c:pt idx="136">
                  <c:v>0.73017798374831722</c:v>
                </c:pt>
                <c:pt idx="137">
                  <c:v>0.73440095672129024</c:v>
                </c:pt>
                <c:pt idx="138">
                  <c:v>0.73862392969426327</c:v>
                </c:pt>
                <c:pt idx="139">
                  <c:v>0.7428469026672363</c:v>
                </c:pt>
                <c:pt idx="140">
                  <c:v>0.74706987564020921</c:v>
                </c:pt>
                <c:pt idx="141">
                  <c:v>0.75129284861318224</c:v>
                </c:pt>
                <c:pt idx="142">
                  <c:v>0.75551582158615527</c:v>
                </c:pt>
                <c:pt idx="143">
                  <c:v>0.75973879455912829</c:v>
                </c:pt>
                <c:pt idx="144">
                  <c:v>0.76396176753210132</c:v>
                </c:pt>
                <c:pt idx="145">
                  <c:v>0.76818474050507435</c:v>
                </c:pt>
                <c:pt idx="146">
                  <c:v>0.77240771347804726</c:v>
                </c:pt>
                <c:pt idx="147">
                  <c:v>0.77663068645102018</c:v>
                </c:pt>
                <c:pt idx="148">
                  <c:v>0.78085365942399321</c:v>
                </c:pt>
                <c:pt idx="149">
                  <c:v>0.78507663239696601</c:v>
                </c:pt>
                <c:pt idx="150">
                  <c:v>0.78929960536993904</c:v>
                </c:pt>
                <c:pt idx="151">
                  <c:v>0.79352257834291196</c:v>
                </c:pt>
                <c:pt idx="152">
                  <c:v>0.79774555131588487</c:v>
                </c:pt>
                <c:pt idx="153">
                  <c:v>0.8019685242888579</c:v>
                </c:pt>
                <c:pt idx="154">
                  <c:v>0.80619149726183092</c:v>
                </c:pt>
                <c:pt idx="155">
                  <c:v>0.81041447023480395</c:v>
                </c:pt>
                <c:pt idx="156">
                  <c:v>0.81463744320777698</c:v>
                </c:pt>
                <c:pt idx="157">
                  <c:v>0.81886041618075001</c:v>
                </c:pt>
                <c:pt idx="158">
                  <c:v>0.82308338915372292</c:v>
                </c:pt>
                <c:pt idx="159">
                  <c:v>0.82730636212669595</c:v>
                </c:pt>
                <c:pt idx="160">
                  <c:v>0.83152933509966898</c:v>
                </c:pt>
                <c:pt idx="161">
                  <c:v>0.835752308072642</c:v>
                </c:pt>
                <c:pt idx="162">
                  <c:v>0.83997528104561503</c:v>
                </c:pt>
                <c:pt idx="163">
                  <c:v>0.84419825401858806</c:v>
                </c:pt>
                <c:pt idx="164">
                  <c:v>0.84842122699156108</c:v>
                </c:pt>
                <c:pt idx="165">
                  <c:v>0.85264419996453422</c:v>
                </c:pt>
                <c:pt idx="166">
                  <c:v>0.85686717293750725</c:v>
                </c:pt>
                <c:pt idx="167">
                  <c:v>0.86109014591048028</c:v>
                </c:pt>
                <c:pt idx="168">
                  <c:v>0.8653131188834533</c:v>
                </c:pt>
                <c:pt idx="169">
                  <c:v>0.86953609185642633</c:v>
                </c:pt>
                <c:pt idx="170">
                  <c:v>0.87375906482939936</c:v>
                </c:pt>
                <c:pt idx="171">
                  <c:v>0.87798203780237238</c:v>
                </c:pt>
                <c:pt idx="172">
                  <c:v>0.88220501077534541</c:v>
                </c:pt>
                <c:pt idx="173">
                  <c:v>0.88642798374831866</c:v>
                </c:pt>
                <c:pt idx="174">
                  <c:v>0.89065095672129146</c:v>
                </c:pt>
                <c:pt idx="175">
                  <c:v>0.89487392969426471</c:v>
                </c:pt>
                <c:pt idx="176">
                  <c:v>0.89909690266723774</c:v>
                </c:pt>
                <c:pt idx="177">
                  <c:v>0.90331987564021077</c:v>
                </c:pt>
                <c:pt idx="178">
                  <c:v>0.90754284861318379</c:v>
                </c:pt>
                <c:pt idx="179">
                  <c:v>0.91176582158615682</c:v>
                </c:pt>
                <c:pt idx="180">
                  <c:v>0.91598879455912985</c:v>
                </c:pt>
                <c:pt idx="181">
                  <c:v>0.92021176753210288</c:v>
                </c:pt>
                <c:pt idx="182">
                  <c:v>0.9244347405050759</c:v>
                </c:pt>
                <c:pt idx="183">
                  <c:v>0.92865771347804893</c:v>
                </c:pt>
                <c:pt idx="184">
                  <c:v>0.93288068645102196</c:v>
                </c:pt>
                <c:pt idx="185">
                  <c:v>0.93710365942399509</c:v>
                </c:pt>
                <c:pt idx="186">
                  <c:v>0.94132663239696812</c:v>
                </c:pt>
                <c:pt idx="187">
                  <c:v>0.94554960536994115</c:v>
                </c:pt>
                <c:pt idx="188">
                  <c:v>0.94977257834291418</c:v>
                </c:pt>
                <c:pt idx="189">
                  <c:v>0.9539955513158872</c:v>
                </c:pt>
                <c:pt idx="190">
                  <c:v>0.95821852428886023</c:v>
                </c:pt>
                <c:pt idx="191">
                  <c:v>0.96244149726183326</c:v>
                </c:pt>
                <c:pt idx="192">
                  <c:v>0.96666447023480628</c:v>
                </c:pt>
                <c:pt idx="193">
                  <c:v>0.97088744320777931</c:v>
                </c:pt>
                <c:pt idx="194">
                  <c:v>0.97511041618075234</c:v>
                </c:pt>
                <c:pt idx="195">
                  <c:v>0.97933338915372536</c:v>
                </c:pt>
                <c:pt idx="196">
                  <c:v>0.98355636212669839</c:v>
                </c:pt>
                <c:pt idx="197">
                  <c:v>0.98777933509967153</c:v>
                </c:pt>
                <c:pt idx="198">
                  <c:v>0.99200230807264467</c:v>
                </c:pt>
                <c:pt idx="199">
                  <c:v>0.99622528104561758</c:v>
                </c:pt>
                <c:pt idx="200">
                  <c:v>1.0004482540185906</c:v>
                </c:pt>
                <c:pt idx="201">
                  <c:v>1.0046712269915636</c:v>
                </c:pt>
                <c:pt idx="202">
                  <c:v>1.0088941999645367</c:v>
                </c:pt>
                <c:pt idx="203">
                  <c:v>1.0131171729375097</c:v>
                </c:pt>
                <c:pt idx="204">
                  <c:v>1.0173401459104827</c:v>
                </c:pt>
                <c:pt idx="205">
                  <c:v>1.0215631188834555</c:v>
                </c:pt>
                <c:pt idx="206">
                  <c:v>1.0257860918564286</c:v>
                </c:pt>
                <c:pt idx="207">
                  <c:v>1.0300090648294018</c:v>
                </c:pt>
                <c:pt idx="208">
                  <c:v>1.0342320378023748</c:v>
                </c:pt>
                <c:pt idx="209">
                  <c:v>1.0384550107753479</c:v>
                </c:pt>
                <c:pt idx="210">
                  <c:v>1.0426779837483211</c:v>
                </c:pt>
                <c:pt idx="211">
                  <c:v>1.0469009567212941</c:v>
                </c:pt>
                <c:pt idx="212">
                  <c:v>1.0511239296942669</c:v>
                </c:pt>
                <c:pt idx="213">
                  <c:v>1.0553469026672402</c:v>
                </c:pt>
                <c:pt idx="214">
                  <c:v>1.059569875640213</c:v>
                </c:pt>
                <c:pt idx="215">
                  <c:v>1.0637928486131862</c:v>
                </c:pt>
                <c:pt idx="216">
                  <c:v>1.0680158215861593</c:v>
                </c:pt>
                <c:pt idx="217">
                  <c:v>1.0722387945591323</c:v>
                </c:pt>
                <c:pt idx="218">
                  <c:v>1.0764617675321051</c:v>
                </c:pt>
                <c:pt idx="219">
                  <c:v>1.0806847405050783</c:v>
                </c:pt>
                <c:pt idx="220">
                  <c:v>1.0849077134780514</c:v>
                </c:pt>
                <c:pt idx="221">
                  <c:v>1.0891306864510244</c:v>
                </c:pt>
                <c:pt idx="222">
                  <c:v>1.0933536594239976</c:v>
                </c:pt>
                <c:pt idx="223">
                  <c:v>1.0975766323969707</c:v>
                </c:pt>
                <c:pt idx="224">
                  <c:v>1.1017996053699435</c:v>
                </c:pt>
                <c:pt idx="225">
                  <c:v>1.1060225783429167</c:v>
                </c:pt>
                <c:pt idx="226">
                  <c:v>1.1102455513158898</c:v>
                </c:pt>
                <c:pt idx="227">
                  <c:v>1.1144685242888628</c:v>
                </c:pt>
                <c:pt idx="228">
                  <c:v>1.1186914972618358</c:v>
                </c:pt>
                <c:pt idx="229">
                  <c:v>1.1229144702348091</c:v>
                </c:pt>
                <c:pt idx="230">
                  <c:v>1.1271374432077819</c:v>
                </c:pt>
                <c:pt idx="231">
                  <c:v>1.1313604161807551</c:v>
                </c:pt>
                <c:pt idx="232">
                  <c:v>1.1355833891537281</c:v>
                </c:pt>
                <c:pt idx="233">
                  <c:v>1.1398063621267012</c:v>
                </c:pt>
                <c:pt idx="234">
                  <c:v>1.144029335099674</c:v>
                </c:pt>
                <c:pt idx="235">
                  <c:v>1.1482523080726472</c:v>
                </c:pt>
                <c:pt idx="236">
                  <c:v>1.15247528104562</c:v>
                </c:pt>
                <c:pt idx="237">
                  <c:v>1.1566982540185931</c:v>
                </c:pt>
                <c:pt idx="238">
                  <c:v>1.1609212269915663</c:v>
                </c:pt>
                <c:pt idx="239">
                  <c:v>1.1651441999645393</c:v>
                </c:pt>
                <c:pt idx="240">
                  <c:v>1.1693671729375124</c:v>
                </c:pt>
                <c:pt idx="241">
                  <c:v>1.1735901459104856</c:v>
                </c:pt>
                <c:pt idx="242">
                  <c:v>1.1778131188834586</c:v>
                </c:pt>
                <c:pt idx="243">
                  <c:v>1.1820360918564317</c:v>
                </c:pt>
                <c:pt idx="244">
                  <c:v>1.1862590648294047</c:v>
                </c:pt>
                <c:pt idx="245">
                  <c:v>1.1904820378023779</c:v>
                </c:pt>
                <c:pt idx="246">
                  <c:v>1.194705010775351</c:v>
                </c:pt>
                <c:pt idx="247">
                  <c:v>1.198927983748324</c:v>
                </c:pt>
                <c:pt idx="248">
                  <c:v>1.2031509567212972</c:v>
                </c:pt>
                <c:pt idx="249">
                  <c:v>1.20737392969427</c:v>
                </c:pt>
                <c:pt idx="250">
                  <c:v>1.2115969026672431</c:v>
                </c:pt>
                <c:pt idx="251">
                  <c:v>1.2158198756402163</c:v>
                </c:pt>
                <c:pt idx="252">
                  <c:v>1.2200428486131893</c:v>
                </c:pt>
                <c:pt idx="253">
                  <c:v>1.2242658215861624</c:v>
                </c:pt>
                <c:pt idx="254">
                  <c:v>1.2284887945591354</c:v>
                </c:pt>
                <c:pt idx="255">
                  <c:v>1.2327117675321086</c:v>
                </c:pt>
                <c:pt idx="256">
                  <c:v>1.2369347405050817</c:v>
                </c:pt>
                <c:pt idx="257">
                  <c:v>1.2411577134780547</c:v>
                </c:pt>
                <c:pt idx="258">
                  <c:v>1.2453806864510277</c:v>
                </c:pt>
                <c:pt idx="259">
                  <c:v>1.249603659424001</c:v>
                </c:pt>
                <c:pt idx="260">
                  <c:v>1.2538266323969742</c:v>
                </c:pt>
                <c:pt idx="261">
                  <c:v>1.2580496053699468</c:v>
                </c:pt>
                <c:pt idx="262">
                  <c:v>1.2622725783429198</c:v>
                </c:pt>
                <c:pt idx="263">
                  <c:v>1.2664955513158929</c:v>
                </c:pt>
                <c:pt idx="264">
                  <c:v>1.2707185242888663</c:v>
                </c:pt>
                <c:pt idx="265">
                  <c:v>1.2749414972618389</c:v>
                </c:pt>
                <c:pt idx="266">
                  <c:v>1.2791644702348122</c:v>
                </c:pt>
                <c:pt idx="267">
                  <c:v>1.283387443207785</c:v>
                </c:pt>
                <c:pt idx="268">
                  <c:v>1.2876104161807582</c:v>
                </c:pt>
                <c:pt idx="269">
                  <c:v>1.291833389153731</c:v>
                </c:pt>
                <c:pt idx="270">
                  <c:v>1.2960563621267043</c:v>
                </c:pt>
                <c:pt idx="271">
                  <c:v>1.3002793350996773</c:v>
                </c:pt>
                <c:pt idx="272">
                  <c:v>1.3045023080726503</c:v>
                </c:pt>
                <c:pt idx="273">
                  <c:v>1.3087252810456236</c:v>
                </c:pt>
                <c:pt idx="274">
                  <c:v>1.3129482540185966</c:v>
                </c:pt>
                <c:pt idx="275">
                  <c:v>1.3171712269915696</c:v>
                </c:pt>
                <c:pt idx="276">
                  <c:v>1.3213941999645427</c:v>
                </c:pt>
                <c:pt idx="277">
                  <c:v>1.3256171729375157</c:v>
                </c:pt>
                <c:pt idx="278">
                  <c:v>1.3298401459104889</c:v>
                </c:pt>
                <c:pt idx="279">
                  <c:v>1.3340631188834617</c:v>
                </c:pt>
                <c:pt idx="280">
                  <c:v>1.338286091856435</c:v>
                </c:pt>
                <c:pt idx="281">
                  <c:v>1.3425090648294078</c:v>
                </c:pt>
                <c:pt idx="282">
                  <c:v>1.346732037802381</c:v>
                </c:pt>
                <c:pt idx="283">
                  <c:v>1.3509550107753536</c:v>
                </c:pt>
                <c:pt idx="284">
                  <c:v>1.3551779837483271</c:v>
                </c:pt>
                <c:pt idx="285">
                  <c:v>1.3594009567213001</c:v>
                </c:pt>
                <c:pt idx="286">
                  <c:v>1.3636239296942732</c:v>
                </c:pt>
                <c:pt idx="287">
                  <c:v>1.3678469026672462</c:v>
                </c:pt>
                <c:pt idx="288">
                  <c:v>1.3720698756402192</c:v>
                </c:pt>
                <c:pt idx="289">
                  <c:v>1.3762928486131925</c:v>
                </c:pt>
                <c:pt idx="290">
                  <c:v>1.3805158215861653</c:v>
                </c:pt>
                <c:pt idx="291">
                  <c:v>1.3847387945591385</c:v>
                </c:pt>
                <c:pt idx="292">
                  <c:v>1.3889617675321111</c:v>
                </c:pt>
                <c:pt idx="293">
                  <c:v>1.3931847405050846</c:v>
                </c:pt>
                <c:pt idx="294">
                  <c:v>1.3974077134780571</c:v>
                </c:pt>
                <c:pt idx="295">
                  <c:v>1.4016306864510304</c:v>
                </c:pt>
                <c:pt idx="296">
                  <c:v>1.4058536594240032</c:v>
                </c:pt>
                <c:pt idx="297">
                  <c:v>1.4100766323969764</c:v>
                </c:pt>
                <c:pt idx="298">
                  <c:v>1.4142996053699495</c:v>
                </c:pt>
                <c:pt idx="299">
                  <c:v>1.4185225783429223</c:v>
                </c:pt>
                <c:pt idx="300">
                  <c:v>1.4227455513158951</c:v>
                </c:pt>
                <c:pt idx="301">
                  <c:v>1.4269685242888683</c:v>
                </c:pt>
                <c:pt idx="302">
                  <c:v>1.4311914972618411</c:v>
                </c:pt>
                <c:pt idx="303">
                  <c:v>1.4354144702348144</c:v>
                </c:pt>
                <c:pt idx="304">
                  <c:v>1.4396374432077872</c:v>
                </c:pt>
                <c:pt idx="305">
                  <c:v>1.4438604161807609</c:v>
                </c:pt>
                <c:pt idx="306">
                  <c:v>1.4480833891537337</c:v>
                </c:pt>
                <c:pt idx="307">
                  <c:v>1.4523063621267069</c:v>
                </c:pt>
                <c:pt idx="308">
                  <c:v>1.4565293350996797</c:v>
                </c:pt>
                <c:pt idx="309">
                  <c:v>1.4607523080726532</c:v>
                </c:pt>
                <c:pt idx="310">
                  <c:v>1.464975281045626</c:v>
                </c:pt>
                <c:pt idx="311">
                  <c:v>1.469198254018599</c:v>
                </c:pt>
                <c:pt idx="312">
                  <c:v>1.4734212269915719</c:v>
                </c:pt>
                <c:pt idx="313">
                  <c:v>1.4776441999645451</c:v>
                </c:pt>
                <c:pt idx="314">
                  <c:v>1.4818671729375184</c:v>
                </c:pt>
                <c:pt idx="315">
                  <c:v>1.4860901459104912</c:v>
                </c:pt>
                <c:pt idx="316">
                  <c:v>1.490313118883464</c:v>
                </c:pt>
                <c:pt idx="317">
                  <c:v>1.494536091856437</c:v>
                </c:pt>
                <c:pt idx="318">
                  <c:v>1.49875906482941</c:v>
                </c:pt>
                <c:pt idx="319">
                  <c:v>1.502982037802383</c:v>
                </c:pt>
                <c:pt idx="320">
                  <c:v>1.5072050107753558</c:v>
                </c:pt>
                <c:pt idx="321">
                  <c:v>1.5114279837483291</c:v>
                </c:pt>
                <c:pt idx="322">
                  <c:v>1.5156509567213019</c:v>
                </c:pt>
                <c:pt idx="323">
                  <c:v>1.5198739296942751</c:v>
                </c:pt>
                <c:pt idx="324">
                  <c:v>1.524096902667248</c:v>
                </c:pt>
                <c:pt idx="325">
                  <c:v>1.5283198756402212</c:v>
                </c:pt>
                <c:pt idx="326">
                  <c:v>1.532542848613194</c:v>
                </c:pt>
                <c:pt idx="327">
                  <c:v>1.5367658215861673</c:v>
                </c:pt>
                <c:pt idx="328">
                  <c:v>1.5409887945591405</c:v>
                </c:pt>
                <c:pt idx="329">
                  <c:v>1.5452117675321133</c:v>
                </c:pt>
                <c:pt idx="330">
                  <c:v>1.5494347405050868</c:v>
                </c:pt>
                <c:pt idx="331">
                  <c:v>1.5536577134780598</c:v>
                </c:pt>
                <c:pt idx="332">
                  <c:v>1.5578806864510328</c:v>
                </c:pt>
                <c:pt idx="333">
                  <c:v>1.5621036594240059</c:v>
                </c:pt>
                <c:pt idx="334">
                  <c:v>1.5663266323969793</c:v>
                </c:pt>
                <c:pt idx="335">
                  <c:v>1.5705496053699521</c:v>
                </c:pt>
                <c:pt idx="336">
                  <c:v>1.5747725783429252</c:v>
                </c:pt>
                <c:pt idx="337">
                  <c:v>1.578995551315898</c:v>
                </c:pt>
                <c:pt idx="338">
                  <c:v>1.5832185242888712</c:v>
                </c:pt>
                <c:pt idx="339">
                  <c:v>1.5874414972618442</c:v>
                </c:pt>
                <c:pt idx="340">
                  <c:v>1.5916644702348173</c:v>
                </c:pt>
                <c:pt idx="341">
                  <c:v>1.5958874432077901</c:v>
                </c:pt>
                <c:pt idx="342">
                  <c:v>1.6001104161807629</c:v>
                </c:pt>
                <c:pt idx="343">
                  <c:v>1.6043333891537361</c:v>
                </c:pt>
                <c:pt idx="344">
                  <c:v>1.6085563621267089</c:v>
                </c:pt>
                <c:pt idx="345">
                  <c:v>1.612779335099682</c:v>
                </c:pt>
                <c:pt idx="346">
                  <c:v>1.6170023080726552</c:v>
                </c:pt>
                <c:pt idx="347">
                  <c:v>1.621225281045628</c:v>
                </c:pt>
                <c:pt idx="348">
                  <c:v>1.6254482540186013</c:v>
                </c:pt>
                <c:pt idx="349">
                  <c:v>1.6296712269915741</c:v>
                </c:pt>
                <c:pt idx="350">
                  <c:v>1.6338941999645473</c:v>
                </c:pt>
                <c:pt idx="351">
                  <c:v>1.6381171729375201</c:v>
                </c:pt>
                <c:pt idx="352">
                  <c:v>1.6423401459104934</c:v>
                </c:pt>
                <c:pt idx="353">
                  <c:v>1.6465631188834662</c:v>
                </c:pt>
                <c:pt idx="354">
                  <c:v>1.650786091856439</c:v>
                </c:pt>
                <c:pt idx="355">
                  <c:v>1.6550090648294122</c:v>
                </c:pt>
                <c:pt idx="356">
                  <c:v>1.6592320378023853</c:v>
                </c:pt>
                <c:pt idx="357">
                  <c:v>1.6634550107753581</c:v>
                </c:pt>
                <c:pt idx="358">
                  <c:v>1.6676779837483309</c:v>
                </c:pt>
                <c:pt idx="359">
                  <c:v>1.6719009567213041</c:v>
                </c:pt>
                <c:pt idx="360">
                  <c:v>1.6761239296942774</c:v>
                </c:pt>
                <c:pt idx="361">
                  <c:v>1.6803469026672502</c:v>
                </c:pt>
                <c:pt idx="362">
                  <c:v>1.684569875640223</c:v>
                </c:pt>
                <c:pt idx="363">
                  <c:v>1.688792848613196</c:v>
                </c:pt>
                <c:pt idx="364">
                  <c:v>1.6930158215861695</c:v>
                </c:pt>
                <c:pt idx="365">
                  <c:v>1.6972387945591423</c:v>
                </c:pt>
                <c:pt idx="366">
                  <c:v>1.7014617675321155</c:v>
                </c:pt>
                <c:pt idx="367">
                  <c:v>1.7056847405050883</c:v>
                </c:pt>
                <c:pt idx="368">
                  <c:v>1.7099077134780616</c:v>
                </c:pt>
                <c:pt idx="369">
                  <c:v>1.7141306864510344</c:v>
                </c:pt>
                <c:pt idx="370">
                  <c:v>1.7183536594240074</c:v>
                </c:pt>
                <c:pt idx="371">
                  <c:v>1.7225766323969804</c:v>
                </c:pt>
                <c:pt idx="372">
                  <c:v>1.7267996053699535</c:v>
                </c:pt>
                <c:pt idx="373">
                  <c:v>1.7310225783429267</c:v>
                </c:pt>
                <c:pt idx="374">
                  <c:v>1.7352455513158995</c:v>
                </c:pt>
                <c:pt idx="375">
                  <c:v>1.7394685242888728</c:v>
                </c:pt>
                <c:pt idx="376">
                  <c:v>1.7436914972618456</c:v>
                </c:pt>
                <c:pt idx="377">
                  <c:v>1.7479144702348188</c:v>
                </c:pt>
                <c:pt idx="378">
                  <c:v>1.7521374432077916</c:v>
                </c:pt>
                <c:pt idx="379">
                  <c:v>1.7563604161807644</c:v>
                </c:pt>
                <c:pt idx="380">
                  <c:v>1.7605833891537377</c:v>
                </c:pt>
                <c:pt idx="381">
                  <c:v>1.7648063621267105</c:v>
                </c:pt>
                <c:pt idx="382">
                  <c:v>1.7690293350996835</c:v>
                </c:pt>
                <c:pt idx="383">
                  <c:v>1.7732523080726563</c:v>
                </c:pt>
                <c:pt idx="384">
                  <c:v>1.7774752810456296</c:v>
                </c:pt>
                <c:pt idx="385">
                  <c:v>1.7816982540186028</c:v>
                </c:pt>
                <c:pt idx="386">
                  <c:v>1.7859212269915756</c:v>
                </c:pt>
                <c:pt idx="387">
                  <c:v>1.7901441999645484</c:v>
                </c:pt>
                <c:pt idx="388">
                  <c:v>1.7943671729375215</c:v>
                </c:pt>
                <c:pt idx="389">
                  <c:v>1.7985901459104949</c:v>
                </c:pt>
                <c:pt idx="390">
                  <c:v>1.8028131188834677</c:v>
                </c:pt>
                <c:pt idx="391">
                  <c:v>1.807036091856441</c:v>
                </c:pt>
                <c:pt idx="392">
                  <c:v>1.8112590648294138</c:v>
                </c:pt>
                <c:pt idx="393">
                  <c:v>1.8154820378023873</c:v>
                </c:pt>
                <c:pt idx="394">
                  <c:v>1.8197050107753603</c:v>
                </c:pt>
                <c:pt idx="395">
                  <c:v>1.8239279837483333</c:v>
                </c:pt>
                <c:pt idx="396">
                  <c:v>1.8281509567213063</c:v>
                </c:pt>
                <c:pt idx="397">
                  <c:v>1.8323739296942796</c:v>
                </c:pt>
                <c:pt idx="398">
                  <c:v>1.8365969026672524</c:v>
                </c:pt>
                <c:pt idx="399">
                  <c:v>1.8408198756402252</c:v>
                </c:pt>
                <c:pt idx="400">
                  <c:v>1.8450428486131982</c:v>
                </c:pt>
                <c:pt idx="401">
                  <c:v>1.8492658215861717</c:v>
                </c:pt>
                <c:pt idx="402">
                  <c:v>1.8534887945591445</c:v>
                </c:pt>
                <c:pt idx="403">
                  <c:v>1.857711767532118</c:v>
                </c:pt>
                <c:pt idx="404">
                  <c:v>1.8619347405050908</c:v>
                </c:pt>
                <c:pt idx="405">
                  <c:v>1.8661577134780645</c:v>
                </c:pt>
                <c:pt idx="406">
                  <c:v>1.8703806864510373</c:v>
                </c:pt>
                <c:pt idx="407">
                  <c:v>1.8746036594240101</c:v>
                </c:pt>
                <c:pt idx="408">
                  <c:v>1.8788266323969836</c:v>
                </c:pt>
                <c:pt idx="409">
                  <c:v>1.8830496053699568</c:v>
                </c:pt>
                <c:pt idx="410">
                  <c:v>1.8872725783429298</c:v>
                </c:pt>
                <c:pt idx="411">
                  <c:v>1.8914955513159026</c:v>
                </c:pt>
                <c:pt idx="412">
                  <c:v>1.8957185242888752</c:v>
                </c:pt>
                <c:pt idx="413">
                  <c:v>1.899941497261848</c:v>
                </c:pt>
                <c:pt idx="414">
                  <c:v>1.9041644702348215</c:v>
                </c:pt>
                <c:pt idx="415">
                  <c:v>1.908387443207795</c:v>
                </c:pt>
                <c:pt idx="416">
                  <c:v>1.9126104161807675</c:v>
                </c:pt>
                <c:pt idx="417">
                  <c:v>1.9168333891537406</c:v>
                </c:pt>
                <c:pt idx="418">
                  <c:v>1.921056362126714</c:v>
                </c:pt>
                <c:pt idx="419">
                  <c:v>1.9252793350996869</c:v>
                </c:pt>
                <c:pt idx="420">
                  <c:v>1.9295023080726599</c:v>
                </c:pt>
                <c:pt idx="421">
                  <c:v>1.9337252810456327</c:v>
                </c:pt>
                <c:pt idx="422">
                  <c:v>1.9379482540186062</c:v>
                </c:pt>
                <c:pt idx="423">
                  <c:v>1.942171226991579</c:v>
                </c:pt>
                <c:pt idx="424">
                  <c:v>1.9463941999645515</c:v>
                </c:pt>
                <c:pt idx="425">
                  <c:v>1.9506171729375246</c:v>
                </c:pt>
                <c:pt idx="426">
                  <c:v>1.954840145910498</c:v>
                </c:pt>
                <c:pt idx="427">
                  <c:v>1.9590631188834708</c:v>
                </c:pt>
                <c:pt idx="428">
                  <c:v>1.9632860918564436</c:v>
                </c:pt>
                <c:pt idx="429">
                  <c:v>1.9675090648294167</c:v>
                </c:pt>
                <c:pt idx="430">
                  <c:v>1.9717320378023901</c:v>
                </c:pt>
                <c:pt idx="431">
                  <c:v>1.975955010775363</c:v>
                </c:pt>
                <c:pt idx="432">
                  <c:v>1.9801779837483355</c:v>
                </c:pt>
                <c:pt idx="433">
                  <c:v>1.984400956721309</c:v>
                </c:pt>
                <c:pt idx="434">
                  <c:v>1.9886239296942827</c:v>
                </c:pt>
                <c:pt idx="435">
                  <c:v>1.9928469026672555</c:v>
                </c:pt>
                <c:pt idx="436">
                  <c:v>1.9970698756402281</c:v>
                </c:pt>
                <c:pt idx="437">
                  <c:v>2.0012928486132009</c:v>
                </c:pt>
                <c:pt idx="438">
                  <c:v>2.0055158215861737</c:v>
                </c:pt>
                <c:pt idx="439">
                  <c:v>2.0097387945591474</c:v>
                </c:pt>
                <c:pt idx="440">
                  <c:v>2.0139617675321202</c:v>
                </c:pt>
                <c:pt idx="441">
                  <c:v>2.018184740505093</c:v>
                </c:pt>
                <c:pt idx="442">
                  <c:v>2.0224077134780658</c:v>
                </c:pt>
                <c:pt idx="443">
                  <c:v>2.0266306864510395</c:v>
                </c:pt>
                <c:pt idx="444">
                  <c:v>2.0308536594240119</c:v>
                </c:pt>
                <c:pt idx="445">
                  <c:v>2.0350766323969856</c:v>
                </c:pt>
                <c:pt idx="446">
                  <c:v>2.0392996053699584</c:v>
                </c:pt>
                <c:pt idx="447">
                  <c:v>2.0435225783429321</c:v>
                </c:pt>
                <c:pt idx="448">
                  <c:v>2.0477455513159049</c:v>
                </c:pt>
                <c:pt idx="449">
                  <c:v>2.0519685242888772</c:v>
                </c:pt>
                <c:pt idx="450">
                  <c:v>2.05619149726185</c:v>
                </c:pt>
                <c:pt idx="451">
                  <c:v>2.0604144702348237</c:v>
                </c:pt>
                <c:pt idx="452">
                  <c:v>2.0646374432077965</c:v>
                </c:pt>
                <c:pt idx="453">
                  <c:v>2.0688604161807693</c:v>
                </c:pt>
                <c:pt idx="454">
                  <c:v>2.0730833891537426</c:v>
                </c:pt>
                <c:pt idx="455">
                  <c:v>2.0773063621267158</c:v>
                </c:pt>
                <c:pt idx="456">
                  <c:v>2.0815293350996886</c:v>
                </c:pt>
                <c:pt idx="457">
                  <c:v>2.0857523080726614</c:v>
                </c:pt>
                <c:pt idx="458">
                  <c:v>2.0899752810456347</c:v>
                </c:pt>
                <c:pt idx="459">
                  <c:v>2.0941982540186084</c:v>
                </c:pt>
                <c:pt idx="460">
                  <c:v>2.0984212269915812</c:v>
                </c:pt>
                <c:pt idx="461">
                  <c:v>2.102644199964554</c:v>
                </c:pt>
                <c:pt idx="462">
                  <c:v>2.1068671729375268</c:v>
                </c:pt>
                <c:pt idx="463">
                  <c:v>2.1110901459104996</c:v>
                </c:pt>
                <c:pt idx="464">
                  <c:v>2.1153131188834728</c:v>
                </c:pt>
                <c:pt idx="465">
                  <c:v>2.1195360918564461</c:v>
                </c:pt>
                <c:pt idx="466">
                  <c:v>2.1237590648294189</c:v>
                </c:pt>
                <c:pt idx="467">
                  <c:v>2.1279820378023917</c:v>
                </c:pt>
                <c:pt idx="468">
                  <c:v>2.1322050107753654</c:v>
                </c:pt>
                <c:pt idx="469">
                  <c:v>2.1364279837483378</c:v>
                </c:pt>
                <c:pt idx="470">
                  <c:v>2.1406509567213114</c:v>
                </c:pt>
                <c:pt idx="471">
                  <c:v>2.1448739296942843</c:v>
                </c:pt>
                <c:pt idx="472">
                  <c:v>2.1490969026672575</c:v>
                </c:pt>
                <c:pt idx="473">
                  <c:v>2.1533198756402303</c:v>
                </c:pt>
                <c:pt idx="474">
                  <c:v>2.1575428486132031</c:v>
                </c:pt>
                <c:pt idx="475">
                  <c:v>2.1617658215861759</c:v>
                </c:pt>
                <c:pt idx="476">
                  <c:v>2.1659887945591496</c:v>
                </c:pt>
                <c:pt idx="477">
                  <c:v>2.170211767532122</c:v>
                </c:pt>
                <c:pt idx="478">
                  <c:v>2.1744347405050957</c:v>
                </c:pt>
                <c:pt idx="479">
                  <c:v>2.1786577134780685</c:v>
                </c:pt>
                <c:pt idx="480">
                  <c:v>2.1828806864510422</c:v>
                </c:pt>
                <c:pt idx="481">
                  <c:v>2.1871036594240145</c:v>
                </c:pt>
                <c:pt idx="482">
                  <c:v>2.1913266323969873</c:v>
                </c:pt>
                <c:pt idx="483">
                  <c:v>2.195549605369961</c:v>
                </c:pt>
                <c:pt idx="484">
                  <c:v>2.1997725783429343</c:v>
                </c:pt>
                <c:pt idx="485">
                  <c:v>2.2039955513159071</c:v>
                </c:pt>
                <c:pt idx="486">
                  <c:v>2.2082185242888799</c:v>
                </c:pt>
                <c:pt idx="487">
                  <c:v>2.2124414972618527</c:v>
                </c:pt>
                <c:pt idx="488">
                  <c:v>2.2166644702348255</c:v>
                </c:pt>
                <c:pt idx="489">
                  <c:v>2.2208874432077992</c:v>
                </c:pt>
                <c:pt idx="490">
                  <c:v>2.225110416180772</c:v>
                </c:pt>
                <c:pt idx="491">
                  <c:v>2.2293333891537448</c:v>
                </c:pt>
                <c:pt idx="492">
                  <c:v>2.2335563621267176</c:v>
                </c:pt>
                <c:pt idx="493">
                  <c:v>2.2377793350996913</c:v>
                </c:pt>
                <c:pt idx="494">
                  <c:v>2.2420023080726637</c:v>
                </c:pt>
                <c:pt idx="495">
                  <c:v>2.2462252810456373</c:v>
                </c:pt>
                <c:pt idx="496">
                  <c:v>2.2504482540186102</c:v>
                </c:pt>
                <c:pt idx="497">
                  <c:v>2.2546712269915838</c:v>
                </c:pt>
                <c:pt idx="498">
                  <c:v>2.2588941999645562</c:v>
                </c:pt>
                <c:pt idx="499">
                  <c:v>2.263117172937529</c:v>
                </c:pt>
                <c:pt idx="500">
                  <c:v>2.2673401459105027</c:v>
                </c:pt>
                <c:pt idx="501">
                  <c:v>2.2715631188834755</c:v>
                </c:pt>
                <c:pt idx="502">
                  <c:v>2.2757860918564483</c:v>
                </c:pt>
                <c:pt idx="503">
                  <c:v>2.2800090648294216</c:v>
                </c:pt>
                <c:pt idx="504">
                  <c:v>2.2842320378023944</c:v>
                </c:pt>
                <c:pt idx="505">
                  <c:v>2.2884550107753672</c:v>
                </c:pt>
                <c:pt idx="506">
                  <c:v>2.2926779837483404</c:v>
                </c:pt>
                <c:pt idx="507">
                  <c:v>2.2969009567213137</c:v>
                </c:pt>
                <c:pt idx="508">
                  <c:v>2.3011239296942865</c:v>
                </c:pt>
                <c:pt idx="509">
                  <c:v>2.3053469026672602</c:v>
                </c:pt>
                <c:pt idx="510">
                  <c:v>2.3095698756402325</c:v>
                </c:pt>
                <c:pt idx="511">
                  <c:v>2.3137928486132058</c:v>
                </c:pt>
                <c:pt idx="512">
                  <c:v>2.3180158215861786</c:v>
                </c:pt>
                <c:pt idx="513">
                  <c:v>2.3222387945591514</c:v>
                </c:pt>
                <c:pt idx="514">
                  <c:v>2.3264617675321242</c:v>
                </c:pt>
                <c:pt idx="515">
                  <c:v>2.330684740505097</c:v>
                </c:pt>
                <c:pt idx="516">
                  <c:v>2.3349077134780707</c:v>
                </c:pt>
                <c:pt idx="517">
                  <c:v>2.3391306864510439</c:v>
                </c:pt>
                <c:pt idx="518">
                  <c:v>2.3433536594240167</c:v>
                </c:pt>
                <c:pt idx="519">
                  <c:v>2.3475766323969895</c:v>
                </c:pt>
                <c:pt idx="520">
                  <c:v>2.3517996053699632</c:v>
                </c:pt>
                <c:pt idx="521">
                  <c:v>2.356022578342936</c:v>
                </c:pt>
                <c:pt idx="522">
                  <c:v>2.3602455513159084</c:v>
                </c:pt>
                <c:pt idx="523">
                  <c:v>2.3644685242888812</c:v>
                </c:pt>
                <c:pt idx="524">
                  <c:v>2.3686914972618553</c:v>
                </c:pt>
                <c:pt idx="525">
                  <c:v>2.3729144702348282</c:v>
                </c:pt>
                <c:pt idx="526">
                  <c:v>2.3771374432078005</c:v>
                </c:pt>
                <c:pt idx="527">
                  <c:v>2.3813604161807738</c:v>
                </c:pt>
                <c:pt idx="528">
                  <c:v>2.385583389153747</c:v>
                </c:pt>
                <c:pt idx="529">
                  <c:v>2.3898063621267198</c:v>
                </c:pt>
                <c:pt idx="530">
                  <c:v>2.3940293350996926</c:v>
                </c:pt>
                <c:pt idx="531">
                  <c:v>2.3982523080726659</c:v>
                </c:pt>
                <c:pt idx="532">
                  <c:v>2.4024752810456391</c:v>
                </c:pt>
                <c:pt idx="533">
                  <c:v>2.4066982540186119</c:v>
                </c:pt>
                <c:pt idx="534">
                  <c:v>2.4109212269915856</c:v>
                </c:pt>
                <c:pt idx="535">
                  <c:v>2.415144199964558</c:v>
                </c:pt>
                <c:pt idx="536">
                  <c:v>2.4193671729375312</c:v>
                </c:pt>
                <c:pt idx="537">
                  <c:v>2.423590145910504</c:v>
                </c:pt>
                <c:pt idx="538">
                  <c:v>2.4278131188834768</c:v>
                </c:pt>
                <c:pt idx="539">
                  <c:v>2.4320360918564496</c:v>
                </c:pt>
                <c:pt idx="540">
                  <c:v>2.4362590648294224</c:v>
                </c:pt>
                <c:pt idx="541">
                  <c:v>2.4404820378023961</c:v>
                </c:pt>
                <c:pt idx="542">
                  <c:v>2.4447050107753694</c:v>
                </c:pt>
                <c:pt idx="543">
                  <c:v>2.4489279837483422</c:v>
                </c:pt>
                <c:pt idx="544">
                  <c:v>2.453150956721315</c:v>
                </c:pt>
                <c:pt idx="545">
                  <c:v>2.4573739296942887</c:v>
                </c:pt>
                <c:pt idx="546">
                  <c:v>2.4615969026672615</c:v>
                </c:pt>
                <c:pt idx="547">
                  <c:v>2.4658198756402339</c:v>
                </c:pt>
                <c:pt idx="548">
                  <c:v>2.4700428486132067</c:v>
                </c:pt>
                <c:pt idx="549">
                  <c:v>2.4742658215861808</c:v>
                </c:pt>
                <c:pt idx="550">
                  <c:v>2.4784887945591536</c:v>
                </c:pt>
                <c:pt idx="551">
                  <c:v>2.482711767532126</c:v>
                </c:pt>
                <c:pt idx="552">
                  <c:v>2.4869347405050988</c:v>
                </c:pt>
                <c:pt idx="553">
                  <c:v>2.4911577134780725</c:v>
                </c:pt>
                <c:pt idx="554">
                  <c:v>2.4953806864510453</c:v>
                </c:pt>
                <c:pt idx="555">
                  <c:v>2.4996036594240181</c:v>
                </c:pt>
                <c:pt idx="556">
                  <c:v>2.5038266323969913</c:v>
                </c:pt>
                <c:pt idx="557">
                  <c:v>2.508049605369965</c:v>
                </c:pt>
                <c:pt idx="558">
                  <c:v>2.5122725783429378</c:v>
                </c:pt>
                <c:pt idx="559">
                  <c:v>2.5164955513159106</c:v>
                </c:pt>
                <c:pt idx="560">
                  <c:v>2.5207185242888834</c:v>
                </c:pt>
                <c:pt idx="561">
                  <c:v>2.5249414972618567</c:v>
                </c:pt>
                <c:pt idx="562">
                  <c:v>2.5291644702348295</c:v>
                </c:pt>
                <c:pt idx="563">
                  <c:v>2.5333874432078023</c:v>
                </c:pt>
                <c:pt idx="564">
                  <c:v>2.5376104161807751</c:v>
                </c:pt>
                <c:pt idx="565">
                  <c:v>2.5418333891537479</c:v>
                </c:pt>
                <c:pt idx="566">
                  <c:v>2.5460563621267216</c:v>
                </c:pt>
                <c:pt idx="567">
                  <c:v>2.5502793350996944</c:v>
                </c:pt>
                <c:pt idx="568">
                  <c:v>2.5545023080726672</c:v>
                </c:pt>
                <c:pt idx="569">
                  <c:v>2.55872528104564</c:v>
                </c:pt>
                <c:pt idx="570">
                  <c:v>2.5629482540186137</c:v>
                </c:pt>
                <c:pt idx="571">
                  <c:v>2.5671712269915865</c:v>
                </c:pt>
                <c:pt idx="572">
                  <c:v>2.5713941999645589</c:v>
                </c:pt>
                <c:pt idx="573">
                  <c:v>2.5756171729375321</c:v>
                </c:pt>
                <c:pt idx="574">
                  <c:v>2.5798401459105058</c:v>
                </c:pt>
                <c:pt idx="575">
                  <c:v>2.5840631188834786</c:v>
                </c:pt>
                <c:pt idx="576">
                  <c:v>2.5882860918564514</c:v>
                </c:pt>
                <c:pt idx="577">
                  <c:v>2.5925090648294242</c:v>
                </c:pt>
                <c:pt idx="578">
                  <c:v>2.5967320378023975</c:v>
                </c:pt>
                <c:pt idx="579">
                  <c:v>2.6009550107753703</c:v>
                </c:pt>
                <c:pt idx="580">
                  <c:v>2.6051779837483431</c:v>
                </c:pt>
                <c:pt idx="581">
                  <c:v>2.6094009567213168</c:v>
                </c:pt>
                <c:pt idx="582">
                  <c:v>2.61362392969429</c:v>
                </c:pt>
                <c:pt idx="583">
                  <c:v>2.6178469026672628</c:v>
                </c:pt>
                <c:pt idx="584">
                  <c:v>2.6220698756402356</c:v>
                </c:pt>
                <c:pt idx="585">
                  <c:v>2.6262928486132089</c:v>
                </c:pt>
                <c:pt idx="586">
                  <c:v>2.6305158215861817</c:v>
                </c:pt>
                <c:pt idx="587">
                  <c:v>2.6347387945591545</c:v>
                </c:pt>
                <c:pt idx="588">
                  <c:v>2.6389617675321269</c:v>
                </c:pt>
                <c:pt idx="589">
                  <c:v>2.6431847405051005</c:v>
                </c:pt>
                <c:pt idx="590">
                  <c:v>2.6474077134780734</c:v>
                </c:pt>
                <c:pt idx="591">
                  <c:v>2.651630686451047</c:v>
                </c:pt>
                <c:pt idx="592">
                  <c:v>2.6558536594240199</c:v>
                </c:pt>
                <c:pt idx="593">
                  <c:v>2.6600766323969927</c:v>
                </c:pt>
                <c:pt idx="594">
                  <c:v>2.6642996053699655</c:v>
                </c:pt>
                <c:pt idx="595">
                  <c:v>2.6685225783429392</c:v>
                </c:pt>
                <c:pt idx="596">
                  <c:v>2.6727455513159115</c:v>
                </c:pt>
                <c:pt idx="597">
                  <c:v>2.6769685242888843</c:v>
                </c:pt>
                <c:pt idx="598">
                  <c:v>2.6811914972618576</c:v>
                </c:pt>
                <c:pt idx="599">
                  <c:v>2.6854144702348313</c:v>
                </c:pt>
                <c:pt idx="600">
                  <c:v>2.6896374432078036</c:v>
                </c:pt>
                <c:pt idx="601">
                  <c:v>2.6938604161807769</c:v>
                </c:pt>
                <c:pt idx="602">
                  <c:v>2.6980833891537497</c:v>
                </c:pt>
                <c:pt idx="603">
                  <c:v>2.7023063621267229</c:v>
                </c:pt>
                <c:pt idx="604">
                  <c:v>2.7065293350996957</c:v>
                </c:pt>
                <c:pt idx="605">
                  <c:v>2.7107523080726685</c:v>
                </c:pt>
                <c:pt idx="606">
                  <c:v>2.7149752810456418</c:v>
                </c:pt>
                <c:pt idx="607">
                  <c:v>2.7191982540186155</c:v>
                </c:pt>
                <c:pt idx="608">
                  <c:v>2.7234212269915883</c:v>
                </c:pt>
                <c:pt idx="609">
                  <c:v>2.7276441999645611</c:v>
                </c:pt>
                <c:pt idx="610">
                  <c:v>2.7318671729375343</c:v>
                </c:pt>
                <c:pt idx="611">
                  <c:v>2.7360902881561069</c:v>
                </c:pt>
                <c:pt idx="612">
                  <c:v>2.7403446299463425</c:v>
                </c:pt>
                <c:pt idx="613">
                  <c:v>2.7446304292038541</c:v>
                </c:pt>
                <c:pt idx="614">
                  <c:v>2.7489479185315449</c:v>
                </c:pt>
                <c:pt idx="615">
                  <c:v>2.7532973322522287</c:v>
                </c:pt>
                <c:pt idx="616">
                  <c:v>2.757678906421352</c:v>
                </c:pt>
                <c:pt idx="617">
                  <c:v>2.7620928788398023</c:v>
                </c:pt>
                <c:pt idx="618">
                  <c:v>2.7665394890668153</c:v>
                </c:pt>
                <c:pt idx="619">
                  <c:v>2.7710189784329771</c:v>
                </c:pt>
                <c:pt idx="620">
                  <c:v>2.77553159005332</c:v>
                </c:pt>
                <c:pt idx="621">
                  <c:v>2.7800775688405177</c:v>
                </c:pt>
                <c:pt idx="622">
                  <c:v>2.7846571615181808</c:v>
                </c:pt>
                <c:pt idx="623">
                  <c:v>2.7892706166342416</c:v>
                </c:pt>
                <c:pt idx="624">
                  <c:v>2.7939181845744483</c:v>
                </c:pt>
                <c:pt idx="625">
                  <c:v>2.798600117575949</c:v>
                </c:pt>
                <c:pt idx="626">
                  <c:v>2.8033166697409881</c:v>
                </c:pt>
                <c:pt idx="627">
                  <c:v>2.8080680970506919</c:v>
                </c:pt>
                <c:pt idx="628">
                  <c:v>2.8128546573789639</c:v>
                </c:pt>
                <c:pt idx="629">
                  <c:v>2.8176766105064779</c:v>
                </c:pt>
                <c:pt idx="630">
                  <c:v>2.8225342181347806</c:v>
                </c:pt>
                <c:pt idx="631">
                  <c:v>2.8274277439004933</c:v>
                </c:pt>
                <c:pt idx="632">
                  <c:v>2.8323574533896183</c:v>
                </c:pt>
                <c:pt idx="633">
                  <c:v>2.8373236141519551</c:v>
                </c:pt>
                <c:pt idx="634">
                  <c:v>2.8423264957156222</c:v>
                </c:pt>
                <c:pt idx="635">
                  <c:v>2.8473663696016818</c:v>
                </c:pt>
                <c:pt idx="636">
                  <c:v>2.8524435093388805</c:v>
                </c:pt>
                <c:pt idx="637">
                  <c:v>2.8575581904784886</c:v>
                </c:pt>
                <c:pt idx="638">
                  <c:v>2.8627106906092616</c:v>
                </c:pt>
                <c:pt idx="639">
                  <c:v>2.8679012893725022</c:v>
                </c:pt>
                <c:pt idx="640">
                  <c:v>2.8731302684772357</c:v>
                </c:pt>
                <c:pt idx="641">
                  <c:v>2.8783979117155019</c:v>
                </c:pt>
                <c:pt idx="642">
                  <c:v>2.8837045049777577</c:v>
                </c:pt>
                <c:pt idx="643">
                  <c:v>2.8890503362683919</c:v>
                </c:pt>
                <c:pt idx="644">
                  <c:v>2.8944356957213553</c:v>
                </c:pt>
                <c:pt idx="645">
                  <c:v>2.8998608756159086</c:v>
                </c:pt>
                <c:pt idx="646">
                  <c:v>2.9053261703924838</c:v>
                </c:pt>
                <c:pt idx="647">
                  <c:v>2.9108318766686678</c:v>
                </c:pt>
                <c:pt idx="648">
                  <c:v>2.9163782932552946</c:v>
                </c:pt>
                <c:pt idx="649">
                  <c:v>2.9219657211726702</c:v>
                </c:pt>
                <c:pt idx="650">
                  <c:v>2.9275944636669018</c:v>
                </c:pt>
                <c:pt idx="651">
                  <c:v>2.9332648262263636</c:v>
                </c:pt>
                <c:pt idx="652">
                  <c:v>2.9389771165982692</c:v>
                </c:pt>
                <c:pt idx="653">
                  <c:v>2.9447316448053824</c:v>
                </c:pt>
                <c:pt idx="654">
                  <c:v>2.9505287231628325</c:v>
                </c:pt>
                <c:pt idx="655">
                  <c:v>2.9563686662950746</c:v>
                </c:pt>
                <c:pt idx="656">
                  <c:v>2.9622517911529598</c:v>
                </c:pt>
                <c:pt idx="657">
                  <c:v>2.9681784170309378</c:v>
                </c:pt>
                <c:pt idx="658">
                  <c:v>2.974148865584386</c:v>
                </c:pt>
                <c:pt idx="659">
                  <c:v>2.9801634608470677</c:v>
                </c:pt>
                <c:pt idx="660">
                  <c:v>2.9862225292487174</c:v>
                </c:pt>
                <c:pt idx="661">
                  <c:v>2.9923263996327578</c:v>
                </c:pt>
                <c:pt idx="662">
                  <c:v>2.9984754032741452</c:v>
                </c:pt>
                <c:pt idx="663">
                  <c:v>3.0046698738973521</c:v>
                </c:pt>
                <c:pt idx="664">
                  <c:v>3.0109101476944757</c:v>
                </c:pt>
                <c:pt idx="665">
                  <c:v>3.0171965633434876</c:v>
                </c:pt>
                <c:pt idx="666">
                  <c:v>3.0235294620266133</c:v>
                </c:pt>
                <c:pt idx="667">
                  <c:v>3.0299091874488462</c:v>
                </c:pt>
                <c:pt idx="668">
                  <c:v>3.0363360858566062</c:v>
                </c:pt>
                <c:pt idx="669">
                  <c:v>3.0428105060565307</c:v>
                </c:pt>
                <c:pt idx="670">
                  <c:v>3.0493327994344015</c:v>
                </c:pt>
                <c:pt idx="671">
                  <c:v>3.0559033199742198</c:v>
                </c:pt>
                <c:pt idx="672">
                  <c:v>3.0625224242774176</c:v>
                </c:pt>
                <c:pt idx="673">
                  <c:v>3.0691904715822065</c:v>
                </c:pt>
                <c:pt idx="674">
                  <c:v>3.0759078237830835</c:v>
                </c:pt>
                <c:pt idx="675">
                  <c:v>3.0826748454504624</c:v>
                </c:pt>
                <c:pt idx="676">
                  <c:v>3.0894919038504685</c:v>
                </c:pt>
                <c:pt idx="677">
                  <c:v>3.0963593689648623</c:v>
                </c:pt>
                <c:pt idx="678">
                  <c:v>3.1032776135111324</c:v>
                </c:pt>
                <c:pt idx="679">
                  <c:v>3.1102470129627084</c:v>
                </c:pt>
                <c:pt idx="680">
                  <c:v>3.1172679455693508</c:v>
                </c:pt>
                <c:pt idx="681">
                  <c:v>3.1243407923776738</c:v>
                </c:pt>
                <c:pt idx="682">
                  <c:v>3.1314659372518312</c:v>
                </c:pt>
                <c:pt idx="683">
                  <c:v>3.138643766894341</c:v>
                </c:pt>
                <c:pt idx="684">
                  <c:v>3.1458746708670833</c:v>
                </c:pt>
                <c:pt idx="685">
                  <c:v>3.1531590416124344</c:v>
                </c:pt>
                <c:pt idx="686">
                  <c:v>3.1604972744745701</c:v>
                </c:pt>
                <c:pt idx="687">
                  <c:v>3.1678897677209217</c:v>
                </c:pt>
                <c:pt idx="688">
                  <c:v>3.1753369225637913</c:v>
                </c:pt>
                <c:pt idx="689">
                  <c:v>3.1828391431821248</c:v>
                </c:pt>
                <c:pt idx="690">
                  <c:v>3.1903968367434499</c:v>
                </c:pt>
                <c:pt idx="691">
                  <c:v>3.1980104134259757</c:v>
                </c:pt>
                <c:pt idx="692">
                  <c:v>3.205680286440848</c:v>
                </c:pt>
                <c:pt idx="693">
                  <c:v>3.213406872054585</c:v>
                </c:pt>
                <c:pt idx="694">
                  <c:v>3.2211905896116599</c:v>
                </c:pt>
                <c:pt idx="695">
                  <c:v>3.2290318615572642</c:v>
                </c:pt>
                <c:pt idx="696">
                  <c:v>3.2369311134602383</c:v>
                </c:pt>
                <c:pt idx="697">
                  <c:v>3.2448887740361627</c:v>
                </c:pt>
                <c:pt idx="698">
                  <c:v>3.2529052751706273</c:v>
                </c:pt>
                <c:pt idx="699">
                  <c:v>3.2609810519426738</c:v>
                </c:pt>
                <c:pt idx="700">
                  <c:v>3.2691165426484052</c:v>
                </c:pt>
                <c:pt idx="701">
                  <c:v>3.2773121888247765</c:v>
                </c:pt>
                <c:pt idx="702">
                  <c:v>3.2855684352735528</c:v>
                </c:pt>
                <c:pt idx="703">
                  <c:v>3.2938857300854596</c:v>
                </c:pt>
                <c:pt idx="704">
                  <c:v>3.3022645246644902</c:v>
                </c:pt>
                <c:pt idx="705">
                  <c:v>3.3107052737524163</c:v>
                </c:pt>
                <c:pt idx="706">
                  <c:v>3.3192084354534579</c:v>
                </c:pt>
                <c:pt idx="707">
                  <c:v>3.3277744712591542</c:v>
                </c:pt>
                <c:pt idx="708">
                  <c:v>3.3364038460734031</c:v>
                </c:pt>
                <c:pt idx="709">
                  <c:v>3.3450970282377015</c:v>
                </c:pt>
                <c:pt idx="710">
                  <c:v>3.3538544895565532</c:v>
                </c:pt>
                <c:pt idx="711">
                  <c:v>3.3626767053230826</c:v>
                </c:pt>
                <c:pt idx="712">
                  <c:v>3.3715641543448274</c:v>
                </c:pt>
                <c:pt idx="713">
                  <c:v>3.380517318969726</c:v>
                </c:pt>
                <c:pt idx="714">
                  <c:v>3.3895366851122959</c:v>
                </c:pt>
                <c:pt idx="715">
                  <c:v>3.3986227422800042</c:v>
                </c:pt>
                <c:pt idx="716">
                  <c:v>3.4077759835998371</c:v>
                </c:pt>
                <c:pt idx="717">
                  <c:v>3.4169969058450582</c:v>
                </c:pt>
                <c:pt idx="718">
                  <c:v>3.4262860094621796</c:v>
                </c:pt>
                <c:pt idx="719">
                  <c:v>3.4356437985981123</c:v>
                </c:pt>
                <c:pt idx="720">
                  <c:v>3.4450707811275314</c:v>
                </c:pt>
                <c:pt idx="721">
                  <c:v>3.4545674686804406</c:v>
                </c:pt>
                <c:pt idx="722">
                  <c:v>3.4641343766699451</c:v>
                </c:pt>
                <c:pt idx="723">
                  <c:v>3.4737720243202115</c:v>
                </c:pt>
                <c:pt idx="724">
                  <c:v>3.4834809346946618</c:v>
                </c:pt>
                <c:pt idx="725">
                  <c:v>3.4932616347243504</c:v>
                </c:pt>
                <c:pt idx="726">
                  <c:v>3.5031146552365704</c:v>
                </c:pt>
                <c:pt idx="727">
                  <c:v>3.5130405309836563</c:v>
                </c:pt>
                <c:pt idx="728">
                  <c:v>3.5230398006720165</c:v>
                </c:pt>
                <c:pt idx="729">
                  <c:v>3.5331130069913543</c:v>
                </c:pt>
                <c:pt idx="730">
                  <c:v>3.543260696644138</c:v>
                </c:pt>
                <c:pt idx="731">
                  <c:v>3.553483420375263</c:v>
                </c:pt>
                <c:pt idx="732">
                  <c:v>3.5637817330019459</c:v>
                </c:pt>
                <c:pt idx="733">
                  <c:v>3.5741561934438306</c:v>
                </c:pt>
                <c:pt idx="734">
                  <c:v>3.5846073647533303</c:v>
                </c:pt>
                <c:pt idx="735">
                  <c:v>3.5951358141461789</c:v>
                </c:pt>
                <c:pt idx="736">
                  <c:v>3.6057421130322225</c:v>
                </c:pt>
                <c:pt idx="737">
                  <c:v>3.6164268370464234</c:v>
                </c:pt>
                <c:pt idx="738">
                  <c:v>3.6271905660801091</c:v>
                </c:pt>
                <c:pt idx="739">
                  <c:v>3.638033884312438</c:v>
                </c:pt>
                <c:pt idx="740">
                  <c:v>3.6489573802421122</c:v>
                </c:pt>
                <c:pt idx="741">
                  <c:v>3.6599616467193106</c:v>
                </c:pt>
                <c:pt idx="742">
                  <c:v>3.6710472809778647</c:v>
                </c:pt>
                <c:pt idx="743">
                  <c:v>3.6822148846676779</c:v>
                </c:pt>
                <c:pt idx="744">
                  <c:v>3.6934650638873712</c:v>
                </c:pt>
                <c:pt idx="745">
                  <c:v>3.7047984292171856</c:v>
                </c:pt>
                <c:pt idx="746">
                  <c:v>3.7162155957521135</c:v>
                </c:pt>
                <c:pt idx="747">
                  <c:v>3.727717183135288</c:v>
                </c:pt>
                <c:pt idx="748">
                  <c:v>3.7393038155916041</c:v>
                </c:pt>
                <c:pt idx="749">
                  <c:v>3.7509761219616102</c:v>
                </c:pt>
                <c:pt idx="750">
                  <c:v>3.7627347357356209</c:v>
                </c:pt>
                <c:pt idx="751">
                  <c:v>3.7745802950881151</c:v>
                </c:pt>
                <c:pt idx="752">
                  <c:v>3.7865134429123533</c:v>
                </c:pt>
                <c:pt idx="753">
                  <c:v>3.7985348268552914</c:v>
                </c:pt>
                <c:pt idx="754">
                  <c:v>3.8106450993527079</c:v>
                </c:pt>
                <c:pt idx="755">
                  <c:v>3.8228449176646313</c:v>
                </c:pt>
                <c:pt idx="756">
                  <c:v>3.8351349439109987</c:v>
                </c:pt>
                <c:pt idx="757">
                  <c:v>3.8475158451076008</c:v>
                </c:pt>
                <c:pt idx="758">
                  <c:v>3.8599882932022758</c:v>
                </c:pt>
                <c:pt idx="759">
                  <c:v>3.8725529651113835</c:v>
                </c:pt>
                <c:pt idx="760">
                  <c:v>3.8852105427565378</c:v>
                </c:pt>
                <c:pt idx="761">
                  <c:v>3.8979617131016187</c:v>
                </c:pt>
                <c:pt idx="762">
                  <c:v>3.9108071681900607</c:v>
                </c:pt>
                <c:pt idx="763">
                  <c:v>3.9237476051824074</c:v>
                </c:pt>
                <c:pt idx="764">
                  <c:v>3.9367837263941441</c:v>
                </c:pt>
                <c:pt idx="765">
                  <c:v>3.9499162393338252</c:v>
                </c:pt>
                <c:pt idx="766">
                  <c:v>3.9631458567414639</c:v>
                </c:pt>
                <c:pt idx="767">
                  <c:v>3.9764732966272196</c:v>
                </c:pt>
                <c:pt idx="768">
                  <c:v>3.9898992823103643</c:v>
                </c:pt>
                <c:pt idx="769">
                  <c:v>4.0034245424585384</c:v>
                </c:pt>
                <c:pt idx="770">
                  <c:v>4.017049811127297</c:v>
                </c:pt>
                <c:pt idx="771">
                  <c:v>4.0307758277999568</c:v>
                </c:pt>
                <c:pt idx="772">
                  <c:v>4.0446033374277208</c:v>
                </c:pt>
                <c:pt idx="773">
                  <c:v>4.0585330904701102</c:v>
                </c:pt>
                <c:pt idx="774">
                  <c:v>4.0725658429357026</c:v>
                </c:pt>
                <c:pt idx="775">
                  <c:v>4.0867023564231486</c:v>
                </c:pt>
                <c:pt idx="776">
                  <c:v>4.1009433981625243</c:v>
                </c:pt>
                <c:pt idx="777">
                  <c:v>4.1152897410569471</c:v>
                </c:pt>
                <c:pt idx="778">
                  <c:v>4.1297421637245515</c:v>
                </c:pt>
                <c:pt idx="779">
                  <c:v>4.1443014505407199</c:v>
                </c:pt>
                <c:pt idx="780">
                  <c:v>4.158968391680677</c:v>
                </c:pt>
                <c:pt idx="781">
                  <c:v>4.1737437831623527</c:v>
                </c:pt>
                <c:pt idx="782">
                  <c:v>4.1886284268896059</c:v>
                </c:pt>
                <c:pt idx="783">
                  <c:v>4.2036231306957257</c:v>
                </c:pt>
                <c:pt idx="784">
                  <c:v>4.2187287083872897</c:v>
                </c:pt>
                <c:pt idx="785">
                  <c:v>4.233945979788329</c:v>
                </c:pt>
                <c:pt idx="786">
                  <c:v>4.2492757707848154</c:v>
                </c:pt>
                <c:pt idx="787">
                  <c:v>4.2647189133694887</c:v>
                </c:pt>
                <c:pt idx="788">
                  <c:v>4.2802762456870163</c:v>
                </c:pt>
                <c:pt idx="789">
                  <c:v>4.2959486120794752</c:v>
                </c:pt>
                <c:pt idx="790">
                  <c:v>4.3117368631321789</c:v>
                </c:pt>
                <c:pt idx="791">
                  <c:v>4.3276418557198442</c:v>
                </c:pt>
                <c:pt idx="792">
                  <c:v>4.3436644530530888</c:v>
                </c:pt>
                <c:pt idx="793">
                  <c:v>4.3598055247252878</c:v>
                </c:pt>
                <c:pt idx="794">
                  <c:v>4.3760659467597698</c:v>
                </c:pt>
                <c:pt idx="795">
                  <c:v>4.3924466016573502</c:v>
                </c:pt>
                <c:pt idx="796">
                  <c:v>4.4089483784442391</c:v>
                </c:pt>
                <c:pt idx="797">
                  <c:v>4.4255721727202877</c:v>
                </c:pt>
                <c:pt idx="798">
                  <c:v>4.4423188867075929</c:v>
                </c:pt>
                <c:pt idx="799">
                  <c:v>4.4591894292994665</c:v>
                </c:pt>
                <c:pt idx="800">
                  <c:v>4.476184716109759</c:v>
                </c:pt>
                <c:pt idx="801">
                  <c:v>4.4933056695225595</c:v>
                </c:pt>
                <c:pt idx="802">
                  <c:v>4.5105532187422464</c:v>
                </c:pt>
                <c:pt idx="803">
                  <c:v>4.5279282998439339</c:v>
                </c:pt>
                <c:pt idx="804">
                  <c:v>4.5454318558242575</c:v>
                </c:pt>
                <c:pt idx="805">
                  <c:v>4.563064836652563</c:v>
                </c:pt>
                <c:pt idx="806">
                  <c:v>4.580828199322462</c:v>
                </c:pt>
                <c:pt idx="807">
                  <c:v>4.5987229079037757</c:v>
                </c:pt>
                <c:pt idx="808">
                  <c:v>4.6167499335948445</c:v>
                </c:pt>
                <c:pt idx="809">
                  <c:v>4.6349102547752601</c:v>
                </c:pt>
                <c:pt idx="810">
                  <c:v>4.653204857058939</c:v>
                </c:pt>
                <c:pt idx="811">
                  <c:v>4.6716347333476334</c:v>
                </c:pt>
                <c:pt idx="812">
                  <c:v>4.690200883884807</c:v>
                </c:pt>
                <c:pt idx="813">
                  <c:v>4.7089043163099422</c:v>
                </c:pt>
                <c:pt idx="814">
                  <c:v>4.7277460457131877</c:v>
                </c:pt>
                <c:pt idx="815">
                  <c:v>4.7467270946904918</c:v>
                </c:pt>
                <c:pt idx="816">
                  <c:v>4.7658484933990923</c:v>
                </c:pt>
                <c:pt idx="817">
                  <c:v>4.7851112796133943</c:v>
                </c:pt>
                <c:pt idx="818">
                  <c:v>4.8045164987813411</c:v>
                </c:pt>
                <c:pt idx="819">
                  <c:v>4.8240652040811147</c:v>
                </c:pt>
                <c:pt idx="820">
                  <c:v>4.8437584564783212</c:v>
                </c:pt>
                <c:pt idx="821">
                  <c:v>4.8635973247835516</c:v>
                </c:pt>
                <c:pt idx="822">
                  <c:v>4.8835828857104122</c:v>
                </c:pt>
                <c:pt idx="823">
                  <c:v>4.9037162239339382</c:v>
                </c:pt>
                <c:pt idx="824">
                  <c:v>4.9239984321494745</c:v>
                </c:pt>
                <c:pt idx="825">
                  <c:v>4.9444306111319793</c:v>
                </c:pt>
                <c:pt idx="826">
                  <c:v>4.9650138697957598</c:v>
                </c:pt>
                <c:pt idx="827">
                  <c:v>4.985749325254667</c:v>
                </c:pt>
                <c:pt idx="828">
                  <c:v>5.0066381028827216</c:v>
                </c:pt>
                <c:pt idx="829">
                  <c:v>5.0276813363751769</c:v>
                </c:pt>
                <c:pt idx="830">
                  <c:v>5.0488801678100668</c:v>
                </c:pt>
                <c:pt idx="831">
                  <c:v>5.0702357477101794</c:v>
                </c:pt>
                <c:pt idx="832">
                  <c:v>5.0917492351055031</c:v>
                </c:pt>
                <c:pt idx="833">
                  <c:v>5.1134217975961258</c:v>
                </c:pt>
                <c:pt idx="834">
                  <c:v>5.1352546114156192</c:v>
                </c:pt>
                <c:pt idx="835">
                  <c:v>5.1572488614948488</c:v>
                </c:pt>
                <c:pt idx="836">
                  <c:v>5.1794057415263151</c:v>
                </c:pt>
                <c:pt idx="837">
                  <c:v>5.2017264540289077</c:v>
                </c:pt>
                <c:pt idx="838">
                  <c:v>5.2242122104132065</c:v>
                </c:pt>
                <c:pt idx="839">
                  <c:v>5.2468642310471774</c:v>
                </c:pt>
                <c:pt idx="840">
                  <c:v>5.2696837453224594</c:v>
                </c:pt>
                <c:pt idx="841">
                  <c:v>5.2926719917210638</c:v>
                </c:pt>
                <c:pt idx="842">
                  <c:v>5.3158302178825645</c:v>
                </c:pt>
                <c:pt idx="843">
                  <c:v>5.3391596806718633</c:v>
                </c:pt>
                <c:pt idx="844">
                  <c:v>5.362661646247358</c:v>
                </c:pt>
                <c:pt idx="845">
                  <c:v>5.3863373901296949</c:v>
                </c:pt>
                <c:pt idx="846">
                  <c:v>5.4101881972709611</c:v>
                </c:pt>
                <c:pt idx="847">
                  <c:v>5.4342153621244575</c:v>
                </c:pt>
                <c:pt idx="848">
                  <c:v>5.458420188714924</c:v>
                </c:pt>
                <c:pt idx="849">
                  <c:v>5.4828039907093267</c:v>
                </c:pt>
                <c:pt idx="850">
                  <c:v>5.5073680914881535</c:v>
                </c:pt>
                <c:pt idx="851">
                  <c:v>5.5321138242172356</c:v>
                </c:pt>
                <c:pt idx="852">
                  <c:v>5.5570425319201009</c:v>
                </c:pt>
                <c:pt idx="853">
                  <c:v>5.5821555675508705</c:v>
                </c:pt>
                <c:pt idx="854">
                  <c:v>5.607454294067689</c:v>
                </c:pt>
                <c:pt idx="855">
                  <c:v>5.632940084506675</c:v>
                </c:pt>
                <c:pt idx="856">
                  <c:v>5.6586143220564651</c:v>
                </c:pt>
                <c:pt idx="857">
                  <c:v>5.68447840013327</c:v>
                </c:pt>
                <c:pt idx="858">
                  <c:v>5.7105337224564998</c:v>
                </c:pt>
                <c:pt idx="859">
                  <c:v>5.7367817031249642</c:v>
                </c:pt>
                <c:pt idx="860">
                  <c:v>5.763223766693593</c:v>
                </c:pt>
                <c:pt idx="861">
                  <c:v>5.7898613482507653</c:v>
                </c:pt>
                <c:pt idx="862">
                  <c:v>5.8166958934962034</c:v>
                </c:pt>
                <c:pt idx="863">
                  <c:v>5.843728858819432</c:v>
                </c:pt>
                <c:pt idx="864">
                  <c:v>5.8709617113787882</c:v>
                </c:pt>
                <c:pt idx="865">
                  <c:v>5.8983959291811017</c:v>
                </c:pt>
                <c:pt idx="866">
                  <c:v>5.9260330011618896</c:v>
                </c:pt>
                <c:pt idx="867">
                  <c:v>5.9538744272661273</c:v>
                </c:pt>
                <c:pt idx="868">
                  <c:v>5.9819217185297235</c:v>
                </c:pt>
                <c:pt idx="869">
                  <c:v>6.0101763971614739</c:v>
                </c:pt>
                <c:pt idx="870">
                  <c:v>6.0386399966256947</c:v>
                </c:pt>
                <c:pt idx="871">
                  <c:v>6.0673140617254608</c:v>
                </c:pt>
                <c:pt idx="872">
                  <c:v>6.0962001486864326</c:v>
                </c:pt>
                <c:pt idx="873">
                  <c:v>6.1252998252413082</c:v>
                </c:pt>
                <c:pt idx="874">
                  <c:v>6.1546146707149276</c:v>
                </c:pt>
                <c:pt idx="875">
                  <c:v>6.1841462761099777</c:v>
                </c:pt>
                <c:pt idx="876">
                  <c:v>6.2138962441933412</c:v>
                </c:pt>
                <c:pt idx="877">
                  <c:v>6.2438661895830814</c:v>
                </c:pt>
                <c:pt idx="878">
                  <c:v>6.2740577388360927</c:v>
                </c:pt>
                <c:pt idx="879">
                  <c:v>6.3044725305363363</c:v>
                </c:pt>
                <c:pt idx="880">
                  <c:v>6.3351122153838197</c:v>
                </c:pt>
                <c:pt idx="881">
                  <c:v>6.3659784562841457</c:v>
                </c:pt>
                <c:pt idx="882">
                  <c:v>6.3970729284387842</c:v>
                </c:pt>
                <c:pt idx="883">
                  <c:v>6.4283973194359785</c:v>
                </c:pt>
                <c:pt idx="884">
                  <c:v>6.4599533293423583</c:v>
                </c:pt>
                <c:pt idx="885">
                  <c:v>6.4917426707951762</c:v>
                </c:pt>
                <c:pt idx="886">
                  <c:v>6.5237670690952783</c:v>
                </c:pt>
                <c:pt idx="887">
                  <c:v>6.5560282623007282</c:v>
                </c:pt>
                <c:pt idx="888">
                  <c:v>6.588528001321162</c:v>
                </c:pt>
                <c:pt idx="889">
                  <c:v>6.6212680500127732</c:v>
                </c:pt>
                <c:pt idx="890">
                  <c:v>6.6542501852740861</c:v>
                </c:pt>
                <c:pt idx="891">
                  <c:v>6.6874761971423773</c:v>
                </c:pt>
                <c:pt idx="892">
                  <c:v>6.7209478888907874</c:v>
                </c:pt>
                <c:pt idx="893">
                  <c:v>6.7546670771262667</c:v>
                </c:pt>
                <c:pt idx="894">
                  <c:v>6.7886355918881023</c:v>
                </c:pt>
                <c:pt idx="895">
                  <c:v>6.8228552767472701</c:v>
                </c:pt>
                <c:pt idx="896">
                  <c:v>6.8573279889064773</c:v>
                </c:pt>
                <c:pt idx="897">
                  <c:v>6.8920555993009769</c:v>
                </c:pt>
                <c:pt idx="898">
                  <c:v>6.9270399927000987</c:v>
                </c:pt>
                <c:pt idx="899">
                  <c:v>6.962283067809528</c:v>
                </c:pt>
                <c:pt idx="900">
                  <c:v>6.9977867373743683</c:v>
                </c:pt>
                <c:pt idx="901">
                  <c:v>7.033552928282953</c:v>
                </c:pt>
                <c:pt idx="902">
                  <c:v>7.0695835816714085</c:v>
                </c:pt>
                <c:pt idx="903">
                  <c:v>7.1058806530290397</c:v>
                </c:pt>
                <c:pt idx="904">
                  <c:v>7.1424461123044143</c:v>
                </c:pt>
                <c:pt idx="905">
                  <c:v>7.1792819440123061</c:v>
                </c:pt>
                <c:pt idx="906">
                  <c:v>7.2163901473413903</c:v>
                </c:pt>
                <c:pt idx="907">
                  <c:v>7.253772736262766</c:v>
                </c:pt>
                <c:pt idx="908">
                  <c:v>7.2914317396392194</c:v>
                </c:pt>
                <c:pt idx="909">
                  <c:v>7.3293692013353855</c:v>
                </c:pt>
                <c:pt idx="910">
                  <c:v>7.3675871803286288</c:v>
                </c:pt>
                <c:pt idx="911">
                  <c:v>7.40608775082082</c:v>
                </c:pt>
                <c:pt idx="912">
                  <c:v>7.4448730023508913</c:v>
                </c:pt>
                <c:pt idx="913">
                  <c:v>7.4839450399082761</c:v>
                </c:pt>
                <c:pt idx="914">
                  <c:v>7.5233059840470817</c:v>
                </c:pt>
                <c:pt idx="915">
                  <c:v>7.5629579710012562</c:v>
                </c:pt>
                <c:pt idx="916">
                  <c:v>7.6029031528005175</c:v>
                </c:pt>
                <c:pt idx="917">
                  <c:v>7.643143697387063</c:v>
                </c:pt>
                <c:pt idx="918">
                  <c:v>7.6836817887333533</c:v>
                </c:pt>
                <c:pt idx="919">
                  <c:v>7.7245196269605563</c:v>
                </c:pt>
                <c:pt idx="920">
                  <c:v>7.7656594284579903</c:v>
                </c:pt>
                <c:pt idx="921">
                  <c:v>7.8071034260033967</c:v>
                </c:pt>
                <c:pt idx="922">
                  <c:v>7.848853868884154</c:v>
                </c:pt>
                <c:pt idx="923">
                  <c:v>7.890913023019305</c:v>
                </c:pt>
                <c:pt idx="924">
                  <c:v>7.9332831710825573</c:v>
                </c:pt>
                <c:pt idx="925">
                  <c:v>7.9759666126261974</c:v>
                </c:pt>
                <c:pt idx="926">
                  <c:v>8.0189656642058402</c:v>
                </c:pt>
                <c:pt idx="927">
                  <c:v>8.0622826595061863</c:v>
                </c:pt>
                <c:pt idx="928">
                  <c:v>8.105919949467701</c:v>
                </c:pt>
                <c:pt idx="929">
                  <c:v>8.1498799024141508</c:v>
                </c:pt>
                <c:pt idx="930">
                  <c:v>8.1941649041811857</c:v>
                </c:pt>
                <c:pt idx="931">
                  <c:v>8.2387773582457999</c:v>
                </c:pt>
                <c:pt idx="932">
                  <c:v>8.2837196858567808</c:v>
                </c:pt>
                <c:pt idx="933">
                  <c:v>8.328994326166141</c:v>
                </c:pt>
                <c:pt idx="934">
                  <c:v>8.3746037363614718</c:v>
                </c:pt>
                <c:pt idx="935">
                  <c:v>8.4205503917992974</c:v>
                </c:pt>
                <c:pt idx="936">
                  <c:v>8.4668367861394351</c:v>
                </c:pt>
                <c:pt idx="937">
                  <c:v>8.5134654314803235</c:v>
                </c:pt>
                <c:pt idx="938">
                  <c:v>8.5604388584954023</c:v>
                </c:pt>
                <c:pt idx="939">
                  <c:v>8.6077596165703607</c:v>
                </c:pt>
                <c:pt idx="940">
                  <c:v>8.6554302739416205</c:v>
                </c:pt>
                <c:pt idx="941">
                  <c:v>8.7034534178356502</c:v>
                </c:pt>
                <c:pt idx="942">
                  <c:v>8.7518316546093775</c:v>
                </c:pt>
                <c:pt idx="943">
                  <c:v>8.8005676098916901</c:v>
                </c:pt>
                <c:pt idx="944">
                  <c:v>8.8496639287258869</c:v>
                </c:pt>
                <c:pt idx="945">
                  <c:v>8.8991232757132632</c:v>
                </c:pt>
                <c:pt idx="946">
                  <c:v>8.9489483351577075</c:v>
                </c:pt>
                <c:pt idx="947">
                  <c:v>8.9991418112114214</c:v>
                </c:pt>
                <c:pt idx="948">
                  <c:v>9.0497064280216364</c:v>
                </c:pt>
                <c:pt idx="949">
                  <c:v>9.1006449298784826</c:v>
                </c:pt>
                <c:pt idx="950">
                  <c:v>9.1519600813639261</c:v>
                </c:pt>
                <c:pt idx="951">
                  <c:v>9.2036546675018371</c:v>
                </c:pt>
                <c:pt idx="952">
                  <c:v>9.2557314939090833</c:v>
                </c:pt>
                <c:pt idx="953">
                  <c:v>9.3081933869478704</c:v>
                </c:pt>
                <c:pt idx="954">
                  <c:v>9.3610431938790697</c:v>
                </c:pt>
                <c:pt idx="955">
                  <c:v>9.4142837830167903</c:v>
                </c:pt>
                <c:pt idx="956">
                  <c:v>9.4679180438840369</c:v>
                </c:pt>
                <c:pt idx="957">
                  <c:v>9.5219488873695362</c:v>
                </c:pt>
                <c:pt idx="958">
                  <c:v>9.576379245885704</c:v>
                </c:pt>
                <c:pt idx="959">
                  <c:v>9.6312120735278288</c:v>
                </c:pt>
                <c:pt idx="960">
                  <c:v>9.6864503462343858</c:v>
                </c:pt>
                <c:pt idx="961">
                  <c:v>9.7420970619485168</c:v>
                </c:pt>
                <c:pt idx="962">
                  <c:v>9.7981552407807655</c:v>
                </c:pt>
                <c:pt idx="963">
                  <c:v>9.8546279251730304</c:v>
                </c:pt>
                <c:pt idx="964">
                  <c:v>9.9115181800635668</c:v>
                </c:pt>
                <c:pt idx="965">
                  <c:v>9.9688290930534738</c:v>
                </c:pt>
                <c:pt idx="966">
                  <c:v>10.026563774574194</c:v>
                </c:pt>
                <c:pt idx="967">
                  <c:v>10.084725358056273</c:v>
                </c:pt>
                <c:pt idx="968">
                  <c:v>10.143317000099541</c:v>
                </c:pt>
                <c:pt idx="969">
                  <c:v>10.202341880644356</c:v>
                </c:pt>
                <c:pt idx="970">
                  <c:v>10.261803203144181</c:v>
                </c:pt>
                <c:pt idx="971">
                  <c:v>10.321704194739464</c:v>
                </c:pt>
                <c:pt idx="972">
                  <c:v>10.382048106432817</c:v>
                </c:pt>
                <c:pt idx="973">
                  <c:v>10.442838213265397</c:v>
                </c:pt>
                <c:pt idx="974">
                  <c:v>10.504077814494684</c:v>
                </c:pt>
                <c:pt idx="975">
                  <c:v>10.565770233773543</c:v>
                </c:pt>
                <c:pt idx="976">
                  <c:v>10.627918819330606</c:v>
                </c:pt>
                <c:pt idx="977">
                  <c:v>10.690526944151955</c:v>
                </c:pt>
                <c:pt idx="978">
                  <c:v>10.753598006164294</c:v>
                </c:pt>
                <c:pt idx="979">
                  <c:v>10.817135428419213</c:v>
                </c:pt>
                <c:pt idx="980">
                  <c:v>10.881142659279071</c:v>
                </c:pt>
                <c:pt idx="981">
                  <c:v>10.945623172604108</c:v>
                </c:pt>
                <c:pt idx="982">
                  <c:v>11.010580467940999</c:v>
                </c:pt>
                <c:pt idx="983">
                  <c:v>11.076018070712767</c:v>
                </c:pt>
                <c:pt idx="984">
                  <c:v>11.141939532410159</c:v>
                </c:pt>
                <c:pt idx="985">
                  <c:v>11.208348430784335</c:v>
                </c:pt>
                <c:pt idx="986">
                  <c:v>11.275248370041073</c:v>
                </c:pt>
                <c:pt idx="987">
                  <c:v>11.342642981036402</c:v>
                </c:pt>
                <c:pt idx="988">
                  <c:v>11.410535921473652</c:v>
                </c:pt>
                <c:pt idx="989">
                  <c:v>11.478930876101883</c:v>
                </c:pt>
                <c:pt idx="990">
                  <c:v>11.547831556916009</c:v>
                </c:pt>
                <c:pt idx="991">
                  <c:v>11.617241703358186</c:v>
                </c:pt>
                <c:pt idx="992">
                  <c:v>11.687165082520695</c:v>
                </c:pt>
                <c:pt idx="993">
                  <c:v>11.757605489350549</c:v>
                </c:pt>
                <c:pt idx="994">
                  <c:v>11.828566746855316</c:v>
                </c:pt>
                <c:pt idx="995">
                  <c:v>11.900052706310664</c:v>
                </c:pt>
                <c:pt idx="996">
                  <c:v>11.972067247469399</c:v>
                </c:pt>
                <c:pt idx="997">
                  <c:v>12.044614278772</c:v>
                </c:pt>
                <c:pt idx="998">
                  <c:v>12.117697737558737</c:v>
                </c:pt>
                <c:pt idx="999">
                  <c:v>12.191321590283376</c:v>
                </c:pt>
                <c:pt idx="1000">
                  <c:v>12.26548983272845</c:v>
                </c:pt>
              </c:numCache>
            </c:numRef>
          </c:xVal>
          <c:yVal>
            <c:numRef>
              <c:f>Production_Forecast!$G$12:$G$1012</c:f>
              <c:numCache>
                <c:formatCode>0</c:formatCode>
                <c:ptCount val="1001"/>
                <c:pt idx="0">
                  <c:v>0</c:v>
                </c:pt>
                <c:pt idx="1">
                  <c:v>10</c:v>
                </c:pt>
                <c:pt idx="2">
                  <c:v>20</c:v>
                </c:pt>
                <c:pt idx="3">
                  <c:v>30.000000000000007</c:v>
                </c:pt>
                <c:pt idx="4">
                  <c:v>40</c:v>
                </c:pt>
                <c:pt idx="5">
                  <c:v>50</c:v>
                </c:pt>
                <c:pt idx="6">
                  <c:v>60</c:v>
                </c:pt>
                <c:pt idx="7">
                  <c:v>69.999999999999986</c:v>
                </c:pt>
                <c:pt idx="8">
                  <c:v>80</c:v>
                </c:pt>
                <c:pt idx="9">
                  <c:v>90</c:v>
                </c:pt>
                <c:pt idx="10">
                  <c:v>99.999999999999972</c:v>
                </c:pt>
                <c:pt idx="11">
                  <c:v>109.99999999999999</c:v>
                </c:pt>
                <c:pt idx="12">
                  <c:v>120</c:v>
                </c:pt>
                <c:pt idx="13">
                  <c:v>130</c:v>
                </c:pt>
                <c:pt idx="14">
                  <c:v>140</c:v>
                </c:pt>
                <c:pt idx="15">
                  <c:v>150.00000000000003</c:v>
                </c:pt>
                <c:pt idx="16">
                  <c:v>160.00000000000003</c:v>
                </c:pt>
                <c:pt idx="17">
                  <c:v>170.00000000000003</c:v>
                </c:pt>
                <c:pt idx="18">
                  <c:v>180.00000000000006</c:v>
                </c:pt>
                <c:pt idx="19">
                  <c:v>190.00000000000006</c:v>
                </c:pt>
                <c:pt idx="20">
                  <c:v>200.00000000000003</c:v>
                </c:pt>
                <c:pt idx="21">
                  <c:v>210.00000000000006</c:v>
                </c:pt>
                <c:pt idx="22">
                  <c:v>220.00000000000006</c:v>
                </c:pt>
                <c:pt idx="23">
                  <c:v>230.00000000000006</c:v>
                </c:pt>
                <c:pt idx="24">
                  <c:v>240.00000000000009</c:v>
                </c:pt>
                <c:pt idx="25">
                  <c:v>250.00000000000011</c:v>
                </c:pt>
                <c:pt idx="26">
                  <c:v>260.00000000000011</c:v>
                </c:pt>
                <c:pt idx="27">
                  <c:v>270.00000000000011</c:v>
                </c:pt>
                <c:pt idx="28">
                  <c:v>280.00000000000011</c:v>
                </c:pt>
                <c:pt idx="29">
                  <c:v>290.00000000000017</c:v>
                </c:pt>
                <c:pt idx="30">
                  <c:v>300.00000000000017</c:v>
                </c:pt>
                <c:pt idx="31">
                  <c:v>310.00000000000017</c:v>
                </c:pt>
                <c:pt idx="32">
                  <c:v>320.00000000000017</c:v>
                </c:pt>
                <c:pt idx="33">
                  <c:v>330.00000000000017</c:v>
                </c:pt>
                <c:pt idx="34">
                  <c:v>340.00000000000017</c:v>
                </c:pt>
                <c:pt idx="35">
                  <c:v>350.00000000000023</c:v>
                </c:pt>
                <c:pt idx="36">
                  <c:v>360.00000000000023</c:v>
                </c:pt>
                <c:pt idx="37">
                  <c:v>370.00000000000023</c:v>
                </c:pt>
                <c:pt idx="38">
                  <c:v>380.00000000000023</c:v>
                </c:pt>
                <c:pt idx="39">
                  <c:v>390.00000000000023</c:v>
                </c:pt>
                <c:pt idx="40">
                  <c:v>400.00000000000011</c:v>
                </c:pt>
                <c:pt idx="41">
                  <c:v>410.00000000000011</c:v>
                </c:pt>
                <c:pt idx="42">
                  <c:v>420.00000000000011</c:v>
                </c:pt>
                <c:pt idx="43">
                  <c:v>430.00000000000011</c:v>
                </c:pt>
                <c:pt idx="44">
                  <c:v>440.00000000000006</c:v>
                </c:pt>
                <c:pt idx="45">
                  <c:v>449.99999999999994</c:v>
                </c:pt>
                <c:pt idx="46">
                  <c:v>459.99999999999994</c:v>
                </c:pt>
                <c:pt idx="47">
                  <c:v>469.99999999999994</c:v>
                </c:pt>
                <c:pt idx="48">
                  <c:v>479.99999999999989</c:v>
                </c:pt>
                <c:pt idx="49">
                  <c:v>489.99999999999989</c:v>
                </c:pt>
                <c:pt idx="50">
                  <c:v>499.99999999999983</c:v>
                </c:pt>
                <c:pt idx="51">
                  <c:v>509.99999999999977</c:v>
                </c:pt>
                <c:pt idx="52">
                  <c:v>519.99999999999977</c:v>
                </c:pt>
                <c:pt idx="53">
                  <c:v>529.99999999999966</c:v>
                </c:pt>
                <c:pt idx="54">
                  <c:v>539.99999999999955</c:v>
                </c:pt>
                <c:pt idx="55">
                  <c:v>549.99999999999955</c:v>
                </c:pt>
                <c:pt idx="56">
                  <c:v>559.99999999999966</c:v>
                </c:pt>
                <c:pt idx="57">
                  <c:v>569.99999999999966</c:v>
                </c:pt>
                <c:pt idx="58">
                  <c:v>579.99999999999955</c:v>
                </c:pt>
                <c:pt idx="59">
                  <c:v>589.99999999999955</c:v>
                </c:pt>
                <c:pt idx="60">
                  <c:v>599.99999999999955</c:v>
                </c:pt>
                <c:pt idx="61">
                  <c:v>609.99999999999943</c:v>
                </c:pt>
                <c:pt idx="62">
                  <c:v>619.99999999999932</c:v>
                </c:pt>
                <c:pt idx="63">
                  <c:v>629.99999999999932</c:v>
                </c:pt>
                <c:pt idx="64">
                  <c:v>639.99999999999932</c:v>
                </c:pt>
                <c:pt idx="65">
                  <c:v>649.99999999999932</c:v>
                </c:pt>
                <c:pt idx="66">
                  <c:v>659.9999999999992</c:v>
                </c:pt>
                <c:pt idx="67">
                  <c:v>669.99999999999932</c:v>
                </c:pt>
                <c:pt idx="68">
                  <c:v>679.99999999999932</c:v>
                </c:pt>
                <c:pt idx="69">
                  <c:v>689.99999999999909</c:v>
                </c:pt>
                <c:pt idx="70">
                  <c:v>699.99999999999909</c:v>
                </c:pt>
                <c:pt idx="71">
                  <c:v>709.99999999999909</c:v>
                </c:pt>
                <c:pt idx="72">
                  <c:v>719.99999999999898</c:v>
                </c:pt>
                <c:pt idx="73">
                  <c:v>729.99999999999898</c:v>
                </c:pt>
                <c:pt idx="74">
                  <c:v>739.99999999999898</c:v>
                </c:pt>
                <c:pt idx="75">
                  <c:v>749.99999999999898</c:v>
                </c:pt>
                <c:pt idx="76">
                  <c:v>759.99999999999886</c:v>
                </c:pt>
                <c:pt idx="77">
                  <c:v>769.99999999999886</c:v>
                </c:pt>
                <c:pt idx="78">
                  <c:v>779.99999999999886</c:v>
                </c:pt>
                <c:pt idx="79">
                  <c:v>789.99999999999875</c:v>
                </c:pt>
                <c:pt idx="80">
                  <c:v>799.99999999999875</c:v>
                </c:pt>
                <c:pt idx="81">
                  <c:v>809.99999999999875</c:v>
                </c:pt>
                <c:pt idx="82">
                  <c:v>819.99999999999864</c:v>
                </c:pt>
                <c:pt idx="83">
                  <c:v>829.99999999999864</c:v>
                </c:pt>
                <c:pt idx="84">
                  <c:v>839.99999999999864</c:v>
                </c:pt>
                <c:pt idx="85">
                  <c:v>849.99999999999852</c:v>
                </c:pt>
                <c:pt idx="86">
                  <c:v>859.99999999999852</c:v>
                </c:pt>
                <c:pt idx="87">
                  <c:v>869.99999999999852</c:v>
                </c:pt>
                <c:pt idx="88">
                  <c:v>879.99999999999841</c:v>
                </c:pt>
                <c:pt idx="89">
                  <c:v>889.99999999999841</c:v>
                </c:pt>
                <c:pt idx="90">
                  <c:v>899.99999999999852</c:v>
                </c:pt>
                <c:pt idx="91">
                  <c:v>909.99999999999841</c:v>
                </c:pt>
                <c:pt idx="92">
                  <c:v>919.99999999999841</c:v>
                </c:pt>
                <c:pt idx="93">
                  <c:v>929.99999999999841</c:v>
                </c:pt>
                <c:pt idx="94">
                  <c:v>939.99999999999818</c:v>
                </c:pt>
                <c:pt idx="95">
                  <c:v>949.99999999999818</c:v>
                </c:pt>
                <c:pt idx="96">
                  <c:v>959.99999999999818</c:v>
                </c:pt>
                <c:pt idx="97">
                  <c:v>969.99999999999807</c:v>
                </c:pt>
                <c:pt idx="98">
                  <c:v>979.99999999999807</c:v>
                </c:pt>
                <c:pt idx="99">
                  <c:v>989.99999999999807</c:v>
                </c:pt>
                <c:pt idx="100">
                  <c:v>999.99999999999807</c:v>
                </c:pt>
                <c:pt idx="101">
                  <c:v>1009.999999999998</c:v>
                </c:pt>
                <c:pt idx="102">
                  <c:v>1019.9999999999981</c:v>
                </c:pt>
                <c:pt idx="103">
                  <c:v>1029.999999999998</c:v>
                </c:pt>
                <c:pt idx="104">
                  <c:v>1039.9999999999977</c:v>
                </c:pt>
                <c:pt idx="105">
                  <c:v>1049.9999999999977</c:v>
                </c:pt>
                <c:pt idx="106">
                  <c:v>1059.9999999999977</c:v>
                </c:pt>
                <c:pt idx="107">
                  <c:v>1069.999999999998</c:v>
                </c:pt>
                <c:pt idx="108">
                  <c:v>1079.999999999998</c:v>
                </c:pt>
                <c:pt idx="109">
                  <c:v>1089.999999999998</c:v>
                </c:pt>
                <c:pt idx="110">
                  <c:v>1099.9999999999977</c:v>
                </c:pt>
                <c:pt idx="111">
                  <c:v>1109.9999999999977</c:v>
                </c:pt>
                <c:pt idx="112">
                  <c:v>1119.9999999999977</c:v>
                </c:pt>
                <c:pt idx="113">
                  <c:v>1129.9999999999975</c:v>
                </c:pt>
                <c:pt idx="114">
                  <c:v>1139.9999999999975</c:v>
                </c:pt>
                <c:pt idx="115">
                  <c:v>1149.9999999999975</c:v>
                </c:pt>
                <c:pt idx="116">
                  <c:v>1159.9999999999975</c:v>
                </c:pt>
                <c:pt idx="117">
                  <c:v>1169.9999999999975</c:v>
                </c:pt>
                <c:pt idx="118">
                  <c:v>1179.9999999999975</c:v>
                </c:pt>
                <c:pt idx="119">
                  <c:v>1189.9999999999973</c:v>
                </c:pt>
                <c:pt idx="120">
                  <c:v>1199.9999999999973</c:v>
                </c:pt>
                <c:pt idx="121">
                  <c:v>1209.9999999999973</c:v>
                </c:pt>
                <c:pt idx="122">
                  <c:v>1219.999999999997</c:v>
                </c:pt>
                <c:pt idx="123">
                  <c:v>1229.9999999999973</c:v>
                </c:pt>
                <c:pt idx="124">
                  <c:v>1239.999999999997</c:v>
                </c:pt>
                <c:pt idx="125">
                  <c:v>1249.9999999999973</c:v>
                </c:pt>
                <c:pt idx="126">
                  <c:v>1259.999999999997</c:v>
                </c:pt>
                <c:pt idx="127">
                  <c:v>1269.9999999999968</c:v>
                </c:pt>
                <c:pt idx="128">
                  <c:v>1279.9999999999968</c:v>
                </c:pt>
                <c:pt idx="129">
                  <c:v>1289.9999999999968</c:v>
                </c:pt>
                <c:pt idx="130">
                  <c:v>1299.999999999997</c:v>
                </c:pt>
                <c:pt idx="131">
                  <c:v>1309.999999999997</c:v>
                </c:pt>
                <c:pt idx="132">
                  <c:v>1319.999999999997</c:v>
                </c:pt>
                <c:pt idx="133">
                  <c:v>1329.9999999999968</c:v>
                </c:pt>
                <c:pt idx="134">
                  <c:v>1339.9999999999968</c:v>
                </c:pt>
                <c:pt idx="135">
                  <c:v>1349.9999999999968</c:v>
                </c:pt>
                <c:pt idx="136">
                  <c:v>1359.9999999999968</c:v>
                </c:pt>
                <c:pt idx="137">
                  <c:v>1369.9999999999968</c:v>
                </c:pt>
                <c:pt idx="138">
                  <c:v>1379.9999999999968</c:v>
                </c:pt>
                <c:pt idx="139">
                  <c:v>1389.9999999999968</c:v>
                </c:pt>
                <c:pt idx="140">
                  <c:v>1399.9999999999966</c:v>
                </c:pt>
                <c:pt idx="141">
                  <c:v>1409.9999999999966</c:v>
                </c:pt>
                <c:pt idx="142">
                  <c:v>1419.9999999999966</c:v>
                </c:pt>
                <c:pt idx="143">
                  <c:v>1429.9999999999966</c:v>
                </c:pt>
                <c:pt idx="144">
                  <c:v>1439.9999999999966</c:v>
                </c:pt>
                <c:pt idx="145">
                  <c:v>1449.9999999999966</c:v>
                </c:pt>
                <c:pt idx="146">
                  <c:v>1459.9999999999964</c:v>
                </c:pt>
                <c:pt idx="147">
                  <c:v>1469.9999999999961</c:v>
                </c:pt>
                <c:pt idx="148">
                  <c:v>1479.9999999999964</c:v>
                </c:pt>
                <c:pt idx="149">
                  <c:v>1489.9999999999961</c:v>
                </c:pt>
                <c:pt idx="150">
                  <c:v>1499.9999999999964</c:v>
                </c:pt>
                <c:pt idx="151">
                  <c:v>1509.9999999999961</c:v>
                </c:pt>
                <c:pt idx="152">
                  <c:v>1519.9999999999959</c:v>
                </c:pt>
                <c:pt idx="153">
                  <c:v>1529.9999999999961</c:v>
                </c:pt>
                <c:pt idx="154">
                  <c:v>1539.9999999999961</c:v>
                </c:pt>
                <c:pt idx="155">
                  <c:v>1549.9999999999961</c:v>
                </c:pt>
                <c:pt idx="156">
                  <c:v>1559.9999999999961</c:v>
                </c:pt>
                <c:pt idx="157">
                  <c:v>1569.9999999999961</c:v>
                </c:pt>
                <c:pt idx="158">
                  <c:v>1579.9999999999959</c:v>
                </c:pt>
                <c:pt idx="159">
                  <c:v>1589.9999999999959</c:v>
                </c:pt>
                <c:pt idx="160">
                  <c:v>1599.9999999999959</c:v>
                </c:pt>
                <c:pt idx="161">
                  <c:v>1609.9999999999959</c:v>
                </c:pt>
                <c:pt idx="162">
                  <c:v>1619.9999999999959</c:v>
                </c:pt>
                <c:pt idx="163">
                  <c:v>1629.9999999999961</c:v>
                </c:pt>
                <c:pt idx="164">
                  <c:v>1639.9999999999961</c:v>
                </c:pt>
                <c:pt idx="165">
                  <c:v>1649.9999999999964</c:v>
                </c:pt>
                <c:pt idx="166">
                  <c:v>1659.9999999999966</c:v>
                </c:pt>
                <c:pt idx="167">
                  <c:v>1669.9999999999968</c:v>
                </c:pt>
                <c:pt idx="168">
                  <c:v>1679.9999999999968</c:v>
                </c:pt>
                <c:pt idx="169">
                  <c:v>1689.999999999997</c:v>
                </c:pt>
                <c:pt idx="170">
                  <c:v>1699.999999999997</c:v>
                </c:pt>
                <c:pt idx="171">
                  <c:v>1709.9999999999973</c:v>
                </c:pt>
                <c:pt idx="172">
                  <c:v>1719.9999999999973</c:v>
                </c:pt>
                <c:pt idx="173">
                  <c:v>1729.9999999999977</c:v>
                </c:pt>
                <c:pt idx="174">
                  <c:v>1739.9999999999975</c:v>
                </c:pt>
                <c:pt idx="175">
                  <c:v>1749.999999999998</c:v>
                </c:pt>
                <c:pt idx="176">
                  <c:v>1759.999999999998</c:v>
                </c:pt>
                <c:pt idx="177">
                  <c:v>1769.9999999999982</c:v>
                </c:pt>
                <c:pt idx="178">
                  <c:v>1779.9999999999982</c:v>
                </c:pt>
                <c:pt idx="179">
                  <c:v>1789.9999999999984</c:v>
                </c:pt>
                <c:pt idx="180">
                  <c:v>1799.9999999999984</c:v>
                </c:pt>
                <c:pt idx="181">
                  <c:v>1809.9999999999986</c:v>
                </c:pt>
                <c:pt idx="182">
                  <c:v>1819.9999999999989</c:v>
                </c:pt>
                <c:pt idx="183">
                  <c:v>1829.9999999999991</c:v>
                </c:pt>
                <c:pt idx="184">
                  <c:v>1839.9999999999991</c:v>
                </c:pt>
                <c:pt idx="185">
                  <c:v>1849.9999999999993</c:v>
                </c:pt>
                <c:pt idx="186">
                  <c:v>1859.9999999999995</c:v>
                </c:pt>
                <c:pt idx="187">
                  <c:v>1869.9999999999995</c:v>
                </c:pt>
                <c:pt idx="188">
                  <c:v>1879.9999999999998</c:v>
                </c:pt>
                <c:pt idx="189">
                  <c:v>1889.9999999999998</c:v>
                </c:pt>
                <c:pt idx="190">
                  <c:v>1900</c:v>
                </c:pt>
                <c:pt idx="191">
                  <c:v>1910.0000000000002</c:v>
                </c:pt>
                <c:pt idx="192">
                  <c:v>1920.0000000000005</c:v>
                </c:pt>
                <c:pt idx="193">
                  <c:v>1930.0000000000005</c:v>
                </c:pt>
                <c:pt idx="194">
                  <c:v>1940.0000000000007</c:v>
                </c:pt>
                <c:pt idx="195">
                  <c:v>1950.0000000000007</c:v>
                </c:pt>
                <c:pt idx="196">
                  <c:v>1960.0000000000009</c:v>
                </c:pt>
                <c:pt idx="197">
                  <c:v>1970.0000000000009</c:v>
                </c:pt>
                <c:pt idx="198">
                  <c:v>1980.0000000000014</c:v>
                </c:pt>
                <c:pt idx="199">
                  <c:v>1990.0000000000011</c:v>
                </c:pt>
                <c:pt idx="200">
                  <c:v>2000.0000000000014</c:v>
                </c:pt>
                <c:pt idx="201">
                  <c:v>2010.0000000000016</c:v>
                </c:pt>
                <c:pt idx="202">
                  <c:v>2020.0000000000018</c:v>
                </c:pt>
                <c:pt idx="203">
                  <c:v>2030.000000000002</c:v>
                </c:pt>
                <c:pt idx="204">
                  <c:v>2040.0000000000023</c:v>
                </c:pt>
                <c:pt idx="205">
                  <c:v>2050.0000000000018</c:v>
                </c:pt>
                <c:pt idx="206">
                  <c:v>2060.0000000000023</c:v>
                </c:pt>
                <c:pt idx="207">
                  <c:v>2070.0000000000027</c:v>
                </c:pt>
                <c:pt idx="208">
                  <c:v>2080.0000000000027</c:v>
                </c:pt>
                <c:pt idx="209">
                  <c:v>2090.0000000000027</c:v>
                </c:pt>
                <c:pt idx="210">
                  <c:v>2100.0000000000032</c:v>
                </c:pt>
                <c:pt idx="211">
                  <c:v>2110.0000000000032</c:v>
                </c:pt>
                <c:pt idx="212">
                  <c:v>2120.0000000000027</c:v>
                </c:pt>
                <c:pt idx="213">
                  <c:v>2130.0000000000036</c:v>
                </c:pt>
                <c:pt idx="214">
                  <c:v>2140.0000000000032</c:v>
                </c:pt>
                <c:pt idx="215">
                  <c:v>2150.0000000000036</c:v>
                </c:pt>
                <c:pt idx="216">
                  <c:v>2160.0000000000036</c:v>
                </c:pt>
                <c:pt idx="217">
                  <c:v>2170.0000000000041</c:v>
                </c:pt>
                <c:pt idx="218">
                  <c:v>2180.0000000000036</c:v>
                </c:pt>
                <c:pt idx="219">
                  <c:v>2190.0000000000041</c:v>
                </c:pt>
                <c:pt idx="220">
                  <c:v>2200.0000000000041</c:v>
                </c:pt>
                <c:pt idx="221">
                  <c:v>2210.0000000000045</c:v>
                </c:pt>
                <c:pt idx="222">
                  <c:v>2220.0000000000045</c:v>
                </c:pt>
                <c:pt idx="223">
                  <c:v>2230.000000000005</c:v>
                </c:pt>
                <c:pt idx="224">
                  <c:v>2240.0000000000045</c:v>
                </c:pt>
                <c:pt idx="225">
                  <c:v>2250.000000000005</c:v>
                </c:pt>
                <c:pt idx="226">
                  <c:v>2260.000000000005</c:v>
                </c:pt>
                <c:pt idx="227">
                  <c:v>2270.0000000000055</c:v>
                </c:pt>
                <c:pt idx="228">
                  <c:v>2280.0000000000055</c:v>
                </c:pt>
                <c:pt idx="229">
                  <c:v>2290.0000000000059</c:v>
                </c:pt>
                <c:pt idx="230">
                  <c:v>2300.0000000000055</c:v>
                </c:pt>
                <c:pt idx="231">
                  <c:v>2310.0000000000059</c:v>
                </c:pt>
                <c:pt idx="232">
                  <c:v>2320.0000000000059</c:v>
                </c:pt>
                <c:pt idx="233">
                  <c:v>2330.0000000000064</c:v>
                </c:pt>
                <c:pt idx="234">
                  <c:v>2340.0000000000059</c:v>
                </c:pt>
                <c:pt idx="235">
                  <c:v>2350.0000000000068</c:v>
                </c:pt>
                <c:pt idx="236">
                  <c:v>2360.0000000000064</c:v>
                </c:pt>
                <c:pt idx="237">
                  <c:v>2370.0000000000064</c:v>
                </c:pt>
                <c:pt idx="238">
                  <c:v>2380.0000000000068</c:v>
                </c:pt>
                <c:pt idx="239">
                  <c:v>2390.0000000000068</c:v>
                </c:pt>
                <c:pt idx="240">
                  <c:v>2400.0000000000068</c:v>
                </c:pt>
                <c:pt idx="241">
                  <c:v>2410.0000000000073</c:v>
                </c:pt>
                <c:pt idx="242">
                  <c:v>2420.0000000000073</c:v>
                </c:pt>
                <c:pt idx="243">
                  <c:v>2430.0000000000073</c:v>
                </c:pt>
                <c:pt idx="244">
                  <c:v>2440.0000000000073</c:v>
                </c:pt>
                <c:pt idx="245">
                  <c:v>2450.0000000000077</c:v>
                </c:pt>
                <c:pt idx="246">
                  <c:v>2460.0000000000082</c:v>
                </c:pt>
                <c:pt idx="247">
                  <c:v>2470.0000000000082</c:v>
                </c:pt>
                <c:pt idx="248">
                  <c:v>2480.0000000000086</c:v>
                </c:pt>
                <c:pt idx="249">
                  <c:v>2490.0000000000082</c:v>
                </c:pt>
                <c:pt idx="250">
                  <c:v>2500.0000000000086</c:v>
                </c:pt>
                <c:pt idx="251">
                  <c:v>2510.0000000000086</c:v>
                </c:pt>
                <c:pt idx="252">
                  <c:v>2520.0000000000091</c:v>
                </c:pt>
                <c:pt idx="253">
                  <c:v>2530.0000000000091</c:v>
                </c:pt>
                <c:pt idx="254">
                  <c:v>2540.0000000000091</c:v>
                </c:pt>
                <c:pt idx="255">
                  <c:v>2550.0000000000095</c:v>
                </c:pt>
                <c:pt idx="256">
                  <c:v>2560.0000000000095</c:v>
                </c:pt>
                <c:pt idx="257">
                  <c:v>2570.0000000000095</c:v>
                </c:pt>
                <c:pt idx="258">
                  <c:v>2580.0000000000095</c:v>
                </c:pt>
                <c:pt idx="259">
                  <c:v>2590.00000000001</c:v>
                </c:pt>
                <c:pt idx="260">
                  <c:v>2600.0000000000105</c:v>
                </c:pt>
                <c:pt idx="261">
                  <c:v>2610.00000000001</c:v>
                </c:pt>
                <c:pt idx="262">
                  <c:v>2620.00000000001</c:v>
                </c:pt>
                <c:pt idx="263">
                  <c:v>2630.00000000001</c:v>
                </c:pt>
                <c:pt idx="264">
                  <c:v>2640.0000000000109</c:v>
                </c:pt>
                <c:pt idx="265">
                  <c:v>2650.0000000000105</c:v>
                </c:pt>
                <c:pt idx="266">
                  <c:v>2660.0000000000109</c:v>
                </c:pt>
                <c:pt idx="267">
                  <c:v>2670.0000000000105</c:v>
                </c:pt>
                <c:pt idx="268">
                  <c:v>2680.0000000000114</c:v>
                </c:pt>
                <c:pt idx="269">
                  <c:v>2690.0000000000109</c:v>
                </c:pt>
                <c:pt idx="270">
                  <c:v>2700.0000000000114</c:v>
                </c:pt>
                <c:pt idx="271">
                  <c:v>2710.0000000000114</c:v>
                </c:pt>
                <c:pt idx="272">
                  <c:v>2720.0000000000118</c:v>
                </c:pt>
                <c:pt idx="273">
                  <c:v>2730.0000000000118</c:v>
                </c:pt>
                <c:pt idx="274">
                  <c:v>2740.0000000000118</c:v>
                </c:pt>
                <c:pt idx="275">
                  <c:v>2750.0000000000118</c:v>
                </c:pt>
                <c:pt idx="276">
                  <c:v>2760.0000000000123</c:v>
                </c:pt>
                <c:pt idx="277">
                  <c:v>2770.0000000000123</c:v>
                </c:pt>
                <c:pt idx="278">
                  <c:v>2780.0000000000127</c:v>
                </c:pt>
                <c:pt idx="279">
                  <c:v>2790.0000000000123</c:v>
                </c:pt>
                <c:pt idx="280">
                  <c:v>2800.0000000000132</c:v>
                </c:pt>
                <c:pt idx="281">
                  <c:v>2810.0000000000127</c:v>
                </c:pt>
                <c:pt idx="282">
                  <c:v>2820.0000000000132</c:v>
                </c:pt>
                <c:pt idx="283">
                  <c:v>2830.0000000000127</c:v>
                </c:pt>
                <c:pt idx="284">
                  <c:v>2840.0000000000136</c:v>
                </c:pt>
                <c:pt idx="285">
                  <c:v>2850.0000000000136</c:v>
                </c:pt>
                <c:pt idx="286">
                  <c:v>2860.0000000000136</c:v>
                </c:pt>
                <c:pt idx="287">
                  <c:v>2870.0000000000136</c:v>
                </c:pt>
                <c:pt idx="288">
                  <c:v>2880.0000000000136</c:v>
                </c:pt>
                <c:pt idx="289">
                  <c:v>2890.0000000000146</c:v>
                </c:pt>
                <c:pt idx="290">
                  <c:v>2900.0000000000141</c:v>
                </c:pt>
                <c:pt idx="291">
                  <c:v>2910.0000000000146</c:v>
                </c:pt>
                <c:pt idx="292">
                  <c:v>2920.0000000000141</c:v>
                </c:pt>
                <c:pt idx="293">
                  <c:v>2930.000000000015</c:v>
                </c:pt>
                <c:pt idx="294">
                  <c:v>2940.0000000000146</c:v>
                </c:pt>
                <c:pt idx="295">
                  <c:v>2950.000000000015</c:v>
                </c:pt>
                <c:pt idx="296">
                  <c:v>2960.000000000015</c:v>
                </c:pt>
                <c:pt idx="297">
                  <c:v>2970.0000000000155</c:v>
                </c:pt>
                <c:pt idx="298">
                  <c:v>2980.0000000000155</c:v>
                </c:pt>
                <c:pt idx="299">
                  <c:v>2990.0000000000155</c:v>
                </c:pt>
                <c:pt idx="300">
                  <c:v>3000.0000000000155</c:v>
                </c:pt>
                <c:pt idx="301">
                  <c:v>3010.0000000000159</c:v>
                </c:pt>
                <c:pt idx="302">
                  <c:v>3020.0000000000159</c:v>
                </c:pt>
                <c:pt idx="303">
                  <c:v>3030.0000000000164</c:v>
                </c:pt>
                <c:pt idx="304">
                  <c:v>3040.0000000000159</c:v>
                </c:pt>
                <c:pt idx="305">
                  <c:v>3050.0000000000168</c:v>
                </c:pt>
                <c:pt idx="306">
                  <c:v>3060.0000000000164</c:v>
                </c:pt>
                <c:pt idx="307">
                  <c:v>3070.0000000000168</c:v>
                </c:pt>
                <c:pt idx="308">
                  <c:v>3080.0000000000164</c:v>
                </c:pt>
                <c:pt idx="309">
                  <c:v>3090.0000000000173</c:v>
                </c:pt>
                <c:pt idx="310">
                  <c:v>3100.0000000000173</c:v>
                </c:pt>
                <c:pt idx="311">
                  <c:v>3110.0000000000173</c:v>
                </c:pt>
                <c:pt idx="312">
                  <c:v>3120.0000000000168</c:v>
                </c:pt>
                <c:pt idx="313">
                  <c:v>3130.0000000000173</c:v>
                </c:pt>
                <c:pt idx="314">
                  <c:v>3140.0000000000177</c:v>
                </c:pt>
                <c:pt idx="315">
                  <c:v>3150.0000000000177</c:v>
                </c:pt>
                <c:pt idx="316">
                  <c:v>3160.0000000000177</c:v>
                </c:pt>
                <c:pt idx="317">
                  <c:v>3170.0000000000177</c:v>
                </c:pt>
                <c:pt idx="318">
                  <c:v>3180.0000000000182</c:v>
                </c:pt>
                <c:pt idx="319">
                  <c:v>3190.0000000000182</c:v>
                </c:pt>
                <c:pt idx="320">
                  <c:v>3200.0000000000182</c:v>
                </c:pt>
                <c:pt idx="321">
                  <c:v>3210.0000000000186</c:v>
                </c:pt>
                <c:pt idx="322">
                  <c:v>3220.0000000000186</c:v>
                </c:pt>
                <c:pt idx="323">
                  <c:v>3230.0000000000191</c:v>
                </c:pt>
                <c:pt idx="324">
                  <c:v>3240.0000000000186</c:v>
                </c:pt>
                <c:pt idx="325">
                  <c:v>3250.0000000000191</c:v>
                </c:pt>
                <c:pt idx="326">
                  <c:v>3260.0000000000191</c:v>
                </c:pt>
                <c:pt idx="327">
                  <c:v>3270.0000000000196</c:v>
                </c:pt>
                <c:pt idx="328">
                  <c:v>3280.00000000002</c:v>
                </c:pt>
                <c:pt idx="329">
                  <c:v>3290.0000000000196</c:v>
                </c:pt>
                <c:pt idx="330">
                  <c:v>3300.0000000000205</c:v>
                </c:pt>
                <c:pt idx="331">
                  <c:v>3310.00000000002</c:v>
                </c:pt>
                <c:pt idx="332">
                  <c:v>3320.0000000000205</c:v>
                </c:pt>
                <c:pt idx="333">
                  <c:v>3330.00000000002</c:v>
                </c:pt>
                <c:pt idx="334">
                  <c:v>3340.0000000000209</c:v>
                </c:pt>
                <c:pt idx="335">
                  <c:v>3350.0000000000209</c:v>
                </c:pt>
                <c:pt idx="336">
                  <c:v>3360.0000000000209</c:v>
                </c:pt>
                <c:pt idx="337">
                  <c:v>3370.0000000000205</c:v>
                </c:pt>
                <c:pt idx="338">
                  <c:v>3380.0000000000209</c:v>
                </c:pt>
                <c:pt idx="339">
                  <c:v>3390.0000000000214</c:v>
                </c:pt>
                <c:pt idx="340">
                  <c:v>3400.0000000000214</c:v>
                </c:pt>
                <c:pt idx="341">
                  <c:v>3410.0000000000214</c:v>
                </c:pt>
                <c:pt idx="342">
                  <c:v>3420.0000000000214</c:v>
                </c:pt>
                <c:pt idx="343">
                  <c:v>3430.0000000000218</c:v>
                </c:pt>
                <c:pt idx="344">
                  <c:v>3440.0000000000218</c:v>
                </c:pt>
                <c:pt idx="345">
                  <c:v>3450.0000000000218</c:v>
                </c:pt>
                <c:pt idx="346">
                  <c:v>3460.0000000000223</c:v>
                </c:pt>
                <c:pt idx="347">
                  <c:v>3470.0000000000223</c:v>
                </c:pt>
                <c:pt idx="348">
                  <c:v>3480.0000000000227</c:v>
                </c:pt>
                <c:pt idx="349">
                  <c:v>3490.0000000000223</c:v>
                </c:pt>
                <c:pt idx="350">
                  <c:v>3500.0000000000227</c:v>
                </c:pt>
                <c:pt idx="351">
                  <c:v>3510.0000000000227</c:v>
                </c:pt>
                <c:pt idx="352">
                  <c:v>3520.0000000000232</c:v>
                </c:pt>
                <c:pt idx="353">
                  <c:v>3530.0000000000232</c:v>
                </c:pt>
                <c:pt idx="354">
                  <c:v>3540.0000000000232</c:v>
                </c:pt>
                <c:pt idx="355">
                  <c:v>3550.0000000000236</c:v>
                </c:pt>
                <c:pt idx="356">
                  <c:v>3560.0000000000236</c:v>
                </c:pt>
                <c:pt idx="357">
                  <c:v>3570.0000000000236</c:v>
                </c:pt>
                <c:pt idx="358">
                  <c:v>3580.0000000000236</c:v>
                </c:pt>
                <c:pt idx="359">
                  <c:v>3590.0000000000241</c:v>
                </c:pt>
                <c:pt idx="360">
                  <c:v>3600.0000000000246</c:v>
                </c:pt>
                <c:pt idx="361">
                  <c:v>3610.0000000000241</c:v>
                </c:pt>
                <c:pt idx="362">
                  <c:v>3620.0000000000241</c:v>
                </c:pt>
                <c:pt idx="363">
                  <c:v>3630.0000000000241</c:v>
                </c:pt>
                <c:pt idx="364">
                  <c:v>3640.000000000025</c:v>
                </c:pt>
                <c:pt idx="365">
                  <c:v>3650.0000000000246</c:v>
                </c:pt>
                <c:pt idx="366">
                  <c:v>3660.000000000025</c:v>
                </c:pt>
                <c:pt idx="367">
                  <c:v>3670.000000000025</c:v>
                </c:pt>
                <c:pt idx="368">
                  <c:v>3680.0000000000255</c:v>
                </c:pt>
                <c:pt idx="369">
                  <c:v>3690.0000000000255</c:v>
                </c:pt>
                <c:pt idx="370">
                  <c:v>3700.0000000000255</c:v>
                </c:pt>
                <c:pt idx="371">
                  <c:v>3710.0000000000259</c:v>
                </c:pt>
                <c:pt idx="372">
                  <c:v>3720.0000000000259</c:v>
                </c:pt>
                <c:pt idx="373">
                  <c:v>3730.0000000000264</c:v>
                </c:pt>
                <c:pt idx="374">
                  <c:v>3740.0000000000259</c:v>
                </c:pt>
                <c:pt idx="375">
                  <c:v>3750.0000000000264</c:v>
                </c:pt>
                <c:pt idx="376">
                  <c:v>3760.0000000000264</c:v>
                </c:pt>
                <c:pt idx="377">
                  <c:v>3770.0000000000268</c:v>
                </c:pt>
                <c:pt idx="378">
                  <c:v>3780.0000000000268</c:v>
                </c:pt>
                <c:pt idx="379">
                  <c:v>3790.0000000000268</c:v>
                </c:pt>
                <c:pt idx="380">
                  <c:v>3800.0000000000273</c:v>
                </c:pt>
                <c:pt idx="381">
                  <c:v>3810.0000000000273</c:v>
                </c:pt>
                <c:pt idx="382">
                  <c:v>3820.0000000000273</c:v>
                </c:pt>
                <c:pt idx="383">
                  <c:v>3830.0000000000273</c:v>
                </c:pt>
                <c:pt idx="384">
                  <c:v>3840.0000000000277</c:v>
                </c:pt>
                <c:pt idx="385">
                  <c:v>3850.0000000000282</c:v>
                </c:pt>
                <c:pt idx="386">
                  <c:v>3860.0000000000277</c:v>
                </c:pt>
                <c:pt idx="387">
                  <c:v>3870.0000000000277</c:v>
                </c:pt>
                <c:pt idx="388">
                  <c:v>3880.0000000000277</c:v>
                </c:pt>
                <c:pt idx="389">
                  <c:v>3890.0000000000286</c:v>
                </c:pt>
                <c:pt idx="390">
                  <c:v>3900.0000000000282</c:v>
                </c:pt>
                <c:pt idx="391">
                  <c:v>3910.0000000000286</c:v>
                </c:pt>
                <c:pt idx="392">
                  <c:v>3920.0000000000282</c:v>
                </c:pt>
                <c:pt idx="393">
                  <c:v>3930.0000000000291</c:v>
                </c:pt>
                <c:pt idx="394">
                  <c:v>3940.0000000000286</c:v>
                </c:pt>
                <c:pt idx="395">
                  <c:v>3950.0000000000291</c:v>
                </c:pt>
                <c:pt idx="396">
                  <c:v>3960.0000000000291</c:v>
                </c:pt>
                <c:pt idx="397">
                  <c:v>3970.0000000000296</c:v>
                </c:pt>
                <c:pt idx="398">
                  <c:v>3980.0000000000296</c:v>
                </c:pt>
                <c:pt idx="399">
                  <c:v>3990.0000000000296</c:v>
                </c:pt>
                <c:pt idx="400">
                  <c:v>4000.0000000000291</c:v>
                </c:pt>
                <c:pt idx="401">
                  <c:v>4010.00000000003</c:v>
                </c:pt>
                <c:pt idx="402">
                  <c:v>4020.0000000000296</c:v>
                </c:pt>
                <c:pt idx="403">
                  <c:v>4030.0000000000305</c:v>
                </c:pt>
                <c:pt idx="404">
                  <c:v>4040.00000000003</c:v>
                </c:pt>
                <c:pt idx="405">
                  <c:v>4050.0000000000309</c:v>
                </c:pt>
                <c:pt idx="406">
                  <c:v>4060.0000000000309</c:v>
                </c:pt>
                <c:pt idx="407">
                  <c:v>4070.0000000000305</c:v>
                </c:pt>
                <c:pt idx="408">
                  <c:v>4080.0000000000314</c:v>
                </c:pt>
                <c:pt idx="409">
                  <c:v>4090.0000000000318</c:v>
                </c:pt>
                <c:pt idx="410">
                  <c:v>4100.0000000000318</c:v>
                </c:pt>
                <c:pt idx="411">
                  <c:v>4110.0000000000318</c:v>
                </c:pt>
                <c:pt idx="412">
                  <c:v>4120.0000000000309</c:v>
                </c:pt>
                <c:pt idx="413">
                  <c:v>4130.0000000000309</c:v>
                </c:pt>
                <c:pt idx="414">
                  <c:v>4140.0000000000318</c:v>
                </c:pt>
                <c:pt idx="415">
                  <c:v>4150.0000000000327</c:v>
                </c:pt>
                <c:pt idx="416">
                  <c:v>4160.0000000000318</c:v>
                </c:pt>
                <c:pt idx="417">
                  <c:v>4170.0000000000318</c:v>
                </c:pt>
                <c:pt idx="418">
                  <c:v>4180.0000000000327</c:v>
                </c:pt>
                <c:pt idx="419">
                  <c:v>4190.0000000000327</c:v>
                </c:pt>
                <c:pt idx="420">
                  <c:v>4200.0000000000327</c:v>
                </c:pt>
                <c:pt idx="421">
                  <c:v>4210.0000000000327</c:v>
                </c:pt>
                <c:pt idx="422">
                  <c:v>4220.0000000000337</c:v>
                </c:pt>
                <c:pt idx="423">
                  <c:v>4230.0000000000337</c:v>
                </c:pt>
                <c:pt idx="424">
                  <c:v>4240.0000000000327</c:v>
                </c:pt>
                <c:pt idx="425">
                  <c:v>4250.0000000000327</c:v>
                </c:pt>
                <c:pt idx="426">
                  <c:v>4260.0000000000337</c:v>
                </c:pt>
                <c:pt idx="427">
                  <c:v>4270.0000000000337</c:v>
                </c:pt>
                <c:pt idx="428">
                  <c:v>4280.0000000000337</c:v>
                </c:pt>
                <c:pt idx="429">
                  <c:v>4290.0000000000337</c:v>
                </c:pt>
                <c:pt idx="430">
                  <c:v>4300.0000000000346</c:v>
                </c:pt>
                <c:pt idx="431">
                  <c:v>4310.0000000000346</c:v>
                </c:pt>
                <c:pt idx="432">
                  <c:v>4320.0000000000337</c:v>
                </c:pt>
                <c:pt idx="433">
                  <c:v>4330.0000000000346</c:v>
                </c:pt>
                <c:pt idx="434">
                  <c:v>4340.0000000000355</c:v>
                </c:pt>
                <c:pt idx="435">
                  <c:v>4350.0000000000355</c:v>
                </c:pt>
                <c:pt idx="436">
                  <c:v>4360.0000000000346</c:v>
                </c:pt>
                <c:pt idx="437">
                  <c:v>4370.0000000000346</c:v>
                </c:pt>
                <c:pt idx="438">
                  <c:v>4380.0000000000346</c:v>
                </c:pt>
                <c:pt idx="439">
                  <c:v>4390.0000000000355</c:v>
                </c:pt>
                <c:pt idx="440">
                  <c:v>4400.0000000000355</c:v>
                </c:pt>
                <c:pt idx="441">
                  <c:v>4410.0000000000355</c:v>
                </c:pt>
                <c:pt idx="442">
                  <c:v>4420.0000000000355</c:v>
                </c:pt>
                <c:pt idx="443">
                  <c:v>4430.0000000000364</c:v>
                </c:pt>
                <c:pt idx="444">
                  <c:v>4440.0000000000355</c:v>
                </c:pt>
                <c:pt idx="445">
                  <c:v>4450.0000000000364</c:v>
                </c:pt>
                <c:pt idx="446">
                  <c:v>4460.0000000000364</c:v>
                </c:pt>
                <c:pt idx="447">
                  <c:v>4470.0000000000373</c:v>
                </c:pt>
                <c:pt idx="448">
                  <c:v>4480.0000000000373</c:v>
                </c:pt>
                <c:pt idx="449">
                  <c:v>4490.0000000000364</c:v>
                </c:pt>
                <c:pt idx="450">
                  <c:v>4500.0000000000364</c:v>
                </c:pt>
                <c:pt idx="451">
                  <c:v>4510.0000000000373</c:v>
                </c:pt>
                <c:pt idx="452">
                  <c:v>4520.0000000000373</c:v>
                </c:pt>
                <c:pt idx="453">
                  <c:v>4530.0000000000373</c:v>
                </c:pt>
                <c:pt idx="454">
                  <c:v>4540.0000000000373</c:v>
                </c:pt>
                <c:pt idx="455">
                  <c:v>4550.0000000000382</c:v>
                </c:pt>
                <c:pt idx="456">
                  <c:v>4560.0000000000382</c:v>
                </c:pt>
                <c:pt idx="457">
                  <c:v>4570.0000000000373</c:v>
                </c:pt>
                <c:pt idx="458">
                  <c:v>4580.0000000000382</c:v>
                </c:pt>
                <c:pt idx="459">
                  <c:v>4590.0000000000391</c:v>
                </c:pt>
                <c:pt idx="460">
                  <c:v>4600.0000000000391</c:v>
                </c:pt>
                <c:pt idx="461">
                  <c:v>4610.0000000000382</c:v>
                </c:pt>
                <c:pt idx="462">
                  <c:v>4620.0000000000382</c:v>
                </c:pt>
                <c:pt idx="463">
                  <c:v>4630.0000000000382</c:v>
                </c:pt>
                <c:pt idx="464">
                  <c:v>4640.0000000000391</c:v>
                </c:pt>
                <c:pt idx="465">
                  <c:v>4650.0000000000391</c:v>
                </c:pt>
                <c:pt idx="466">
                  <c:v>4660.0000000000391</c:v>
                </c:pt>
                <c:pt idx="467">
                  <c:v>4670.0000000000391</c:v>
                </c:pt>
                <c:pt idx="468">
                  <c:v>4680.00000000004</c:v>
                </c:pt>
                <c:pt idx="469">
                  <c:v>4690.0000000000391</c:v>
                </c:pt>
                <c:pt idx="470">
                  <c:v>4700.00000000004</c:v>
                </c:pt>
                <c:pt idx="471">
                  <c:v>4710.00000000004</c:v>
                </c:pt>
                <c:pt idx="472">
                  <c:v>4720.0000000000409</c:v>
                </c:pt>
                <c:pt idx="473">
                  <c:v>4730.00000000004</c:v>
                </c:pt>
                <c:pt idx="474">
                  <c:v>4740.00000000004</c:v>
                </c:pt>
                <c:pt idx="475">
                  <c:v>4750.00000000004</c:v>
                </c:pt>
                <c:pt idx="476">
                  <c:v>4760.0000000000409</c:v>
                </c:pt>
                <c:pt idx="477">
                  <c:v>4770.00000000004</c:v>
                </c:pt>
                <c:pt idx="478">
                  <c:v>4780.0000000000409</c:v>
                </c:pt>
                <c:pt idx="479">
                  <c:v>4790.0000000000409</c:v>
                </c:pt>
                <c:pt idx="480">
                  <c:v>4800.0000000000418</c:v>
                </c:pt>
                <c:pt idx="481">
                  <c:v>4810.0000000000409</c:v>
                </c:pt>
                <c:pt idx="482">
                  <c:v>4820.0000000000409</c:v>
                </c:pt>
                <c:pt idx="483">
                  <c:v>4830.0000000000418</c:v>
                </c:pt>
                <c:pt idx="484">
                  <c:v>4840.0000000000427</c:v>
                </c:pt>
                <c:pt idx="485">
                  <c:v>4850.0000000000418</c:v>
                </c:pt>
                <c:pt idx="486">
                  <c:v>4860.0000000000418</c:v>
                </c:pt>
                <c:pt idx="487">
                  <c:v>4870.0000000000418</c:v>
                </c:pt>
                <c:pt idx="488">
                  <c:v>4880.0000000000418</c:v>
                </c:pt>
                <c:pt idx="489">
                  <c:v>4890.0000000000427</c:v>
                </c:pt>
                <c:pt idx="490">
                  <c:v>4900.0000000000427</c:v>
                </c:pt>
                <c:pt idx="491">
                  <c:v>4910.0000000000427</c:v>
                </c:pt>
                <c:pt idx="492">
                  <c:v>4920.0000000000427</c:v>
                </c:pt>
                <c:pt idx="493">
                  <c:v>4930.0000000000437</c:v>
                </c:pt>
                <c:pt idx="494">
                  <c:v>4940.0000000000427</c:v>
                </c:pt>
                <c:pt idx="495">
                  <c:v>4950.0000000000437</c:v>
                </c:pt>
                <c:pt idx="496">
                  <c:v>4960.0000000000437</c:v>
                </c:pt>
                <c:pt idx="497">
                  <c:v>4970.0000000000446</c:v>
                </c:pt>
                <c:pt idx="498">
                  <c:v>4980.0000000000437</c:v>
                </c:pt>
                <c:pt idx="499">
                  <c:v>4990.0000000000437</c:v>
                </c:pt>
                <c:pt idx="500">
                  <c:v>5000.0000000000446</c:v>
                </c:pt>
                <c:pt idx="501">
                  <c:v>5010.0000000000446</c:v>
                </c:pt>
                <c:pt idx="502">
                  <c:v>5020.0000000000437</c:v>
                </c:pt>
                <c:pt idx="503">
                  <c:v>5030.0000000000446</c:v>
                </c:pt>
                <c:pt idx="504">
                  <c:v>5040.0000000000446</c:v>
                </c:pt>
                <c:pt idx="505">
                  <c:v>5050.0000000000446</c:v>
                </c:pt>
                <c:pt idx="506">
                  <c:v>5060.0000000000446</c:v>
                </c:pt>
                <c:pt idx="507">
                  <c:v>5070.0000000000455</c:v>
                </c:pt>
                <c:pt idx="508">
                  <c:v>5080.0000000000455</c:v>
                </c:pt>
                <c:pt idx="509">
                  <c:v>5090.0000000000464</c:v>
                </c:pt>
                <c:pt idx="510">
                  <c:v>5100.0000000000455</c:v>
                </c:pt>
                <c:pt idx="511">
                  <c:v>5110.0000000000455</c:v>
                </c:pt>
                <c:pt idx="512">
                  <c:v>5120.0000000000455</c:v>
                </c:pt>
                <c:pt idx="513">
                  <c:v>5130.0000000000455</c:v>
                </c:pt>
                <c:pt idx="514">
                  <c:v>5140.0000000000455</c:v>
                </c:pt>
                <c:pt idx="515">
                  <c:v>5150.0000000000455</c:v>
                </c:pt>
                <c:pt idx="516">
                  <c:v>5160.0000000000464</c:v>
                </c:pt>
                <c:pt idx="517">
                  <c:v>5170.0000000000473</c:v>
                </c:pt>
                <c:pt idx="518">
                  <c:v>5180.0000000000464</c:v>
                </c:pt>
                <c:pt idx="519">
                  <c:v>5190.0000000000464</c:v>
                </c:pt>
                <c:pt idx="520">
                  <c:v>5200.0000000000473</c:v>
                </c:pt>
                <c:pt idx="521">
                  <c:v>5210.0000000000473</c:v>
                </c:pt>
                <c:pt idx="522">
                  <c:v>5220.0000000000464</c:v>
                </c:pt>
                <c:pt idx="523">
                  <c:v>5230.0000000000464</c:v>
                </c:pt>
                <c:pt idx="524">
                  <c:v>5240.0000000000482</c:v>
                </c:pt>
                <c:pt idx="525">
                  <c:v>5250.0000000000482</c:v>
                </c:pt>
                <c:pt idx="526">
                  <c:v>5260.0000000000473</c:v>
                </c:pt>
                <c:pt idx="527">
                  <c:v>5270.0000000000473</c:v>
                </c:pt>
                <c:pt idx="528">
                  <c:v>5280.0000000000482</c:v>
                </c:pt>
                <c:pt idx="529">
                  <c:v>5290.0000000000482</c:v>
                </c:pt>
                <c:pt idx="530">
                  <c:v>5300.0000000000482</c:v>
                </c:pt>
                <c:pt idx="531">
                  <c:v>5310.0000000000482</c:v>
                </c:pt>
                <c:pt idx="532">
                  <c:v>5320.0000000000491</c:v>
                </c:pt>
                <c:pt idx="533">
                  <c:v>5330.0000000000491</c:v>
                </c:pt>
                <c:pt idx="534">
                  <c:v>5340.00000000005</c:v>
                </c:pt>
                <c:pt idx="535">
                  <c:v>5350.0000000000491</c:v>
                </c:pt>
                <c:pt idx="536">
                  <c:v>5360.0000000000491</c:v>
                </c:pt>
                <c:pt idx="537">
                  <c:v>5370.0000000000491</c:v>
                </c:pt>
                <c:pt idx="538">
                  <c:v>5380.0000000000491</c:v>
                </c:pt>
                <c:pt idx="539">
                  <c:v>5390.0000000000491</c:v>
                </c:pt>
                <c:pt idx="540">
                  <c:v>5400.0000000000491</c:v>
                </c:pt>
                <c:pt idx="541">
                  <c:v>5410.00000000005</c:v>
                </c:pt>
                <c:pt idx="542">
                  <c:v>5420.0000000000509</c:v>
                </c:pt>
                <c:pt idx="543">
                  <c:v>5430.00000000005</c:v>
                </c:pt>
                <c:pt idx="544">
                  <c:v>5440.00000000005</c:v>
                </c:pt>
                <c:pt idx="545">
                  <c:v>5450.0000000000509</c:v>
                </c:pt>
                <c:pt idx="546">
                  <c:v>5460.0000000000509</c:v>
                </c:pt>
                <c:pt idx="547">
                  <c:v>5470.00000000005</c:v>
                </c:pt>
                <c:pt idx="548">
                  <c:v>5480.00000000005</c:v>
                </c:pt>
                <c:pt idx="549">
                  <c:v>5490.0000000000518</c:v>
                </c:pt>
                <c:pt idx="550">
                  <c:v>5500.0000000000518</c:v>
                </c:pt>
                <c:pt idx="551">
                  <c:v>5510.0000000000509</c:v>
                </c:pt>
                <c:pt idx="552">
                  <c:v>5520.0000000000509</c:v>
                </c:pt>
                <c:pt idx="553">
                  <c:v>5530.0000000000518</c:v>
                </c:pt>
                <c:pt idx="554">
                  <c:v>5540.0000000000518</c:v>
                </c:pt>
                <c:pt idx="555">
                  <c:v>5550.0000000000509</c:v>
                </c:pt>
                <c:pt idx="556">
                  <c:v>5560.0000000000518</c:v>
                </c:pt>
                <c:pt idx="557">
                  <c:v>5570.0000000000528</c:v>
                </c:pt>
                <c:pt idx="558">
                  <c:v>5580.0000000000528</c:v>
                </c:pt>
                <c:pt idx="559">
                  <c:v>5590.0000000000528</c:v>
                </c:pt>
                <c:pt idx="560">
                  <c:v>5600.0000000000528</c:v>
                </c:pt>
                <c:pt idx="561">
                  <c:v>5610.0000000000528</c:v>
                </c:pt>
                <c:pt idx="562">
                  <c:v>5620.0000000000528</c:v>
                </c:pt>
                <c:pt idx="563">
                  <c:v>5630.0000000000528</c:v>
                </c:pt>
                <c:pt idx="564">
                  <c:v>5640.0000000000528</c:v>
                </c:pt>
                <c:pt idx="565">
                  <c:v>5650.0000000000528</c:v>
                </c:pt>
                <c:pt idx="566">
                  <c:v>5660.0000000000537</c:v>
                </c:pt>
                <c:pt idx="567">
                  <c:v>5670.0000000000537</c:v>
                </c:pt>
                <c:pt idx="568">
                  <c:v>5680.0000000000537</c:v>
                </c:pt>
                <c:pt idx="569">
                  <c:v>5690.0000000000537</c:v>
                </c:pt>
                <c:pt idx="570">
                  <c:v>5700.0000000000546</c:v>
                </c:pt>
                <c:pt idx="571">
                  <c:v>5710.0000000000546</c:v>
                </c:pt>
                <c:pt idx="572">
                  <c:v>5720.0000000000537</c:v>
                </c:pt>
                <c:pt idx="573">
                  <c:v>5730.0000000000537</c:v>
                </c:pt>
                <c:pt idx="574">
                  <c:v>5740.0000000000555</c:v>
                </c:pt>
                <c:pt idx="575">
                  <c:v>5750.0000000000555</c:v>
                </c:pt>
                <c:pt idx="576">
                  <c:v>5760.0000000000546</c:v>
                </c:pt>
                <c:pt idx="577">
                  <c:v>5770.0000000000546</c:v>
                </c:pt>
                <c:pt idx="578">
                  <c:v>5780.0000000000555</c:v>
                </c:pt>
                <c:pt idx="579">
                  <c:v>5790.0000000000555</c:v>
                </c:pt>
                <c:pt idx="580">
                  <c:v>5800.0000000000546</c:v>
                </c:pt>
                <c:pt idx="581">
                  <c:v>5810.0000000000555</c:v>
                </c:pt>
                <c:pt idx="582">
                  <c:v>5820.0000000000564</c:v>
                </c:pt>
                <c:pt idx="583">
                  <c:v>5830.0000000000564</c:v>
                </c:pt>
                <c:pt idx="584">
                  <c:v>5840.0000000000564</c:v>
                </c:pt>
                <c:pt idx="585">
                  <c:v>5850.0000000000564</c:v>
                </c:pt>
                <c:pt idx="586">
                  <c:v>5860.0000000000564</c:v>
                </c:pt>
                <c:pt idx="587">
                  <c:v>5870.0000000000564</c:v>
                </c:pt>
                <c:pt idx="588">
                  <c:v>5880.0000000000555</c:v>
                </c:pt>
                <c:pt idx="589">
                  <c:v>5890.0000000000564</c:v>
                </c:pt>
                <c:pt idx="590">
                  <c:v>5900.0000000000564</c:v>
                </c:pt>
                <c:pt idx="591">
                  <c:v>5910.0000000000573</c:v>
                </c:pt>
                <c:pt idx="592">
                  <c:v>5920.0000000000573</c:v>
                </c:pt>
                <c:pt idx="593">
                  <c:v>5930.0000000000573</c:v>
                </c:pt>
                <c:pt idx="594">
                  <c:v>5940.0000000000573</c:v>
                </c:pt>
                <c:pt idx="595">
                  <c:v>5950.0000000000582</c:v>
                </c:pt>
                <c:pt idx="596">
                  <c:v>5960.0000000000573</c:v>
                </c:pt>
                <c:pt idx="597">
                  <c:v>5970.0000000000573</c:v>
                </c:pt>
                <c:pt idx="598">
                  <c:v>5980.0000000000573</c:v>
                </c:pt>
                <c:pt idx="599">
                  <c:v>5990.0000000000591</c:v>
                </c:pt>
                <c:pt idx="600">
                  <c:v>6000.0000000000582</c:v>
                </c:pt>
                <c:pt idx="601">
                  <c:v>6010.0000000000582</c:v>
                </c:pt>
                <c:pt idx="602">
                  <c:v>6020.0000000000582</c:v>
                </c:pt>
                <c:pt idx="603">
                  <c:v>6030.0000000000591</c:v>
                </c:pt>
                <c:pt idx="604">
                  <c:v>6040.0000000000582</c:v>
                </c:pt>
                <c:pt idx="605">
                  <c:v>6050.0000000000582</c:v>
                </c:pt>
                <c:pt idx="606">
                  <c:v>6060.0000000000591</c:v>
                </c:pt>
                <c:pt idx="607">
                  <c:v>6070.00000000006</c:v>
                </c:pt>
                <c:pt idx="608">
                  <c:v>6080.00000000006</c:v>
                </c:pt>
                <c:pt idx="609">
                  <c:v>6090.00000000006</c:v>
                </c:pt>
                <c:pt idx="610">
                  <c:v>6100.00000000006</c:v>
                </c:pt>
                <c:pt idx="611">
                  <c:v>6110.00000000006</c:v>
                </c:pt>
                <c:pt idx="612">
                  <c:v>6120.00000000006</c:v>
                </c:pt>
                <c:pt idx="613">
                  <c:v>6130.0000000000591</c:v>
                </c:pt>
                <c:pt idx="614">
                  <c:v>6140.00000000006</c:v>
                </c:pt>
                <c:pt idx="615">
                  <c:v>6150.00000000006</c:v>
                </c:pt>
                <c:pt idx="616">
                  <c:v>6160.0000000000609</c:v>
                </c:pt>
                <c:pt idx="617">
                  <c:v>6170.0000000000609</c:v>
                </c:pt>
                <c:pt idx="618">
                  <c:v>6180.0000000000609</c:v>
                </c:pt>
                <c:pt idx="619">
                  <c:v>6190.0000000000609</c:v>
                </c:pt>
                <c:pt idx="620">
                  <c:v>6200.0000000000618</c:v>
                </c:pt>
                <c:pt idx="621">
                  <c:v>6210.0000000000609</c:v>
                </c:pt>
                <c:pt idx="622">
                  <c:v>6220.0000000000609</c:v>
                </c:pt>
                <c:pt idx="623">
                  <c:v>6230.0000000000609</c:v>
                </c:pt>
                <c:pt idx="624">
                  <c:v>6240.0000000000628</c:v>
                </c:pt>
                <c:pt idx="625">
                  <c:v>6250.0000000000618</c:v>
                </c:pt>
                <c:pt idx="626">
                  <c:v>6260.0000000000618</c:v>
                </c:pt>
                <c:pt idx="627">
                  <c:v>6270.0000000000618</c:v>
                </c:pt>
                <c:pt idx="628">
                  <c:v>6280.0000000000628</c:v>
                </c:pt>
                <c:pt idx="629">
                  <c:v>6290.0000000000618</c:v>
                </c:pt>
                <c:pt idx="630">
                  <c:v>6300.0000000000618</c:v>
                </c:pt>
                <c:pt idx="631">
                  <c:v>6310.0000000000628</c:v>
                </c:pt>
                <c:pt idx="632">
                  <c:v>6320.0000000000637</c:v>
                </c:pt>
                <c:pt idx="633">
                  <c:v>6330.0000000000628</c:v>
                </c:pt>
                <c:pt idx="634">
                  <c:v>6340.0000000000637</c:v>
                </c:pt>
                <c:pt idx="635">
                  <c:v>6350.0000000000637</c:v>
                </c:pt>
                <c:pt idx="636">
                  <c:v>6360.0000000000637</c:v>
                </c:pt>
                <c:pt idx="637">
                  <c:v>6370.0000000000628</c:v>
                </c:pt>
                <c:pt idx="638">
                  <c:v>6380.0000000000628</c:v>
                </c:pt>
                <c:pt idx="639">
                  <c:v>6390.0000000000637</c:v>
                </c:pt>
                <c:pt idx="640">
                  <c:v>6400.0000000000637</c:v>
                </c:pt>
                <c:pt idx="641">
                  <c:v>6410.0000000000628</c:v>
                </c:pt>
                <c:pt idx="642">
                  <c:v>6420.0000000000618</c:v>
                </c:pt>
                <c:pt idx="643">
                  <c:v>6430.0000000000618</c:v>
                </c:pt>
                <c:pt idx="644">
                  <c:v>6440.0000000000618</c:v>
                </c:pt>
                <c:pt idx="645">
                  <c:v>6450.0000000000618</c:v>
                </c:pt>
                <c:pt idx="646">
                  <c:v>6460.00000000006</c:v>
                </c:pt>
                <c:pt idx="647">
                  <c:v>6470.00000000006</c:v>
                </c:pt>
                <c:pt idx="648">
                  <c:v>6480.0000000000591</c:v>
                </c:pt>
                <c:pt idx="649">
                  <c:v>6490.0000000000591</c:v>
                </c:pt>
                <c:pt idx="650">
                  <c:v>6500.0000000000573</c:v>
                </c:pt>
                <c:pt idx="651">
                  <c:v>6510.0000000000582</c:v>
                </c:pt>
                <c:pt idx="652">
                  <c:v>6520.0000000000564</c:v>
                </c:pt>
                <c:pt idx="653">
                  <c:v>6530.0000000000573</c:v>
                </c:pt>
                <c:pt idx="654">
                  <c:v>6540.0000000000564</c:v>
                </c:pt>
                <c:pt idx="655">
                  <c:v>6550.0000000000555</c:v>
                </c:pt>
                <c:pt idx="656">
                  <c:v>6560.0000000000546</c:v>
                </c:pt>
                <c:pt idx="657">
                  <c:v>6570.0000000000546</c:v>
                </c:pt>
                <c:pt idx="658">
                  <c:v>6580.0000000000537</c:v>
                </c:pt>
                <c:pt idx="659">
                  <c:v>6590.0000000000528</c:v>
                </c:pt>
                <c:pt idx="660">
                  <c:v>6600.0000000000528</c:v>
                </c:pt>
                <c:pt idx="661">
                  <c:v>6610.0000000000528</c:v>
                </c:pt>
                <c:pt idx="662">
                  <c:v>6620.0000000000518</c:v>
                </c:pt>
                <c:pt idx="663">
                  <c:v>6630.0000000000518</c:v>
                </c:pt>
                <c:pt idx="664">
                  <c:v>6640.00000000005</c:v>
                </c:pt>
                <c:pt idx="665">
                  <c:v>6650.0000000000491</c:v>
                </c:pt>
                <c:pt idx="666">
                  <c:v>6660.0000000000491</c:v>
                </c:pt>
                <c:pt idx="667">
                  <c:v>6670.0000000000482</c:v>
                </c:pt>
                <c:pt idx="668">
                  <c:v>6680.0000000000473</c:v>
                </c:pt>
                <c:pt idx="669">
                  <c:v>6690.0000000000473</c:v>
                </c:pt>
                <c:pt idx="670">
                  <c:v>6700.0000000000473</c:v>
                </c:pt>
                <c:pt idx="671">
                  <c:v>6710.0000000000464</c:v>
                </c:pt>
                <c:pt idx="672">
                  <c:v>6720.0000000000464</c:v>
                </c:pt>
                <c:pt idx="673">
                  <c:v>6730.0000000000446</c:v>
                </c:pt>
                <c:pt idx="674">
                  <c:v>6740.0000000000446</c:v>
                </c:pt>
                <c:pt idx="675">
                  <c:v>6750.0000000000437</c:v>
                </c:pt>
                <c:pt idx="676">
                  <c:v>6760.0000000000446</c:v>
                </c:pt>
                <c:pt idx="677">
                  <c:v>6770.0000000000418</c:v>
                </c:pt>
                <c:pt idx="678">
                  <c:v>6780.0000000000427</c:v>
                </c:pt>
                <c:pt idx="679">
                  <c:v>6790.0000000000418</c:v>
                </c:pt>
                <c:pt idx="680">
                  <c:v>6800.0000000000418</c:v>
                </c:pt>
                <c:pt idx="681">
                  <c:v>6810.00000000004</c:v>
                </c:pt>
                <c:pt idx="682">
                  <c:v>6820.00000000004</c:v>
                </c:pt>
                <c:pt idx="683">
                  <c:v>6830.0000000000391</c:v>
                </c:pt>
                <c:pt idx="684">
                  <c:v>6840.0000000000391</c:v>
                </c:pt>
                <c:pt idx="685">
                  <c:v>6850.0000000000391</c:v>
                </c:pt>
                <c:pt idx="686">
                  <c:v>6860.0000000000382</c:v>
                </c:pt>
                <c:pt idx="687">
                  <c:v>6870.0000000000373</c:v>
                </c:pt>
                <c:pt idx="688">
                  <c:v>6880.0000000000373</c:v>
                </c:pt>
                <c:pt idx="689">
                  <c:v>6890.0000000000364</c:v>
                </c:pt>
                <c:pt idx="690">
                  <c:v>6900.0000000000346</c:v>
                </c:pt>
                <c:pt idx="691">
                  <c:v>6910.0000000000346</c:v>
                </c:pt>
                <c:pt idx="692">
                  <c:v>6920.0000000000337</c:v>
                </c:pt>
                <c:pt idx="693">
                  <c:v>6930.0000000000337</c:v>
                </c:pt>
                <c:pt idx="694">
                  <c:v>6940.0000000000337</c:v>
                </c:pt>
                <c:pt idx="695">
                  <c:v>6950.0000000000327</c:v>
                </c:pt>
                <c:pt idx="696">
                  <c:v>6960.0000000000318</c:v>
                </c:pt>
                <c:pt idx="697">
                  <c:v>6970.0000000000318</c:v>
                </c:pt>
                <c:pt idx="698">
                  <c:v>6980.0000000000309</c:v>
                </c:pt>
                <c:pt idx="699">
                  <c:v>6990.00000000003</c:v>
                </c:pt>
                <c:pt idx="700">
                  <c:v>7000.0000000000291</c:v>
                </c:pt>
                <c:pt idx="701">
                  <c:v>7010.00000000003</c:v>
                </c:pt>
                <c:pt idx="702">
                  <c:v>7020.0000000000282</c:v>
                </c:pt>
                <c:pt idx="703">
                  <c:v>7030.0000000000291</c:v>
                </c:pt>
                <c:pt idx="704">
                  <c:v>7040.0000000000273</c:v>
                </c:pt>
                <c:pt idx="705">
                  <c:v>7050.0000000000273</c:v>
                </c:pt>
                <c:pt idx="706">
                  <c:v>7060.0000000000264</c:v>
                </c:pt>
                <c:pt idx="707">
                  <c:v>7070.0000000000264</c:v>
                </c:pt>
                <c:pt idx="708">
                  <c:v>7080.0000000000246</c:v>
                </c:pt>
                <c:pt idx="709">
                  <c:v>7090.0000000000246</c:v>
                </c:pt>
                <c:pt idx="710">
                  <c:v>7100.0000000000246</c:v>
                </c:pt>
                <c:pt idx="711">
                  <c:v>7110.0000000000246</c:v>
                </c:pt>
                <c:pt idx="712">
                  <c:v>7120.0000000000236</c:v>
                </c:pt>
                <c:pt idx="713">
                  <c:v>7130.0000000000227</c:v>
                </c:pt>
                <c:pt idx="714">
                  <c:v>7140.0000000000218</c:v>
                </c:pt>
                <c:pt idx="715">
                  <c:v>7150.0000000000209</c:v>
                </c:pt>
                <c:pt idx="716">
                  <c:v>7160.0000000000209</c:v>
                </c:pt>
                <c:pt idx="717">
                  <c:v>7170.0000000000191</c:v>
                </c:pt>
                <c:pt idx="718">
                  <c:v>7180.0000000000191</c:v>
                </c:pt>
                <c:pt idx="719">
                  <c:v>7190.0000000000191</c:v>
                </c:pt>
                <c:pt idx="720">
                  <c:v>7200.0000000000191</c:v>
                </c:pt>
                <c:pt idx="721">
                  <c:v>7210.0000000000173</c:v>
                </c:pt>
                <c:pt idx="722">
                  <c:v>7220.0000000000173</c:v>
                </c:pt>
                <c:pt idx="723">
                  <c:v>7230.0000000000164</c:v>
                </c:pt>
                <c:pt idx="724">
                  <c:v>7240.0000000000164</c:v>
                </c:pt>
                <c:pt idx="725">
                  <c:v>7250.0000000000155</c:v>
                </c:pt>
                <c:pt idx="726">
                  <c:v>7260.0000000000155</c:v>
                </c:pt>
                <c:pt idx="727">
                  <c:v>7270.0000000000136</c:v>
                </c:pt>
                <c:pt idx="728">
                  <c:v>7280.0000000000146</c:v>
                </c:pt>
                <c:pt idx="729">
                  <c:v>7290.0000000000136</c:v>
                </c:pt>
                <c:pt idx="730">
                  <c:v>7300.0000000000127</c:v>
                </c:pt>
                <c:pt idx="731">
                  <c:v>7310.0000000000118</c:v>
                </c:pt>
                <c:pt idx="732">
                  <c:v>7320.0000000000118</c:v>
                </c:pt>
                <c:pt idx="733">
                  <c:v>7330.0000000000109</c:v>
                </c:pt>
                <c:pt idx="734">
                  <c:v>7340.0000000000109</c:v>
                </c:pt>
                <c:pt idx="735">
                  <c:v>7350.00000000001</c:v>
                </c:pt>
                <c:pt idx="736">
                  <c:v>7360.00000000001</c:v>
                </c:pt>
                <c:pt idx="737">
                  <c:v>7370.0000000000091</c:v>
                </c:pt>
                <c:pt idx="738">
                  <c:v>7380.0000000000091</c:v>
                </c:pt>
                <c:pt idx="739">
                  <c:v>7390.0000000000073</c:v>
                </c:pt>
                <c:pt idx="740">
                  <c:v>7400.0000000000064</c:v>
                </c:pt>
                <c:pt idx="741">
                  <c:v>7410.0000000000064</c:v>
                </c:pt>
                <c:pt idx="742">
                  <c:v>7420.0000000000055</c:v>
                </c:pt>
                <c:pt idx="743">
                  <c:v>7430.0000000000055</c:v>
                </c:pt>
                <c:pt idx="744">
                  <c:v>7440.0000000000045</c:v>
                </c:pt>
                <c:pt idx="745">
                  <c:v>7450.0000000000045</c:v>
                </c:pt>
                <c:pt idx="746">
                  <c:v>7460.0000000000036</c:v>
                </c:pt>
                <c:pt idx="747">
                  <c:v>7470.0000000000036</c:v>
                </c:pt>
                <c:pt idx="748">
                  <c:v>7480.0000000000018</c:v>
                </c:pt>
                <c:pt idx="749">
                  <c:v>7490.0000000000018</c:v>
                </c:pt>
                <c:pt idx="750">
                  <c:v>7500.0000000000009</c:v>
                </c:pt>
                <c:pt idx="751">
                  <c:v>7510.0000000000018</c:v>
                </c:pt>
                <c:pt idx="752">
                  <c:v>7520</c:v>
                </c:pt>
                <c:pt idx="753">
                  <c:v>7530</c:v>
                </c:pt>
                <c:pt idx="754">
                  <c:v>7539.9999999999991</c:v>
                </c:pt>
                <c:pt idx="755">
                  <c:v>7549.9999999999991</c:v>
                </c:pt>
                <c:pt idx="756">
                  <c:v>7559.9999999999982</c:v>
                </c:pt>
                <c:pt idx="757">
                  <c:v>7569.9999999999973</c:v>
                </c:pt>
                <c:pt idx="758">
                  <c:v>7579.9999999999964</c:v>
                </c:pt>
                <c:pt idx="759">
                  <c:v>7589.9999999999964</c:v>
                </c:pt>
                <c:pt idx="760">
                  <c:v>7599.9999999999964</c:v>
                </c:pt>
                <c:pt idx="761">
                  <c:v>7609.9999999999955</c:v>
                </c:pt>
                <c:pt idx="762">
                  <c:v>7619.9999999999945</c:v>
                </c:pt>
                <c:pt idx="763">
                  <c:v>7629.9999999999945</c:v>
                </c:pt>
                <c:pt idx="764">
                  <c:v>7639.9999999999936</c:v>
                </c:pt>
                <c:pt idx="765">
                  <c:v>7649.9999999999927</c:v>
                </c:pt>
                <c:pt idx="766">
                  <c:v>7659.9999999999918</c:v>
                </c:pt>
                <c:pt idx="767">
                  <c:v>7669.9999999999909</c:v>
                </c:pt>
                <c:pt idx="768">
                  <c:v>7679.9999999999909</c:v>
                </c:pt>
                <c:pt idx="769">
                  <c:v>7689.9999999999909</c:v>
                </c:pt>
                <c:pt idx="770">
                  <c:v>7699.99999999999</c:v>
                </c:pt>
                <c:pt idx="771">
                  <c:v>7709.9999999999891</c:v>
                </c:pt>
                <c:pt idx="772">
                  <c:v>7719.9999999999891</c:v>
                </c:pt>
                <c:pt idx="773">
                  <c:v>7729.9999999999882</c:v>
                </c:pt>
                <c:pt idx="774">
                  <c:v>7739.9999999999882</c:v>
                </c:pt>
                <c:pt idx="775">
                  <c:v>7749.9999999999864</c:v>
                </c:pt>
                <c:pt idx="776">
                  <c:v>7759.9999999999873</c:v>
                </c:pt>
                <c:pt idx="777">
                  <c:v>7769.9999999999854</c:v>
                </c:pt>
                <c:pt idx="778">
                  <c:v>7779.9999999999864</c:v>
                </c:pt>
                <c:pt idx="779">
                  <c:v>7789.9999999999845</c:v>
                </c:pt>
                <c:pt idx="780">
                  <c:v>7799.9999999999845</c:v>
                </c:pt>
                <c:pt idx="781">
                  <c:v>7809.9999999999836</c:v>
                </c:pt>
                <c:pt idx="782">
                  <c:v>7819.9999999999836</c:v>
                </c:pt>
                <c:pt idx="783">
                  <c:v>7829.9999999999827</c:v>
                </c:pt>
                <c:pt idx="784">
                  <c:v>7839.9999999999818</c:v>
                </c:pt>
                <c:pt idx="785">
                  <c:v>7849.9999999999818</c:v>
                </c:pt>
                <c:pt idx="786">
                  <c:v>7859.9999999999818</c:v>
                </c:pt>
                <c:pt idx="787">
                  <c:v>7869.9999999999809</c:v>
                </c:pt>
                <c:pt idx="788">
                  <c:v>7879.99999999998</c:v>
                </c:pt>
                <c:pt idx="789">
                  <c:v>7889.9999999999791</c:v>
                </c:pt>
                <c:pt idx="790">
                  <c:v>7899.9999999999782</c:v>
                </c:pt>
                <c:pt idx="791">
                  <c:v>7909.9999999999782</c:v>
                </c:pt>
                <c:pt idx="792">
                  <c:v>7919.9999999999773</c:v>
                </c:pt>
                <c:pt idx="793">
                  <c:v>7929.9999999999764</c:v>
                </c:pt>
                <c:pt idx="794">
                  <c:v>7939.9999999999764</c:v>
                </c:pt>
                <c:pt idx="795">
                  <c:v>7949.9999999999764</c:v>
                </c:pt>
                <c:pt idx="796">
                  <c:v>7959.9999999999754</c:v>
                </c:pt>
                <c:pt idx="797">
                  <c:v>7969.9999999999745</c:v>
                </c:pt>
                <c:pt idx="798">
                  <c:v>7979.9999999999736</c:v>
                </c:pt>
                <c:pt idx="799">
                  <c:v>7989.9999999999736</c:v>
                </c:pt>
                <c:pt idx="800">
                  <c:v>7999.9999999999727</c:v>
                </c:pt>
                <c:pt idx="801">
                  <c:v>8009.9999999999727</c:v>
                </c:pt>
                <c:pt idx="802">
                  <c:v>8019.9999999999709</c:v>
                </c:pt>
                <c:pt idx="803">
                  <c:v>8029.9999999999709</c:v>
                </c:pt>
                <c:pt idx="804">
                  <c:v>8039.9999999999709</c:v>
                </c:pt>
                <c:pt idx="805">
                  <c:v>8049.9999999999709</c:v>
                </c:pt>
                <c:pt idx="806">
                  <c:v>8059.99999999997</c:v>
                </c:pt>
                <c:pt idx="807">
                  <c:v>8069.99999999997</c:v>
                </c:pt>
                <c:pt idx="808">
                  <c:v>8079.9999999999682</c:v>
                </c:pt>
                <c:pt idx="809">
                  <c:v>8089.9999999999682</c:v>
                </c:pt>
                <c:pt idx="810">
                  <c:v>8099.9999999999673</c:v>
                </c:pt>
                <c:pt idx="811">
                  <c:v>8109.9999999999673</c:v>
                </c:pt>
                <c:pt idx="812">
                  <c:v>8119.9999999999654</c:v>
                </c:pt>
                <c:pt idx="813">
                  <c:v>8129.9999999999673</c:v>
                </c:pt>
                <c:pt idx="814">
                  <c:v>8139.9999999999654</c:v>
                </c:pt>
                <c:pt idx="815">
                  <c:v>8149.9999999999627</c:v>
                </c:pt>
                <c:pt idx="816">
                  <c:v>8159.9999999999645</c:v>
                </c:pt>
                <c:pt idx="817">
                  <c:v>8169.9999999999627</c:v>
                </c:pt>
                <c:pt idx="818">
                  <c:v>8179.9999999999627</c:v>
                </c:pt>
                <c:pt idx="819">
                  <c:v>8189.9999999999618</c:v>
                </c:pt>
                <c:pt idx="820">
                  <c:v>8199.9999999999618</c:v>
                </c:pt>
                <c:pt idx="821">
                  <c:v>8209.99999999996</c:v>
                </c:pt>
                <c:pt idx="822">
                  <c:v>8219.99999999996</c:v>
                </c:pt>
                <c:pt idx="823">
                  <c:v>8229.99999999996</c:v>
                </c:pt>
                <c:pt idx="824">
                  <c:v>8239.99999999996</c:v>
                </c:pt>
                <c:pt idx="825">
                  <c:v>8249.99999999996</c:v>
                </c:pt>
                <c:pt idx="826">
                  <c:v>8259.9999999999582</c:v>
                </c:pt>
                <c:pt idx="827">
                  <c:v>8269.9999999999563</c:v>
                </c:pt>
                <c:pt idx="828">
                  <c:v>8279.9999999999563</c:v>
                </c:pt>
                <c:pt idx="829">
                  <c:v>8289.9999999999563</c:v>
                </c:pt>
                <c:pt idx="830">
                  <c:v>8299.9999999999563</c:v>
                </c:pt>
                <c:pt idx="831">
                  <c:v>8309.9999999999563</c:v>
                </c:pt>
                <c:pt idx="832">
                  <c:v>8319.9999999999563</c:v>
                </c:pt>
                <c:pt idx="833">
                  <c:v>8329.9999999999545</c:v>
                </c:pt>
                <c:pt idx="834">
                  <c:v>8339.9999999999545</c:v>
                </c:pt>
                <c:pt idx="835">
                  <c:v>8349.9999999999527</c:v>
                </c:pt>
                <c:pt idx="836">
                  <c:v>8359.9999999999527</c:v>
                </c:pt>
                <c:pt idx="837">
                  <c:v>8369.9999999999509</c:v>
                </c:pt>
                <c:pt idx="838">
                  <c:v>8379.9999999999527</c:v>
                </c:pt>
                <c:pt idx="839">
                  <c:v>8389.9999999999509</c:v>
                </c:pt>
                <c:pt idx="840">
                  <c:v>8399.9999999999491</c:v>
                </c:pt>
                <c:pt idx="841">
                  <c:v>8409.9999999999509</c:v>
                </c:pt>
                <c:pt idx="842">
                  <c:v>8419.9999999999491</c:v>
                </c:pt>
                <c:pt idx="843">
                  <c:v>8429.9999999999491</c:v>
                </c:pt>
                <c:pt idx="844">
                  <c:v>8439.9999999999472</c:v>
                </c:pt>
                <c:pt idx="845">
                  <c:v>8449.9999999999472</c:v>
                </c:pt>
                <c:pt idx="846">
                  <c:v>8459.9999999999454</c:v>
                </c:pt>
                <c:pt idx="847">
                  <c:v>8469.9999999999454</c:v>
                </c:pt>
                <c:pt idx="848">
                  <c:v>8479.9999999999454</c:v>
                </c:pt>
                <c:pt idx="849">
                  <c:v>8489.9999999999454</c:v>
                </c:pt>
                <c:pt idx="850">
                  <c:v>8499.9999999999454</c:v>
                </c:pt>
                <c:pt idx="851">
                  <c:v>8509.9999999999454</c:v>
                </c:pt>
                <c:pt idx="852">
                  <c:v>8519.9999999999436</c:v>
                </c:pt>
                <c:pt idx="853">
                  <c:v>8529.9999999999418</c:v>
                </c:pt>
                <c:pt idx="854">
                  <c:v>8539.9999999999418</c:v>
                </c:pt>
                <c:pt idx="855">
                  <c:v>8549.9999999999418</c:v>
                </c:pt>
                <c:pt idx="856">
                  <c:v>8559.9999999999418</c:v>
                </c:pt>
                <c:pt idx="857">
                  <c:v>8569.9999999999418</c:v>
                </c:pt>
                <c:pt idx="858">
                  <c:v>8579.99999999994</c:v>
                </c:pt>
                <c:pt idx="859">
                  <c:v>8589.99999999994</c:v>
                </c:pt>
                <c:pt idx="860">
                  <c:v>8599.99999999994</c:v>
                </c:pt>
                <c:pt idx="861">
                  <c:v>8609.9999999999382</c:v>
                </c:pt>
                <c:pt idx="862">
                  <c:v>8619.9999999999363</c:v>
                </c:pt>
                <c:pt idx="863">
                  <c:v>8629.9999999999382</c:v>
                </c:pt>
                <c:pt idx="864">
                  <c:v>8639.9999999999363</c:v>
                </c:pt>
                <c:pt idx="865">
                  <c:v>8649.9999999999345</c:v>
                </c:pt>
                <c:pt idx="866">
                  <c:v>8659.9999999999363</c:v>
                </c:pt>
                <c:pt idx="867">
                  <c:v>8669.9999999999345</c:v>
                </c:pt>
                <c:pt idx="868">
                  <c:v>8679.9999999999345</c:v>
                </c:pt>
                <c:pt idx="869">
                  <c:v>8689.9999999999345</c:v>
                </c:pt>
                <c:pt idx="870">
                  <c:v>8699.9999999999327</c:v>
                </c:pt>
                <c:pt idx="871">
                  <c:v>8709.9999999999309</c:v>
                </c:pt>
                <c:pt idx="872">
                  <c:v>8719.9999999999309</c:v>
                </c:pt>
                <c:pt idx="873">
                  <c:v>8729.9999999999309</c:v>
                </c:pt>
                <c:pt idx="874">
                  <c:v>8739.9999999999309</c:v>
                </c:pt>
                <c:pt idx="875">
                  <c:v>8749.9999999999309</c:v>
                </c:pt>
                <c:pt idx="876">
                  <c:v>8759.9999999999309</c:v>
                </c:pt>
                <c:pt idx="877">
                  <c:v>8769.9999999999291</c:v>
                </c:pt>
                <c:pt idx="878">
                  <c:v>8779.9999999999291</c:v>
                </c:pt>
                <c:pt idx="879">
                  <c:v>8789.9999999999272</c:v>
                </c:pt>
                <c:pt idx="880">
                  <c:v>8799.9999999999272</c:v>
                </c:pt>
                <c:pt idx="881">
                  <c:v>8809.9999999999272</c:v>
                </c:pt>
                <c:pt idx="882">
                  <c:v>8819.9999999999272</c:v>
                </c:pt>
                <c:pt idx="883">
                  <c:v>8829.9999999999254</c:v>
                </c:pt>
                <c:pt idx="884">
                  <c:v>8839.9999999999254</c:v>
                </c:pt>
                <c:pt idx="885">
                  <c:v>8849.9999999999254</c:v>
                </c:pt>
                <c:pt idx="886">
                  <c:v>8859.9999999999254</c:v>
                </c:pt>
                <c:pt idx="887">
                  <c:v>8869.9999999999236</c:v>
                </c:pt>
                <c:pt idx="888">
                  <c:v>8879.9999999999236</c:v>
                </c:pt>
                <c:pt idx="889">
                  <c:v>8889.9999999999218</c:v>
                </c:pt>
                <c:pt idx="890">
                  <c:v>8899.99999999992</c:v>
                </c:pt>
                <c:pt idx="891">
                  <c:v>8909.9999999999218</c:v>
                </c:pt>
                <c:pt idx="892">
                  <c:v>8919.99999999992</c:v>
                </c:pt>
                <c:pt idx="893">
                  <c:v>8929.99999999992</c:v>
                </c:pt>
                <c:pt idx="894">
                  <c:v>8939.99999999992</c:v>
                </c:pt>
                <c:pt idx="895">
                  <c:v>8949.99999999992</c:v>
                </c:pt>
                <c:pt idx="896">
                  <c:v>8959.9999999999181</c:v>
                </c:pt>
                <c:pt idx="897">
                  <c:v>8969.9999999999163</c:v>
                </c:pt>
                <c:pt idx="898">
                  <c:v>8979.9999999999163</c:v>
                </c:pt>
                <c:pt idx="899">
                  <c:v>8989.9999999999163</c:v>
                </c:pt>
                <c:pt idx="900">
                  <c:v>8999.9999999999163</c:v>
                </c:pt>
                <c:pt idx="901">
                  <c:v>9009.9999999999163</c:v>
                </c:pt>
                <c:pt idx="902">
                  <c:v>9019.9999999999145</c:v>
                </c:pt>
                <c:pt idx="903">
                  <c:v>9029.9999999999145</c:v>
                </c:pt>
                <c:pt idx="904">
                  <c:v>9039.9999999999145</c:v>
                </c:pt>
                <c:pt idx="905">
                  <c:v>9049.9999999999145</c:v>
                </c:pt>
                <c:pt idx="906">
                  <c:v>9059.9999999999127</c:v>
                </c:pt>
                <c:pt idx="907">
                  <c:v>9069.9999999999127</c:v>
                </c:pt>
                <c:pt idx="908">
                  <c:v>9079.9999999999109</c:v>
                </c:pt>
                <c:pt idx="909">
                  <c:v>9089.9999999999109</c:v>
                </c:pt>
                <c:pt idx="910">
                  <c:v>9099.9999999999109</c:v>
                </c:pt>
                <c:pt idx="911">
                  <c:v>9109.9999999999109</c:v>
                </c:pt>
                <c:pt idx="912">
                  <c:v>9119.9999999999091</c:v>
                </c:pt>
                <c:pt idx="913">
                  <c:v>9129.9999999999109</c:v>
                </c:pt>
                <c:pt idx="914">
                  <c:v>9139.9999999999091</c:v>
                </c:pt>
                <c:pt idx="915">
                  <c:v>9149.9999999999054</c:v>
                </c:pt>
                <c:pt idx="916">
                  <c:v>9159.9999999999072</c:v>
                </c:pt>
                <c:pt idx="917">
                  <c:v>9169.9999999999054</c:v>
                </c:pt>
                <c:pt idx="918">
                  <c:v>9179.9999999999054</c:v>
                </c:pt>
                <c:pt idx="919">
                  <c:v>9189.9999999999054</c:v>
                </c:pt>
                <c:pt idx="920">
                  <c:v>9199.9999999999054</c:v>
                </c:pt>
                <c:pt idx="921">
                  <c:v>9209.9999999999036</c:v>
                </c:pt>
                <c:pt idx="922">
                  <c:v>9219.9999999999036</c:v>
                </c:pt>
                <c:pt idx="923">
                  <c:v>9229.9999999999036</c:v>
                </c:pt>
                <c:pt idx="924">
                  <c:v>9239.9999999999018</c:v>
                </c:pt>
                <c:pt idx="925">
                  <c:v>9249.9999999999018</c:v>
                </c:pt>
                <c:pt idx="926">
                  <c:v>9259.9999999999018</c:v>
                </c:pt>
                <c:pt idx="927">
                  <c:v>9269.9999999999</c:v>
                </c:pt>
                <c:pt idx="928">
                  <c:v>9279.9999999999</c:v>
                </c:pt>
                <c:pt idx="929">
                  <c:v>9289.9999999999</c:v>
                </c:pt>
                <c:pt idx="930">
                  <c:v>9299.9999999999</c:v>
                </c:pt>
                <c:pt idx="931">
                  <c:v>9309.9999999999</c:v>
                </c:pt>
                <c:pt idx="932">
                  <c:v>9319.9999999998981</c:v>
                </c:pt>
                <c:pt idx="933">
                  <c:v>9329.9999999998963</c:v>
                </c:pt>
                <c:pt idx="934">
                  <c:v>9339.9999999998963</c:v>
                </c:pt>
                <c:pt idx="935">
                  <c:v>9349.9999999998963</c:v>
                </c:pt>
                <c:pt idx="936">
                  <c:v>9359.9999999998963</c:v>
                </c:pt>
                <c:pt idx="937">
                  <c:v>9369.9999999998945</c:v>
                </c:pt>
                <c:pt idx="938">
                  <c:v>9379.9999999998963</c:v>
                </c:pt>
                <c:pt idx="939">
                  <c:v>9389.9999999998945</c:v>
                </c:pt>
                <c:pt idx="940">
                  <c:v>9399.9999999998927</c:v>
                </c:pt>
                <c:pt idx="941">
                  <c:v>9409.9999999998927</c:v>
                </c:pt>
                <c:pt idx="942">
                  <c:v>9419.9999999998909</c:v>
                </c:pt>
                <c:pt idx="943">
                  <c:v>9429.9999999998909</c:v>
                </c:pt>
                <c:pt idx="944">
                  <c:v>9439.9999999998909</c:v>
                </c:pt>
                <c:pt idx="945">
                  <c:v>9449.9999999998909</c:v>
                </c:pt>
                <c:pt idx="946">
                  <c:v>9459.999999999889</c:v>
                </c:pt>
                <c:pt idx="947">
                  <c:v>9469.999999999889</c:v>
                </c:pt>
                <c:pt idx="948">
                  <c:v>9479.999999999889</c:v>
                </c:pt>
                <c:pt idx="949">
                  <c:v>9489.999999999889</c:v>
                </c:pt>
                <c:pt idx="950">
                  <c:v>9499.9999999998872</c:v>
                </c:pt>
                <c:pt idx="951">
                  <c:v>9509.9999999998872</c:v>
                </c:pt>
                <c:pt idx="952">
                  <c:v>9519.9999999998854</c:v>
                </c:pt>
                <c:pt idx="953">
                  <c:v>9529.9999999998854</c:v>
                </c:pt>
                <c:pt idx="954">
                  <c:v>9539.9999999998854</c:v>
                </c:pt>
                <c:pt idx="955">
                  <c:v>9549.9999999998854</c:v>
                </c:pt>
                <c:pt idx="956">
                  <c:v>9559.9999999998854</c:v>
                </c:pt>
                <c:pt idx="957">
                  <c:v>9569.9999999998854</c:v>
                </c:pt>
                <c:pt idx="958">
                  <c:v>9579.9999999998836</c:v>
                </c:pt>
                <c:pt idx="959">
                  <c:v>9589.9999999998818</c:v>
                </c:pt>
                <c:pt idx="960">
                  <c:v>9599.9999999998818</c:v>
                </c:pt>
                <c:pt idx="961">
                  <c:v>9609.9999999998818</c:v>
                </c:pt>
                <c:pt idx="962">
                  <c:v>9619.9999999998799</c:v>
                </c:pt>
                <c:pt idx="963">
                  <c:v>9629.9999999998818</c:v>
                </c:pt>
                <c:pt idx="964">
                  <c:v>9639.9999999998799</c:v>
                </c:pt>
                <c:pt idx="965">
                  <c:v>9649.9999999998781</c:v>
                </c:pt>
                <c:pt idx="966">
                  <c:v>9659.9999999998799</c:v>
                </c:pt>
                <c:pt idx="967">
                  <c:v>9669.9999999998781</c:v>
                </c:pt>
                <c:pt idx="968">
                  <c:v>9679.9999999998763</c:v>
                </c:pt>
                <c:pt idx="969">
                  <c:v>9689.9999999998763</c:v>
                </c:pt>
                <c:pt idx="970">
                  <c:v>9699.9999999998763</c:v>
                </c:pt>
                <c:pt idx="971">
                  <c:v>9709.9999999998745</c:v>
                </c:pt>
                <c:pt idx="972">
                  <c:v>9719.9999999998745</c:v>
                </c:pt>
                <c:pt idx="973">
                  <c:v>9729.9999999998745</c:v>
                </c:pt>
                <c:pt idx="974">
                  <c:v>9739.9999999998745</c:v>
                </c:pt>
                <c:pt idx="975">
                  <c:v>9749.9999999998745</c:v>
                </c:pt>
                <c:pt idx="976">
                  <c:v>9759.9999999998745</c:v>
                </c:pt>
                <c:pt idx="977">
                  <c:v>9769.9999999998709</c:v>
                </c:pt>
                <c:pt idx="978">
                  <c:v>9779.9999999998709</c:v>
                </c:pt>
                <c:pt idx="979">
                  <c:v>9789.9999999998709</c:v>
                </c:pt>
                <c:pt idx="980">
                  <c:v>9799.9999999998709</c:v>
                </c:pt>
                <c:pt idx="981">
                  <c:v>9809.9999999998709</c:v>
                </c:pt>
                <c:pt idx="982">
                  <c:v>9819.9999999998709</c:v>
                </c:pt>
                <c:pt idx="983">
                  <c:v>9829.999999999869</c:v>
                </c:pt>
                <c:pt idx="984">
                  <c:v>9839.999999999869</c:v>
                </c:pt>
                <c:pt idx="985">
                  <c:v>9849.999999999869</c:v>
                </c:pt>
                <c:pt idx="986">
                  <c:v>9859.9999999998672</c:v>
                </c:pt>
                <c:pt idx="987">
                  <c:v>9869.9999999998654</c:v>
                </c:pt>
                <c:pt idx="988">
                  <c:v>9879.9999999998672</c:v>
                </c:pt>
                <c:pt idx="989">
                  <c:v>9889.9999999998654</c:v>
                </c:pt>
                <c:pt idx="990">
                  <c:v>9899.9999999998636</c:v>
                </c:pt>
                <c:pt idx="991">
                  <c:v>9909.9999999998654</c:v>
                </c:pt>
                <c:pt idx="992">
                  <c:v>9919.9999999998636</c:v>
                </c:pt>
                <c:pt idx="993">
                  <c:v>9929.9999999998636</c:v>
                </c:pt>
                <c:pt idx="994">
                  <c:v>9939.9999999998636</c:v>
                </c:pt>
                <c:pt idx="995">
                  <c:v>9949.9999999998618</c:v>
                </c:pt>
                <c:pt idx="996">
                  <c:v>9959.9999999998599</c:v>
                </c:pt>
                <c:pt idx="997">
                  <c:v>9969.9999999998599</c:v>
                </c:pt>
                <c:pt idx="998">
                  <c:v>9979.9999999998599</c:v>
                </c:pt>
                <c:pt idx="999">
                  <c:v>9989.9999999998599</c:v>
                </c:pt>
                <c:pt idx="1000">
                  <c:v>9999.9999999998599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493-4C0B-9EC8-5EEE455D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137264"/>
        <c:axId val="1518136720"/>
      </c:scatterChart>
      <c:valAx>
        <c:axId val="13783850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39440"/>
        <c:crosses val="autoZero"/>
        <c:crossBetween val="midCat"/>
      </c:valAx>
      <c:valAx>
        <c:axId val="1518139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Oil Rate (STB/d)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8385056"/>
        <c:crosses val="autoZero"/>
        <c:crossBetween val="midCat"/>
      </c:valAx>
      <c:valAx>
        <c:axId val="15181367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Cum. Oil Prod (MSTB)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37264"/>
        <c:crosses val="max"/>
        <c:crossBetween val="midCat"/>
      </c:valAx>
      <c:valAx>
        <c:axId val="15181372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518136720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accent6">
            <a:lumMod val="20000"/>
            <a:lumOff val="80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  <a:tileRect/>
    </a:gradFill>
    <a:ln w="254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cap="all" baseline="0">
                <a:solidFill>
                  <a:sysClr val="windowText" lastClr="000000"/>
                </a:solidFill>
              </a:rPr>
              <a:t>Gas Prod Rate &amp; GOR vs Time</a:t>
            </a:r>
          </a:p>
        </c:rich>
      </c:tx>
      <c:layout>
        <c:manualLayout>
          <c:xMode val="edge"/>
          <c:yMode val="edge"/>
          <c:x val="0.12773240274053302"/>
          <c:y val="3.19318162135403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214038537070962"/>
          <c:y val="0.1388552807043883"/>
          <c:w val="0.77460625968658792"/>
          <c:h val="0.61394860530271589"/>
        </c:manualLayout>
      </c:layout>
      <c:scatterChart>
        <c:scatterStyle val="smoothMarker"/>
        <c:varyColors val="0"/>
        <c:ser>
          <c:idx val="5"/>
          <c:order val="1"/>
          <c:tx>
            <c:v>Qg</c:v>
          </c:tx>
          <c:spPr>
            <a:ln w="508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Production_Forecast!$K$12:$K$1012</c:f>
              <c:numCache>
                <c:formatCode>0.00</c:formatCode>
                <c:ptCount val="1001"/>
                <c:pt idx="0">
                  <c:v>0</c:v>
                </c:pt>
                <c:pt idx="1">
                  <c:v>2.990366109806172E-2</c:v>
                </c:pt>
                <c:pt idx="2">
                  <c:v>5.6372837931266531E-2</c:v>
                </c:pt>
                <c:pt idx="3">
                  <c:v>7.9801986620785331E-2</c:v>
                </c:pt>
                <c:pt idx="4">
                  <c:v>0.10054025935871833</c:v>
                </c:pt>
                <c:pt idx="5">
                  <c:v>0.11889670763826224</c:v>
                </c:pt>
                <c:pt idx="6">
                  <c:v>0.1351448878844034</c:v>
                </c:pt>
                <c:pt idx="7">
                  <c:v>0.14952693812041182</c:v>
                </c:pt>
                <c:pt idx="8">
                  <c:v>0.16225718642253756</c:v>
                </c:pt>
                <c:pt idx="9">
                  <c:v>0.17352534493779748</c:v>
                </c:pt>
                <c:pt idx="10">
                  <c:v>0.18349933706360874</c:v>
                </c:pt>
                <c:pt idx="11">
                  <c:v>0.19232779992122867</c:v>
                </c:pt>
                <c:pt idx="12">
                  <c:v>0.20014229941603701</c:v>
                </c:pt>
                <c:pt idx="13">
                  <c:v>0.20705929089453118</c:v>
                </c:pt>
                <c:pt idx="14">
                  <c:v>0.21318185461666689</c:v>
                </c:pt>
                <c:pt idx="15">
                  <c:v>0.21860123190636871</c:v>
                </c:pt>
                <c:pt idx="16">
                  <c:v>0.22339818487264843</c:v>
                </c:pt>
                <c:pt idx="17">
                  <c:v>0.22764419996453475</c:v>
                </c:pt>
                <c:pt idx="18">
                  <c:v>0.23186717293750775</c:v>
                </c:pt>
                <c:pt idx="19">
                  <c:v>0.23609014591048072</c:v>
                </c:pt>
                <c:pt idx="20">
                  <c:v>0.24031311888345366</c:v>
                </c:pt>
                <c:pt idx="21">
                  <c:v>0.24453609185642666</c:v>
                </c:pt>
                <c:pt idx="22">
                  <c:v>0.24875906482939963</c:v>
                </c:pt>
                <c:pt idx="23">
                  <c:v>0.25298203780237261</c:v>
                </c:pt>
                <c:pt idx="24">
                  <c:v>0.25720501077534558</c:v>
                </c:pt>
                <c:pt idx="25">
                  <c:v>0.26142798374831855</c:v>
                </c:pt>
                <c:pt idx="26">
                  <c:v>0.26565095672129152</c:v>
                </c:pt>
                <c:pt idx="27">
                  <c:v>0.26987392969426449</c:v>
                </c:pt>
                <c:pt idx="28">
                  <c:v>0.27409690266723746</c:v>
                </c:pt>
                <c:pt idx="29">
                  <c:v>0.27831987564021043</c:v>
                </c:pt>
                <c:pt idx="30">
                  <c:v>0.28254284861318341</c:v>
                </c:pt>
                <c:pt idx="31">
                  <c:v>0.28676582158615638</c:v>
                </c:pt>
                <c:pt idx="32">
                  <c:v>0.29098879455912929</c:v>
                </c:pt>
                <c:pt idx="33">
                  <c:v>0.29521176753210226</c:v>
                </c:pt>
                <c:pt idx="34">
                  <c:v>0.29943474050507524</c:v>
                </c:pt>
                <c:pt idx="35">
                  <c:v>0.30365771347804821</c:v>
                </c:pt>
                <c:pt idx="36">
                  <c:v>0.30788068645102118</c:v>
                </c:pt>
                <c:pt idx="37">
                  <c:v>0.31210365942399415</c:v>
                </c:pt>
                <c:pt idx="38">
                  <c:v>0.31632663239696712</c:v>
                </c:pt>
                <c:pt idx="39">
                  <c:v>0.32054960536994009</c:v>
                </c:pt>
                <c:pt idx="40">
                  <c:v>0.32477257834291301</c:v>
                </c:pt>
                <c:pt idx="41">
                  <c:v>0.32899555131588593</c:v>
                </c:pt>
                <c:pt idx="42">
                  <c:v>0.3332185242888589</c:v>
                </c:pt>
                <c:pt idx="43">
                  <c:v>0.33744149726183187</c:v>
                </c:pt>
                <c:pt idx="44">
                  <c:v>0.34166447023480484</c:v>
                </c:pt>
                <c:pt idx="45">
                  <c:v>0.34588744320777776</c:v>
                </c:pt>
                <c:pt idx="46">
                  <c:v>0.35011041618075067</c:v>
                </c:pt>
                <c:pt idx="47">
                  <c:v>0.3543333891537237</c:v>
                </c:pt>
                <c:pt idx="48">
                  <c:v>0.35855636212669667</c:v>
                </c:pt>
                <c:pt idx="49">
                  <c:v>0.36277933509966959</c:v>
                </c:pt>
                <c:pt idx="50">
                  <c:v>0.36700230807264256</c:v>
                </c:pt>
                <c:pt idx="51">
                  <c:v>0.37122528104561553</c:v>
                </c:pt>
                <c:pt idx="52">
                  <c:v>0.3754482540185885</c:v>
                </c:pt>
                <c:pt idx="53">
                  <c:v>0.37967122699156142</c:v>
                </c:pt>
                <c:pt idx="54">
                  <c:v>0.38389419996453439</c:v>
                </c:pt>
                <c:pt idx="55">
                  <c:v>0.38811717293750736</c:v>
                </c:pt>
                <c:pt idx="56">
                  <c:v>0.39234014591048039</c:v>
                </c:pt>
                <c:pt idx="57">
                  <c:v>0.39656311888345336</c:v>
                </c:pt>
                <c:pt idx="58">
                  <c:v>0.40078609185642633</c:v>
                </c:pt>
                <c:pt idx="59">
                  <c:v>0.40500906482939925</c:v>
                </c:pt>
                <c:pt idx="60">
                  <c:v>0.40923203780237222</c:v>
                </c:pt>
                <c:pt idx="61">
                  <c:v>0.41345501077534519</c:v>
                </c:pt>
                <c:pt idx="62">
                  <c:v>0.41767798374831816</c:v>
                </c:pt>
                <c:pt idx="63">
                  <c:v>0.42190095672129113</c:v>
                </c:pt>
                <c:pt idx="64">
                  <c:v>0.42612392969426405</c:v>
                </c:pt>
                <c:pt idx="65">
                  <c:v>0.43034690266723702</c:v>
                </c:pt>
                <c:pt idx="66">
                  <c:v>0.43456987564020999</c:v>
                </c:pt>
                <c:pt idx="67">
                  <c:v>0.43879284861318302</c:v>
                </c:pt>
                <c:pt idx="68">
                  <c:v>0.44301582158615599</c:v>
                </c:pt>
                <c:pt idx="69">
                  <c:v>0.44723879455912885</c:v>
                </c:pt>
                <c:pt idx="70">
                  <c:v>0.45146176753210182</c:v>
                </c:pt>
                <c:pt idx="71">
                  <c:v>0.45568474050507479</c:v>
                </c:pt>
                <c:pt idx="72">
                  <c:v>0.45990771347804771</c:v>
                </c:pt>
                <c:pt idx="73">
                  <c:v>0.46413068645102068</c:v>
                </c:pt>
                <c:pt idx="74">
                  <c:v>0.46835365942399365</c:v>
                </c:pt>
                <c:pt idx="75">
                  <c:v>0.47257663239696662</c:v>
                </c:pt>
                <c:pt idx="76">
                  <c:v>0.47679960536993954</c:v>
                </c:pt>
                <c:pt idx="77">
                  <c:v>0.48102257834291251</c:v>
                </c:pt>
                <c:pt idx="78">
                  <c:v>0.48524555131588548</c:v>
                </c:pt>
                <c:pt idx="79">
                  <c:v>0.48946852428885845</c:v>
                </c:pt>
                <c:pt idx="80">
                  <c:v>0.49369149726183137</c:v>
                </c:pt>
                <c:pt idx="81">
                  <c:v>0.49791447023480434</c:v>
                </c:pt>
                <c:pt idx="82">
                  <c:v>0.50213744320777731</c:v>
                </c:pt>
                <c:pt idx="83">
                  <c:v>0.50636041618075023</c:v>
                </c:pt>
                <c:pt idx="84">
                  <c:v>0.51058338915372325</c:v>
                </c:pt>
                <c:pt idx="85">
                  <c:v>0.51480636212669617</c:v>
                </c:pt>
                <c:pt idx="86">
                  <c:v>0.5190293350996692</c:v>
                </c:pt>
                <c:pt idx="87">
                  <c:v>0.52325230807264211</c:v>
                </c:pt>
                <c:pt idx="88">
                  <c:v>0.52747528104561503</c:v>
                </c:pt>
                <c:pt idx="89">
                  <c:v>0.53169825401858806</c:v>
                </c:pt>
                <c:pt idx="90">
                  <c:v>0.53592122699156108</c:v>
                </c:pt>
                <c:pt idx="91">
                  <c:v>0.540144199964534</c:v>
                </c:pt>
                <c:pt idx="92">
                  <c:v>0.54436717293750703</c:v>
                </c:pt>
                <c:pt idx="93">
                  <c:v>0.54859014591047994</c:v>
                </c:pt>
                <c:pt idx="94">
                  <c:v>0.55281311888345286</c:v>
                </c:pt>
                <c:pt idx="95">
                  <c:v>0.55703609185642577</c:v>
                </c:pt>
                <c:pt idx="96">
                  <c:v>0.56125906482939869</c:v>
                </c:pt>
                <c:pt idx="97">
                  <c:v>0.56548203780237172</c:v>
                </c:pt>
                <c:pt idx="98">
                  <c:v>0.56970501077534463</c:v>
                </c:pt>
                <c:pt idx="99">
                  <c:v>0.57392798374831755</c:v>
                </c:pt>
                <c:pt idx="100">
                  <c:v>0.57815095672129058</c:v>
                </c:pt>
                <c:pt idx="101">
                  <c:v>0.58237392969426349</c:v>
                </c:pt>
                <c:pt idx="102">
                  <c:v>0.58659690266723652</c:v>
                </c:pt>
                <c:pt idx="103">
                  <c:v>0.59081987564020955</c:v>
                </c:pt>
                <c:pt idx="104">
                  <c:v>0.59504284861318235</c:v>
                </c:pt>
                <c:pt idx="105">
                  <c:v>0.59926582158615538</c:v>
                </c:pt>
                <c:pt idx="106">
                  <c:v>0.60348879455912829</c:v>
                </c:pt>
                <c:pt idx="107">
                  <c:v>0.60771176753210132</c:v>
                </c:pt>
                <c:pt idx="108">
                  <c:v>0.61193474050507435</c:v>
                </c:pt>
                <c:pt idx="109">
                  <c:v>0.61615771347804726</c:v>
                </c:pt>
                <c:pt idx="110">
                  <c:v>0.62038068645102018</c:v>
                </c:pt>
                <c:pt idx="111">
                  <c:v>0.6246036594239931</c:v>
                </c:pt>
                <c:pt idx="112">
                  <c:v>0.62882663239696601</c:v>
                </c:pt>
                <c:pt idx="113">
                  <c:v>0.63304960536993893</c:v>
                </c:pt>
                <c:pt idx="114">
                  <c:v>0.63727257834291184</c:v>
                </c:pt>
                <c:pt idx="115">
                  <c:v>0.64149555131588487</c:v>
                </c:pt>
                <c:pt idx="116">
                  <c:v>0.64571852428885779</c:v>
                </c:pt>
                <c:pt idx="117">
                  <c:v>0.64994149726183081</c:v>
                </c:pt>
                <c:pt idx="118">
                  <c:v>0.65416447023480373</c:v>
                </c:pt>
                <c:pt idx="119">
                  <c:v>0.65838744320777665</c:v>
                </c:pt>
                <c:pt idx="120">
                  <c:v>0.66261041618074956</c:v>
                </c:pt>
                <c:pt idx="121">
                  <c:v>0.66683338915372248</c:v>
                </c:pt>
                <c:pt idx="122">
                  <c:v>0.67105636212669539</c:v>
                </c:pt>
                <c:pt idx="123">
                  <c:v>0.67527933509966842</c:v>
                </c:pt>
                <c:pt idx="124">
                  <c:v>0.67950230807264134</c:v>
                </c:pt>
                <c:pt idx="125">
                  <c:v>0.68372528104561436</c:v>
                </c:pt>
                <c:pt idx="126">
                  <c:v>0.68794825401858728</c:v>
                </c:pt>
                <c:pt idx="127">
                  <c:v>0.69217122699156008</c:v>
                </c:pt>
                <c:pt idx="128">
                  <c:v>0.69639419996453311</c:v>
                </c:pt>
                <c:pt idx="129">
                  <c:v>0.70061717293750603</c:v>
                </c:pt>
                <c:pt idx="130">
                  <c:v>0.70484014591047917</c:v>
                </c:pt>
                <c:pt idx="131">
                  <c:v>0.70906311888345219</c:v>
                </c:pt>
                <c:pt idx="132">
                  <c:v>0.71328609185642522</c:v>
                </c:pt>
                <c:pt idx="133">
                  <c:v>0.71750906482939814</c:v>
                </c:pt>
                <c:pt idx="134">
                  <c:v>0.72173203780237116</c:v>
                </c:pt>
                <c:pt idx="135">
                  <c:v>0.72595501077534419</c:v>
                </c:pt>
                <c:pt idx="136">
                  <c:v>0.73017798374831722</c:v>
                </c:pt>
                <c:pt idx="137">
                  <c:v>0.73440095672129024</c:v>
                </c:pt>
                <c:pt idx="138">
                  <c:v>0.73862392969426327</c:v>
                </c:pt>
                <c:pt idx="139">
                  <c:v>0.7428469026672363</c:v>
                </c:pt>
                <c:pt idx="140">
                  <c:v>0.74706987564020921</c:v>
                </c:pt>
                <c:pt idx="141">
                  <c:v>0.75129284861318224</c:v>
                </c:pt>
                <c:pt idx="142">
                  <c:v>0.75551582158615527</c:v>
                </c:pt>
                <c:pt idx="143">
                  <c:v>0.75973879455912829</c:v>
                </c:pt>
                <c:pt idx="144">
                  <c:v>0.76396176753210132</c:v>
                </c:pt>
                <c:pt idx="145">
                  <c:v>0.76818474050507435</c:v>
                </c:pt>
                <c:pt idx="146">
                  <c:v>0.77240771347804726</c:v>
                </c:pt>
                <c:pt idx="147">
                  <c:v>0.77663068645102018</c:v>
                </c:pt>
                <c:pt idx="148">
                  <c:v>0.78085365942399321</c:v>
                </c:pt>
                <c:pt idx="149">
                  <c:v>0.78507663239696601</c:v>
                </c:pt>
                <c:pt idx="150">
                  <c:v>0.78929960536993904</c:v>
                </c:pt>
                <c:pt idx="151">
                  <c:v>0.79352257834291196</c:v>
                </c:pt>
                <c:pt idx="152">
                  <c:v>0.79774555131588487</c:v>
                </c:pt>
                <c:pt idx="153">
                  <c:v>0.8019685242888579</c:v>
                </c:pt>
                <c:pt idx="154">
                  <c:v>0.80619149726183092</c:v>
                </c:pt>
                <c:pt idx="155">
                  <c:v>0.81041447023480395</c:v>
                </c:pt>
                <c:pt idx="156">
                  <c:v>0.81463744320777698</c:v>
                </c:pt>
                <c:pt idx="157">
                  <c:v>0.81886041618075001</c:v>
                </c:pt>
                <c:pt idx="158">
                  <c:v>0.82308338915372292</c:v>
                </c:pt>
                <c:pt idx="159">
                  <c:v>0.82730636212669595</c:v>
                </c:pt>
                <c:pt idx="160">
                  <c:v>0.83152933509966898</c:v>
                </c:pt>
                <c:pt idx="161">
                  <c:v>0.835752308072642</c:v>
                </c:pt>
                <c:pt idx="162">
                  <c:v>0.83997528104561503</c:v>
                </c:pt>
                <c:pt idx="163">
                  <c:v>0.84419825401858806</c:v>
                </c:pt>
                <c:pt idx="164">
                  <c:v>0.84842122699156108</c:v>
                </c:pt>
                <c:pt idx="165">
                  <c:v>0.85264419996453422</c:v>
                </c:pt>
                <c:pt idx="166">
                  <c:v>0.85686717293750725</c:v>
                </c:pt>
                <c:pt idx="167">
                  <c:v>0.86109014591048028</c:v>
                </c:pt>
                <c:pt idx="168">
                  <c:v>0.8653131188834533</c:v>
                </c:pt>
                <c:pt idx="169">
                  <c:v>0.86953609185642633</c:v>
                </c:pt>
                <c:pt idx="170">
                  <c:v>0.87375906482939936</c:v>
                </c:pt>
                <c:pt idx="171">
                  <c:v>0.87798203780237238</c:v>
                </c:pt>
                <c:pt idx="172">
                  <c:v>0.88220501077534541</c:v>
                </c:pt>
                <c:pt idx="173">
                  <c:v>0.88642798374831866</c:v>
                </c:pt>
                <c:pt idx="174">
                  <c:v>0.89065095672129146</c:v>
                </c:pt>
                <c:pt idx="175">
                  <c:v>0.89487392969426471</c:v>
                </c:pt>
                <c:pt idx="176">
                  <c:v>0.89909690266723774</c:v>
                </c:pt>
                <c:pt idx="177">
                  <c:v>0.90331987564021077</c:v>
                </c:pt>
                <c:pt idx="178">
                  <c:v>0.90754284861318379</c:v>
                </c:pt>
                <c:pt idx="179">
                  <c:v>0.91176582158615682</c:v>
                </c:pt>
                <c:pt idx="180">
                  <c:v>0.91598879455912985</c:v>
                </c:pt>
                <c:pt idx="181">
                  <c:v>0.92021176753210288</c:v>
                </c:pt>
                <c:pt idx="182">
                  <c:v>0.9244347405050759</c:v>
                </c:pt>
                <c:pt idx="183">
                  <c:v>0.92865771347804893</c:v>
                </c:pt>
                <c:pt idx="184">
                  <c:v>0.93288068645102196</c:v>
                </c:pt>
                <c:pt idx="185">
                  <c:v>0.93710365942399509</c:v>
                </c:pt>
                <c:pt idx="186">
                  <c:v>0.94132663239696812</c:v>
                </c:pt>
                <c:pt idx="187">
                  <c:v>0.94554960536994115</c:v>
                </c:pt>
                <c:pt idx="188">
                  <c:v>0.94977257834291418</c:v>
                </c:pt>
                <c:pt idx="189">
                  <c:v>0.9539955513158872</c:v>
                </c:pt>
                <c:pt idx="190">
                  <c:v>0.95821852428886023</c:v>
                </c:pt>
                <c:pt idx="191">
                  <c:v>0.96244149726183326</c:v>
                </c:pt>
                <c:pt idx="192">
                  <c:v>0.96666447023480628</c:v>
                </c:pt>
                <c:pt idx="193">
                  <c:v>0.97088744320777931</c:v>
                </c:pt>
                <c:pt idx="194">
                  <c:v>0.97511041618075234</c:v>
                </c:pt>
                <c:pt idx="195">
                  <c:v>0.97933338915372536</c:v>
                </c:pt>
                <c:pt idx="196">
                  <c:v>0.98355636212669839</c:v>
                </c:pt>
                <c:pt idx="197">
                  <c:v>0.98777933509967153</c:v>
                </c:pt>
                <c:pt idx="198">
                  <c:v>0.99200230807264467</c:v>
                </c:pt>
                <c:pt idx="199">
                  <c:v>0.99622528104561758</c:v>
                </c:pt>
                <c:pt idx="200">
                  <c:v>1.0004482540185906</c:v>
                </c:pt>
                <c:pt idx="201">
                  <c:v>1.0046712269915636</c:v>
                </c:pt>
                <c:pt idx="202">
                  <c:v>1.0088941999645367</c:v>
                </c:pt>
                <c:pt idx="203">
                  <c:v>1.0131171729375097</c:v>
                </c:pt>
                <c:pt idx="204">
                  <c:v>1.0173401459104827</c:v>
                </c:pt>
                <c:pt idx="205">
                  <c:v>1.0215631188834555</c:v>
                </c:pt>
                <c:pt idx="206">
                  <c:v>1.0257860918564286</c:v>
                </c:pt>
                <c:pt idx="207">
                  <c:v>1.0300090648294018</c:v>
                </c:pt>
                <c:pt idx="208">
                  <c:v>1.0342320378023748</c:v>
                </c:pt>
                <c:pt idx="209">
                  <c:v>1.0384550107753479</c:v>
                </c:pt>
                <c:pt idx="210">
                  <c:v>1.0426779837483211</c:v>
                </c:pt>
                <c:pt idx="211">
                  <c:v>1.0469009567212941</c:v>
                </c:pt>
                <c:pt idx="212">
                  <c:v>1.0511239296942669</c:v>
                </c:pt>
                <c:pt idx="213">
                  <c:v>1.0553469026672402</c:v>
                </c:pt>
                <c:pt idx="214">
                  <c:v>1.059569875640213</c:v>
                </c:pt>
                <c:pt idx="215">
                  <c:v>1.0637928486131862</c:v>
                </c:pt>
                <c:pt idx="216">
                  <c:v>1.0680158215861593</c:v>
                </c:pt>
                <c:pt idx="217">
                  <c:v>1.0722387945591323</c:v>
                </c:pt>
                <c:pt idx="218">
                  <c:v>1.0764617675321051</c:v>
                </c:pt>
                <c:pt idx="219">
                  <c:v>1.0806847405050783</c:v>
                </c:pt>
                <c:pt idx="220">
                  <c:v>1.0849077134780514</c:v>
                </c:pt>
                <c:pt idx="221">
                  <c:v>1.0891306864510244</c:v>
                </c:pt>
                <c:pt idx="222">
                  <c:v>1.0933536594239976</c:v>
                </c:pt>
                <c:pt idx="223">
                  <c:v>1.0975766323969707</c:v>
                </c:pt>
                <c:pt idx="224">
                  <c:v>1.1017996053699435</c:v>
                </c:pt>
                <c:pt idx="225">
                  <c:v>1.1060225783429167</c:v>
                </c:pt>
                <c:pt idx="226">
                  <c:v>1.1102455513158898</c:v>
                </c:pt>
                <c:pt idx="227">
                  <c:v>1.1144685242888628</c:v>
                </c:pt>
                <c:pt idx="228">
                  <c:v>1.1186914972618358</c:v>
                </c:pt>
                <c:pt idx="229">
                  <c:v>1.1229144702348091</c:v>
                </c:pt>
                <c:pt idx="230">
                  <c:v>1.1271374432077819</c:v>
                </c:pt>
                <c:pt idx="231">
                  <c:v>1.1313604161807551</c:v>
                </c:pt>
                <c:pt idx="232">
                  <c:v>1.1355833891537281</c:v>
                </c:pt>
                <c:pt idx="233">
                  <c:v>1.1398063621267012</c:v>
                </c:pt>
                <c:pt idx="234">
                  <c:v>1.144029335099674</c:v>
                </c:pt>
                <c:pt idx="235">
                  <c:v>1.1482523080726472</c:v>
                </c:pt>
                <c:pt idx="236">
                  <c:v>1.15247528104562</c:v>
                </c:pt>
                <c:pt idx="237">
                  <c:v>1.1566982540185931</c:v>
                </c:pt>
                <c:pt idx="238">
                  <c:v>1.1609212269915663</c:v>
                </c:pt>
                <c:pt idx="239">
                  <c:v>1.1651441999645393</c:v>
                </c:pt>
                <c:pt idx="240">
                  <c:v>1.1693671729375124</c:v>
                </c:pt>
                <c:pt idx="241">
                  <c:v>1.1735901459104856</c:v>
                </c:pt>
                <c:pt idx="242">
                  <c:v>1.1778131188834586</c:v>
                </c:pt>
                <c:pt idx="243">
                  <c:v>1.1820360918564317</c:v>
                </c:pt>
                <c:pt idx="244">
                  <c:v>1.1862590648294047</c:v>
                </c:pt>
                <c:pt idx="245">
                  <c:v>1.1904820378023779</c:v>
                </c:pt>
                <c:pt idx="246">
                  <c:v>1.194705010775351</c:v>
                </c:pt>
                <c:pt idx="247">
                  <c:v>1.198927983748324</c:v>
                </c:pt>
                <c:pt idx="248">
                  <c:v>1.2031509567212972</c:v>
                </c:pt>
                <c:pt idx="249">
                  <c:v>1.20737392969427</c:v>
                </c:pt>
                <c:pt idx="250">
                  <c:v>1.2115969026672431</c:v>
                </c:pt>
                <c:pt idx="251">
                  <c:v>1.2158198756402163</c:v>
                </c:pt>
                <c:pt idx="252">
                  <c:v>1.2200428486131893</c:v>
                </c:pt>
                <c:pt idx="253">
                  <c:v>1.2242658215861624</c:v>
                </c:pt>
                <c:pt idx="254">
                  <c:v>1.2284887945591354</c:v>
                </c:pt>
                <c:pt idx="255">
                  <c:v>1.2327117675321086</c:v>
                </c:pt>
                <c:pt idx="256">
                  <c:v>1.2369347405050817</c:v>
                </c:pt>
                <c:pt idx="257">
                  <c:v>1.2411577134780547</c:v>
                </c:pt>
                <c:pt idx="258">
                  <c:v>1.2453806864510277</c:v>
                </c:pt>
                <c:pt idx="259">
                  <c:v>1.249603659424001</c:v>
                </c:pt>
                <c:pt idx="260">
                  <c:v>1.2538266323969742</c:v>
                </c:pt>
                <c:pt idx="261">
                  <c:v>1.2580496053699468</c:v>
                </c:pt>
                <c:pt idx="262">
                  <c:v>1.2622725783429198</c:v>
                </c:pt>
                <c:pt idx="263">
                  <c:v>1.2664955513158929</c:v>
                </c:pt>
                <c:pt idx="264">
                  <c:v>1.2707185242888663</c:v>
                </c:pt>
                <c:pt idx="265">
                  <c:v>1.2749414972618389</c:v>
                </c:pt>
                <c:pt idx="266">
                  <c:v>1.2791644702348122</c:v>
                </c:pt>
                <c:pt idx="267">
                  <c:v>1.283387443207785</c:v>
                </c:pt>
                <c:pt idx="268">
                  <c:v>1.2876104161807582</c:v>
                </c:pt>
                <c:pt idx="269">
                  <c:v>1.291833389153731</c:v>
                </c:pt>
                <c:pt idx="270">
                  <c:v>1.2960563621267043</c:v>
                </c:pt>
                <c:pt idx="271">
                  <c:v>1.3002793350996773</c:v>
                </c:pt>
                <c:pt idx="272">
                  <c:v>1.3045023080726503</c:v>
                </c:pt>
                <c:pt idx="273">
                  <c:v>1.3087252810456236</c:v>
                </c:pt>
                <c:pt idx="274">
                  <c:v>1.3129482540185966</c:v>
                </c:pt>
                <c:pt idx="275">
                  <c:v>1.3171712269915696</c:v>
                </c:pt>
                <c:pt idx="276">
                  <c:v>1.3213941999645427</c:v>
                </c:pt>
                <c:pt idx="277">
                  <c:v>1.3256171729375157</c:v>
                </c:pt>
                <c:pt idx="278">
                  <c:v>1.3298401459104889</c:v>
                </c:pt>
                <c:pt idx="279">
                  <c:v>1.3340631188834617</c:v>
                </c:pt>
                <c:pt idx="280">
                  <c:v>1.338286091856435</c:v>
                </c:pt>
                <c:pt idx="281">
                  <c:v>1.3425090648294078</c:v>
                </c:pt>
                <c:pt idx="282">
                  <c:v>1.346732037802381</c:v>
                </c:pt>
                <c:pt idx="283">
                  <c:v>1.3509550107753536</c:v>
                </c:pt>
                <c:pt idx="284">
                  <c:v>1.3551779837483271</c:v>
                </c:pt>
                <c:pt idx="285">
                  <c:v>1.3594009567213001</c:v>
                </c:pt>
                <c:pt idx="286">
                  <c:v>1.3636239296942732</c:v>
                </c:pt>
                <c:pt idx="287">
                  <c:v>1.3678469026672462</c:v>
                </c:pt>
                <c:pt idx="288">
                  <c:v>1.3720698756402192</c:v>
                </c:pt>
                <c:pt idx="289">
                  <c:v>1.3762928486131925</c:v>
                </c:pt>
                <c:pt idx="290">
                  <c:v>1.3805158215861653</c:v>
                </c:pt>
                <c:pt idx="291">
                  <c:v>1.3847387945591385</c:v>
                </c:pt>
                <c:pt idx="292">
                  <c:v>1.3889617675321111</c:v>
                </c:pt>
                <c:pt idx="293">
                  <c:v>1.3931847405050846</c:v>
                </c:pt>
                <c:pt idx="294">
                  <c:v>1.3974077134780571</c:v>
                </c:pt>
                <c:pt idx="295">
                  <c:v>1.4016306864510304</c:v>
                </c:pt>
                <c:pt idx="296">
                  <c:v>1.4058536594240032</c:v>
                </c:pt>
                <c:pt idx="297">
                  <c:v>1.4100766323969764</c:v>
                </c:pt>
                <c:pt idx="298">
                  <c:v>1.4142996053699495</c:v>
                </c:pt>
                <c:pt idx="299">
                  <c:v>1.4185225783429223</c:v>
                </c:pt>
                <c:pt idx="300">
                  <c:v>1.4227455513158951</c:v>
                </c:pt>
                <c:pt idx="301">
                  <c:v>1.4269685242888683</c:v>
                </c:pt>
                <c:pt idx="302">
                  <c:v>1.4311914972618411</c:v>
                </c:pt>
                <c:pt idx="303">
                  <c:v>1.4354144702348144</c:v>
                </c:pt>
                <c:pt idx="304">
                  <c:v>1.4396374432077872</c:v>
                </c:pt>
                <c:pt idx="305">
                  <c:v>1.4438604161807609</c:v>
                </c:pt>
                <c:pt idx="306">
                  <c:v>1.4480833891537337</c:v>
                </c:pt>
                <c:pt idx="307">
                  <c:v>1.4523063621267069</c:v>
                </c:pt>
                <c:pt idx="308">
                  <c:v>1.4565293350996797</c:v>
                </c:pt>
                <c:pt idx="309">
                  <c:v>1.4607523080726532</c:v>
                </c:pt>
                <c:pt idx="310">
                  <c:v>1.464975281045626</c:v>
                </c:pt>
                <c:pt idx="311">
                  <c:v>1.469198254018599</c:v>
                </c:pt>
                <c:pt idx="312">
                  <c:v>1.4734212269915719</c:v>
                </c:pt>
                <c:pt idx="313">
                  <c:v>1.4776441999645451</c:v>
                </c:pt>
                <c:pt idx="314">
                  <c:v>1.4818671729375184</c:v>
                </c:pt>
                <c:pt idx="315">
                  <c:v>1.4860901459104912</c:v>
                </c:pt>
                <c:pt idx="316">
                  <c:v>1.490313118883464</c:v>
                </c:pt>
                <c:pt idx="317">
                  <c:v>1.494536091856437</c:v>
                </c:pt>
                <c:pt idx="318">
                  <c:v>1.49875906482941</c:v>
                </c:pt>
                <c:pt idx="319">
                  <c:v>1.502982037802383</c:v>
                </c:pt>
                <c:pt idx="320">
                  <c:v>1.5072050107753558</c:v>
                </c:pt>
                <c:pt idx="321">
                  <c:v>1.5114279837483291</c:v>
                </c:pt>
                <c:pt idx="322">
                  <c:v>1.5156509567213019</c:v>
                </c:pt>
                <c:pt idx="323">
                  <c:v>1.5198739296942751</c:v>
                </c:pt>
                <c:pt idx="324">
                  <c:v>1.524096902667248</c:v>
                </c:pt>
                <c:pt idx="325">
                  <c:v>1.5283198756402212</c:v>
                </c:pt>
                <c:pt idx="326">
                  <c:v>1.532542848613194</c:v>
                </c:pt>
                <c:pt idx="327">
                  <c:v>1.5367658215861673</c:v>
                </c:pt>
                <c:pt idx="328">
                  <c:v>1.5409887945591405</c:v>
                </c:pt>
                <c:pt idx="329">
                  <c:v>1.5452117675321133</c:v>
                </c:pt>
                <c:pt idx="330">
                  <c:v>1.5494347405050868</c:v>
                </c:pt>
                <c:pt idx="331">
                  <c:v>1.5536577134780598</c:v>
                </c:pt>
                <c:pt idx="332">
                  <c:v>1.5578806864510328</c:v>
                </c:pt>
                <c:pt idx="333">
                  <c:v>1.5621036594240059</c:v>
                </c:pt>
                <c:pt idx="334">
                  <c:v>1.5663266323969793</c:v>
                </c:pt>
                <c:pt idx="335">
                  <c:v>1.5705496053699521</c:v>
                </c:pt>
                <c:pt idx="336">
                  <c:v>1.5747725783429252</c:v>
                </c:pt>
                <c:pt idx="337">
                  <c:v>1.578995551315898</c:v>
                </c:pt>
                <c:pt idx="338">
                  <c:v>1.5832185242888712</c:v>
                </c:pt>
                <c:pt idx="339">
                  <c:v>1.5874414972618442</c:v>
                </c:pt>
                <c:pt idx="340">
                  <c:v>1.5916644702348173</c:v>
                </c:pt>
                <c:pt idx="341">
                  <c:v>1.5958874432077901</c:v>
                </c:pt>
                <c:pt idx="342">
                  <c:v>1.6001104161807629</c:v>
                </c:pt>
                <c:pt idx="343">
                  <c:v>1.6043333891537361</c:v>
                </c:pt>
                <c:pt idx="344">
                  <c:v>1.6085563621267089</c:v>
                </c:pt>
                <c:pt idx="345">
                  <c:v>1.612779335099682</c:v>
                </c:pt>
                <c:pt idx="346">
                  <c:v>1.6170023080726552</c:v>
                </c:pt>
                <c:pt idx="347">
                  <c:v>1.621225281045628</c:v>
                </c:pt>
                <c:pt idx="348">
                  <c:v>1.6254482540186013</c:v>
                </c:pt>
                <c:pt idx="349">
                  <c:v>1.6296712269915741</c:v>
                </c:pt>
                <c:pt idx="350">
                  <c:v>1.6338941999645473</c:v>
                </c:pt>
                <c:pt idx="351">
                  <c:v>1.6381171729375201</c:v>
                </c:pt>
                <c:pt idx="352">
                  <c:v>1.6423401459104934</c:v>
                </c:pt>
                <c:pt idx="353">
                  <c:v>1.6465631188834662</c:v>
                </c:pt>
                <c:pt idx="354">
                  <c:v>1.650786091856439</c:v>
                </c:pt>
                <c:pt idx="355">
                  <c:v>1.6550090648294122</c:v>
                </c:pt>
                <c:pt idx="356">
                  <c:v>1.6592320378023853</c:v>
                </c:pt>
                <c:pt idx="357">
                  <c:v>1.6634550107753581</c:v>
                </c:pt>
                <c:pt idx="358">
                  <c:v>1.6676779837483309</c:v>
                </c:pt>
                <c:pt idx="359">
                  <c:v>1.6719009567213041</c:v>
                </c:pt>
                <c:pt idx="360">
                  <c:v>1.6761239296942774</c:v>
                </c:pt>
                <c:pt idx="361">
                  <c:v>1.6803469026672502</c:v>
                </c:pt>
                <c:pt idx="362">
                  <c:v>1.684569875640223</c:v>
                </c:pt>
                <c:pt idx="363">
                  <c:v>1.688792848613196</c:v>
                </c:pt>
                <c:pt idx="364">
                  <c:v>1.6930158215861695</c:v>
                </c:pt>
                <c:pt idx="365">
                  <c:v>1.6972387945591423</c:v>
                </c:pt>
                <c:pt idx="366">
                  <c:v>1.7014617675321155</c:v>
                </c:pt>
                <c:pt idx="367">
                  <c:v>1.7056847405050883</c:v>
                </c:pt>
                <c:pt idx="368">
                  <c:v>1.7099077134780616</c:v>
                </c:pt>
                <c:pt idx="369">
                  <c:v>1.7141306864510344</c:v>
                </c:pt>
                <c:pt idx="370">
                  <c:v>1.7183536594240074</c:v>
                </c:pt>
                <c:pt idx="371">
                  <c:v>1.7225766323969804</c:v>
                </c:pt>
                <c:pt idx="372">
                  <c:v>1.7267996053699535</c:v>
                </c:pt>
                <c:pt idx="373">
                  <c:v>1.7310225783429267</c:v>
                </c:pt>
                <c:pt idx="374">
                  <c:v>1.7352455513158995</c:v>
                </c:pt>
                <c:pt idx="375">
                  <c:v>1.7394685242888728</c:v>
                </c:pt>
                <c:pt idx="376">
                  <c:v>1.7436914972618456</c:v>
                </c:pt>
                <c:pt idx="377">
                  <c:v>1.7479144702348188</c:v>
                </c:pt>
                <c:pt idx="378">
                  <c:v>1.7521374432077916</c:v>
                </c:pt>
                <c:pt idx="379">
                  <c:v>1.7563604161807644</c:v>
                </c:pt>
                <c:pt idx="380">
                  <c:v>1.7605833891537377</c:v>
                </c:pt>
                <c:pt idx="381">
                  <c:v>1.7648063621267105</c:v>
                </c:pt>
                <c:pt idx="382">
                  <c:v>1.7690293350996835</c:v>
                </c:pt>
                <c:pt idx="383">
                  <c:v>1.7732523080726563</c:v>
                </c:pt>
                <c:pt idx="384">
                  <c:v>1.7774752810456296</c:v>
                </c:pt>
                <c:pt idx="385">
                  <c:v>1.7816982540186028</c:v>
                </c:pt>
                <c:pt idx="386">
                  <c:v>1.7859212269915756</c:v>
                </c:pt>
                <c:pt idx="387">
                  <c:v>1.7901441999645484</c:v>
                </c:pt>
                <c:pt idx="388">
                  <c:v>1.7943671729375215</c:v>
                </c:pt>
                <c:pt idx="389">
                  <c:v>1.7985901459104949</c:v>
                </c:pt>
                <c:pt idx="390">
                  <c:v>1.8028131188834677</c:v>
                </c:pt>
                <c:pt idx="391">
                  <c:v>1.807036091856441</c:v>
                </c:pt>
                <c:pt idx="392">
                  <c:v>1.8112590648294138</c:v>
                </c:pt>
                <c:pt idx="393">
                  <c:v>1.8154820378023873</c:v>
                </c:pt>
                <c:pt idx="394">
                  <c:v>1.8197050107753603</c:v>
                </c:pt>
                <c:pt idx="395">
                  <c:v>1.8239279837483333</c:v>
                </c:pt>
                <c:pt idx="396">
                  <c:v>1.8281509567213063</c:v>
                </c:pt>
                <c:pt idx="397">
                  <c:v>1.8323739296942796</c:v>
                </c:pt>
                <c:pt idx="398">
                  <c:v>1.8365969026672524</c:v>
                </c:pt>
                <c:pt idx="399">
                  <c:v>1.8408198756402252</c:v>
                </c:pt>
                <c:pt idx="400">
                  <c:v>1.8450428486131982</c:v>
                </c:pt>
                <c:pt idx="401">
                  <c:v>1.8492658215861717</c:v>
                </c:pt>
                <c:pt idx="402">
                  <c:v>1.8534887945591445</c:v>
                </c:pt>
                <c:pt idx="403">
                  <c:v>1.857711767532118</c:v>
                </c:pt>
                <c:pt idx="404">
                  <c:v>1.8619347405050908</c:v>
                </c:pt>
                <c:pt idx="405">
                  <c:v>1.8661577134780645</c:v>
                </c:pt>
                <c:pt idx="406">
                  <c:v>1.8703806864510373</c:v>
                </c:pt>
                <c:pt idx="407">
                  <c:v>1.8746036594240101</c:v>
                </c:pt>
                <c:pt idx="408">
                  <c:v>1.8788266323969836</c:v>
                </c:pt>
                <c:pt idx="409">
                  <c:v>1.8830496053699568</c:v>
                </c:pt>
                <c:pt idx="410">
                  <c:v>1.8872725783429298</c:v>
                </c:pt>
                <c:pt idx="411">
                  <c:v>1.8914955513159026</c:v>
                </c:pt>
                <c:pt idx="412">
                  <c:v>1.8957185242888752</c:v>
                </c:pt>
                <c:pt idx="413">
                  <c:v>1.899941497261848</c:v>
                </c:pt>
                <c:pt idx="414">
                  <c:v>1.9041644702348215</c:v>
                </c:pt>
                <c:pt idx="415">
                  <c:v>1.908387443207795</c:v>
                </c:pt>
                <c:pt idx="416">
                  <c:v>1.9126104161807675</c:v>
                </c:pt>
                <c:pt idx="417">
                  <c:v>1.9168333891537406</c:v>
                </c:pt>
                <c:pt idx="418">
                  <c:v>1.921056362126714</c:v>
                </c:pt>
                <c:pt idx="419">
                  <c:v>1.9252793350996869</c:v>
                </c:pt>
                <c:pt idx="420">
                  <c:v>1.9295023080726599</c:v>
                </c:pt>
                <c:pt idx="421">
                  <c:v>1.9337252810456327</c:v>
                </c:pt>
                <c:pt idx="422">
                  <c:v>1.9379482540186062</c:v>
                </c:pt>
                <c:pt idx="423">
                  <c:v>1.942171226991579</c:v>
                </c:pt>
                <c:pt idx="424">
                  <c:v>1.9463941999645515</c:v>
                </c:pt>
                <c:pt idx="425">
                  <c:v>1.9506171729375246</c:v>
                </c:pt>
                <c:pt idx="426">
                  <c:v>1.954840145910498</c:v>
                </c:pt>
                <c:pt idx="427">
                  <c:v>1.9590631188834708</c:v>
                </c:pt>
                <c:pt idx="428">
                  <c:v>1.9632860918564436</c:v>
                </c:pt>
                <c:pt idx="429">
                  <c:v>1.9675090648294167</c:v>
                </c:pt>
                <c:pt idx="430">
                  <c:v>1.9717320378023901</c:v>
                </c:pt>
                <c:pt idx="431">
                  <c:v>1.975955010775363</c:v>
                </c:pt>
                <c:pt idx="432">
                  <c:v>1.9801779837483355</c:v>
                </c:pt>
                <c:pt idx="433">
                  <c:v>1.984400956721309</c:v>
                </c:pt>
                <c:pt idx="434">
                  <c:v>1.9886239296942827</c:v>
                </c:pt>
                <c:pt idx="435">
                  <c:v>1.9928469026672555</c:v>
                </c:pt>
                <c:pt idx="436">
                  <c:v>1.9970698756402281</c:v>
                </c:pt>
                <c:pt idx="437">
                  <c:v>2.0012928486132009</c:v>
                </c:pt>
                <c:pt idx="438">
                  <c:v>2.0055158215861737</c:v>
                </c:pt>
                <c:pt idx="439">
                  <c:v>2.0097387945591474</c:v>
                </c:pt>
                <c:pt idx="440">
                  <c:v>2.0139617675321202</c:v>
                </c:pt>
                <c:pt idx="441">
                  <c:v>2.018184740505093</c:v>
                </c:pt>
                <c:pt idx="442">
                  <c:v>2.0224077134780658</c:v>
                </c:pt>
                <c:pt idx="443">
                  <c:v>2.0266306864510395</c:v>
                </c:pt>
                <c:pt idx="444">
                  <c:v>2.0308536594240119</c:v>
                </c:pt>
                <c:pt idx="445">
                  <c:v>2.0350766323969856</c:v>
                </c:pt>
                <c:pt idx="446">
                  <c:v>2.0392996053699584</c:v>
                </c:pt>
                <c:pt idx="447">
                  <c:v>2.0435225783429321</c:v>
                </c:pt>
                <c:pt idx="448">
                  <c:v>2.0477455513159049</c:v>
                </c:pt>
                <c:pt idx="449">
                  <c:v>2.0519685242888772</c:v>
                </c:pt>
                <c:pt idx="450">
                  <c:v>2.05619149726185</c:v>
                </c:pt>
                <c:pt idx="451">
                  <c:v>2.0604144702348237</c:v>
                </c:pt>
                <c:pt idx="452">
                  <c:v>2.0646374432077965</c:v>
                </c:pt>
                <c:pt idx="453">
                  <c:v>2.0688604161807693</c:v>
                </c:pt>
                <c:pt idx="454">
                  <c:v>2.0730833891537426</c:v>
                </c:pt>
                <c:pt idx="455">
                  <c:v>2.0773063621267158</c:v>
                </c:pt>
                <c:pt idx="456">
                  <c:v>2.0815293350996886</c:v>
                </c:pt>
                <c:pt idx="457">
                  <c:v>2.0857523080726614</c:v>
                </c:pt>
                <c:pt idx="458">
                  <c:v>2.0899752810456347</c:v>
                </c:pt>
                <c:pt idx="459">
                  <c:v>2.0941982540186084</c:v>
                </c:pt>
                <c:pt idx="460">
                  <c:v>2.0984212269915812</c:v>
                </c:pt>
                <c:pt idx="461">
                  <c:v>2.102644199964554</c:v>
                </c:pt>
                <c:pt idx="462">
                  <c:v>2.1068671729375268</c:v>
                </c:pt>
                <c:pt idx="463">
                  <c:v>2.1110901459104996</c:v>
                </c:pt>
                <c:pt idx="464">
                  <c:v>2.1153131188834728</c:v>
                </c:pt>
                <c:pt idx="465">
                  <c:v>2.1195360918564461</c:v>
                </c:pt>
                <c:pt idx="466">
                  <c:v>2.1237590648294189</c:v>
                </c:pt>
                <c:pt idx="467">
                  <c:v>2.1279820378023917</c:v>
                </c:pt>
                <c:pt idx="468">
                  <c:v>2.1322050107753654</c:v>
                </c:pt>
                <c:pt idx="469">
                  <c:v>2.1364279837483378</c:v>
                </c:pt>
                <c:pt idx="470">
                  <c:v>2.1406509567213114</c:v>
                </c:pt>
                <c:pt idx="471">
                  <c:v>2.1448739296942843</c:v>
                </c:pt>
                <c:pt idx="472">
                  <c:v>2.1490969026672575</c:v>
                </c:pt>
                <c:pt idx="473">
                  <c:v>2.1533198756402303</c:v>
                </c:pt>
                <c:pt idx="474">
                  <c:v>2.1575428486132031</c:v>
                </c:pt>
                <c:pt idx="475">
                  <c:v>2.1617658215861759</c:v>
                </c:pt>
                <c:pt idx="476">
                  <c:v>2.1659887945591496</c:v>
                </c:pt>
                <c:pt idx="477">
                  <c:v>2.170211767532122</c:v>
                </c:pt>
                <c:pt idx="478">
                  <c:v>2.1744347405050957</c:v>
                </c:pt>
                <c:pt idx="479">
                  <c:v>2.1786577134780685</c:v>
                </c:pt>
                <c:pt idx="480">
                  <c:v>2.1828806864510422</c:v>
                </c:pt>
                <c:pt idx="481">
                  <c:v>2.1871036594240145</c:v>
                </c:pt>
                <c:pt idx="482">
                  <c:v>2.1913266323969873</c:v>
                </c:pt>
                <c:pt idx="483">
                  <c:v>2.195549605369961</c:v>
                </c:pt>
                <c:pt idx="484">
                  <c:v>2.1997725783429343</c:v>
                </c:pt>
                <c:pt idx="485">
                  <c:v>2.2039955513159071</c:v>
                </c:pt>
                <c:pt idx="486">
                  <c:v>2.2082185242888799</c:v>
                </c:pt>
                <c:pt idx="487">
                  <c:v>2.2124414972618527</c:v>
                </c:pt>
                <c:pt idx="488">
                  <c:v>2.2166644702348255</c:v>
                </c:pt>
                <c:pt idx="489">
                  <c:v>2.2208874432077992</c:v>
                </c:pt>
                <c:pt idx="490">
                  <c:v>2.225110416180772</c:v>
                </c:pt>
                <c:pt idx="491">
                  <c:v>2.2293333891537448</c:v>
                </c:pt>
                <c:pt idx="492">
                  <c:v>2.2335563621267176</c:v>
                </c:pt>
                <c:pt idx="493">
                  <c:v>2.2377793350996913</c:v>
                </c:pt>
                <c:pt idx="494">
                  <c:v>2.2420023080726637</c:v>
                </c:pt>
                <c:pt idx="495">
                  <c:v>2.2462252810456373</c:v>
                </c:pt>
                <c:pt idx="496">
                  <c:v>2.2504482540186102</c:v>
                </c:pt>
                <c:pt idx="497">
                  <c:v>2.2546712269915838</c:v>
                </c:pt>
                <c:pt idx="498">
                  <c:v>2.2588941999645562</c:v>
                </c:pt>
                <c:pt idx="499">
                  <c:v>2.263117172937529</c:v>
                </c:pt>
                <c:pt idx="500">
                  <c:v>2.2673401459105027</c:v>
                </c:pt>
                <c:pt idx="501">
                  <c:v>2.2715631188834755</c:v>
                </c:pt>
                <c:pt idx="502">
                  <c:v>2.2757860918564483</c:v>
                </c:pt>
                <c:pt idx="503">
                  <c:v>2.2800090648294216</c:v>
                </c:pt>
                <c:pt idx="504">
                  <c:v>2.2842320378023944</c:v>
                </c:pt>
                <c:pt idx="505">
                  <c:v>2.2884550107753672</c:v>
                </c:pt>
                <c:pt idx="506">
                  <c:v>2.2926779837483404</c:v>
                </c:pt>
                <c:pt idx="507">
                  <c:v>2.2969009567213137</c:v>
                </c:pt>
                <c:pt idx="508">
                  <c:v>2.3011239296942865</c:v>
                </c:pt>
                <c:pt idx="509">
                  <c:v>2.3053469026672602</c:v>
                </c:pt>
                <c:pt idx="510">
                  <c:v>2.3095698756402325</c:v>
                </c:pt>
                <c:pt idx="511">
                  <c:v>2.3137928486132058</c:v>
                </c:pt>
                <c:pt idx="512">
                  <c:v>2.3180158215861786</c:v>
                </c:pt>
                <c:pt idx="513">
                  <c:v>2.3222387945591514</c:v>
                </c:pt>
                <c:pt idx="514">
                  <c:v>2.3264617675321242</c:v>
                </c:pt>
                <c:pt idx="515">
                  <c:v>2.330684740505097</c:v>
                </c:pt>
                <c:pt idx="516">
                  <c:v>2.3349077134780707</c:v>
                </c:pt>
                <c:pt idx="517">
                  <c:v>2.3391306864510439</c:v>
                </c:pt>
                <c:pt idx="518">
                  <c:v>2.3433536594240167</c:v>
                </c:pt>
                <c:pt idx="519">
                  <c:v>2.3475766323969895</c:v>
                </c:pt>
                <c:pt idx="520">
                  <c:v>2.3517996053699632</c:v>
                </c:pt>
                <c:pt idx="521">
                  <c:v>2.356022578342936</c:v>
                </c:pt>
                <c:pt idx="522">
                  <c:v>2.3602455513159084</c:v>
                </c:pt>
                <c:pt idx="523">
                  <c:v>2.3644685242888812</c:v>
                </c:pt>
                <c:pt idx="524">
                  <c:v>2.3686914972618553</c:v>
                </c:pt>
                <c:pt idx="525">
                  <c:v>2.3729144702348282</c:v>
                </c:pt>
                <c:pt idx="526">
                  <c:v>2.3771374432078005</c:v>
                </c:pt>
                <c:pt idx="527">
                  <c:v>2.3813604161807738</c:v>
                </c:pt>
                <c:pt idx="528">
                  <c:v>2.385583389153747</c:v>
                </c:pt>
                <c:pt idx="529">
                  <c:v>2.3898063621267198</c:v>
                </c:pt>
                <c:pt idx="530">
                  <c:v>2.3940293350996926</c:v>
                </c:pt>
                <c:pt idx="531">
                  <c:v>2.3982523080726659</c:v>
                </c:pt>
                <c:pt idx="532">
                  <c:v>2.4024752810456391</c:v>
                </c:pt>
                <c:pt idx="533">
                  <c:v>2.4066982540186119</c:v>
                </c:pt>
                <c:pt idx="534">
                  <c:v>2.4109212269915856</c:v>
                </c:pt>
                <c:pt idx="535">
                  <c:v>2.415144199964558</c:v>
                </c:pt>
                <c:pt idx="536">
                  <c:v>2.4193671729375312</c:v>
                </c:pt>
                <c:pt idx="537">
                  <c:v>2.423590145910504</c:v>
                </c:pt>
                <c:pt idx="538">
                  <c:v>2.4278131188834768</c:v>
                </c:pt>
                <c:pt idx="539">
                  <c:v>2.4320360918564496</c:v>
                </c:pt>
                <c:pt idx="540">
                  <c:v>2.4362590648294224</c:v>
                </c:pt>
                <c:pt idx="541">
                  <c:v>2.4404820378023961</c:v>
                </c:pt>
                <c:pt idx="542">
                  <c:v>2.4447050107753694</c:v>
                </c:pt>
                <c:pt idx="543">
                  <c:v>2.4489279837483422</c:v>
                </c:pt>
                <c:pt idx="544">
                  <c:v>2.453150956721315</c:v>
                </c:pt>
                <c:pt idx="545">
                  <c:v>2.4573739296942887</c:v>
                </c:pt>
                <c:pt idx="546">
                  <c:v>2.4615969026672615</c:v>
                </c:pt>
                <c:pt idx="547">
                  <c:v>2.4658198756402339</c:v>
                </c:pt>
                <c:pt idx="548">
                  <c:v>2.4700428486132067</c:v>
                </c:pt>
                <c:pt idx="549">
                  <c:v>2.4742658215861808</c:v>
                </c:pt>
                <c:pt idx="550">
                  <c:v>2.4784887945591536</c:v>
                </c:pt>
                <c:pt idx="551">
                  <c:v>2.482711767532126</c:v>
                </c:pt>
                <c:pt idx="552">
                  <c:v>2.4869347405050988</c:v>
                </c:pt>
                <c:pt idx="553">
                  <c:v>2.4911577134780725</c:v>
                </c:pt>
                <c:pt idx="554">
                  <c:v>2.4953806864510453</c:v>
                </c:pt>
                <c:pt idx="555">
                  <c:v>2.4996036594240181</c:v>
                </c:pt>
                <c:pt idx="556">
                  <c:v>2.5038266323969913</c:v>
                </c:pt>
                <c:pt idx="557">
                  <c:v>2.508049605369965</c:v>
                </c:pt>
                <c:pt idx="558">
                  <c:v>2.5122725783429378</c:v>
                </c:pt>
                <c:pt idx="559">
                  <c:v>2.5164955513159106</c:v>
                </c:pt>
                <c:pt idx="560">
                  <c:v>2.5207185242888834</c:v>
                </c:pt>
                <c:pt idx="561">
                  <c:v>2.5249414972618567</c:v>
                </c:pt>
                <c:pt idx="562">
                  <c:v>2.5291644702348295</c:v>
                </c:pt>
                <c:pt idx="563">
                  <c:v>2.5333874432078023</c:v>
                </c:pt>
                <c:pt idx="564">
                  <c:v>2.5376104161807751</c:v>
                </c:pt>
                <c:pt idx="565">
                  <c:v>2.5418333891537479</c:v>
                </c:pt>
                <c:pt idx="566">
                  <c:v>2.5460563621267216</c:v>
                </c:pt>
                <c:pt idx="567">
                  <c:v>2.5502793350996944</c:v>
                </c:pt>
                <c:pt idx="568">
                  <c:v>2.5545023080726672</c:v>
                </c:pt>
                <c:pt idx="569">
                  <c:v>2.55872528104564</c:v>
                </c:pt>
                <c:pt idx="570">
                  <c:v>2.5629482540186137</c:v>
                </c:pt>
                <c:pt idx="571">
                  <c:v>2.5671712269915865</c:v>
                </c:pt>
                <c:pt idx="572">
                  <c:v>2.5713941999645589</c:v>
                </c:pt>
                <c:pt idx="573">
                  <c:v>2.5756171729375321</c:v>
                </c:pt>
                <c:pt idx="574">
                  <c:v>2.5798401459105058</c:v>
                </c:pt>
                <c:pt idx="575">
                  <c:v>2.5840631188834786</c:v>
                </c:pt>
                <c:pt idx="576">
                  <c:v>2.5882860918564514</c:v>
                </c:pt>
                <c:pt idx="577">
                  <c:v>2.5925090648294242</c:v>
                </c:pt>
                <c:pt idx="578">
                  <c:v>2.5967320378023975</c:v>
                </c:pt>
                <c:pt idx="579">
                  <c:v>2.6009550107753703</c:v>
                </c:pt>
                <c:pt idx="580">
                  <c:v>2.6051779837483431</c:v>
                </c:pt>
                <c:pt idx="581">
                  <c:v>2.6094009567213168</c:v>
                </c:pt>
                <c:pt idx="582">
                  <c:v>2.61362392969429</c:v>
                </c:pt>
                <c:pt idx="583">
                  <c:v>2.6178469026672628</c:v>
                </c:pt>
                <c:pt idx="584">
                  <c:v>2.6220698756402356</c:v>
                </c:pt>
                <c:pt idx="585">
                  <c:v>2.6262928486132089</c:v>
                </c:pt>
                <c:pt idx="586">
                  <c:v>2.6305158215861817</c:v>
                </c:pt>
                <c:pt idx="587">
                  <c:v>2.6347387945591545</c:v>
                </c:pt>
                <c:pt idx="588">
                  <c:v>2.6389617675321269</c:v>
                </c:pt>
                <c:pt idx="589">
                  <c:v>2.6431847405051005</c:v>
                </c:pt>
                <c:pt idx="590">
                  <c:v>2.6474077134780734</c:v>
                </c:pt>
                <c:pt idx="591">
                  <c:v>2.651630686451047</c:v>
                </c:pt>
                <c:pt idx="592">
                  <c:v>2.6558536594240199</c:v>
                </c:pt>
                <c:pt idx="593">
                  <c:v>2.6600766323969927</c:v>
                </c:pt>
                <c:pt idx="594">
                  <c:v>2.6642996053699655</c:v>
                </c:pt>
                <c:pt idx="595">
                  <c:v>2.6685225783429392</c:v>
                </c:pt>
                <c:pt idx="596">
                  <c:v>2.6727455513159115</c:v>
                </c:pt>
                <c:pt idx="597">
                  <c:v>2.6769685242888843</c:v>
                </c:pt>
                <c:pt idx="598">
                  <c:v>2.6811914972618576</c:v>
                </c:pt>
                <c:pt idx="599">
                  <c:v>2.6854144702348313</c:v>
                </c:pt>
                <c:pt idx="600">
                  <c:v>2.6896374432078036</c:v>
                </c:pt>
                <c:pt idx="601">
                  <c:v>2.6938604161807769</c:v>
                </c:pt>
                <c:pt idx="602">
                  <c:v>2.6980833891537497</c:v>
                </c:pt>
                <c:pt idx="603">
                  <c:v>2.7023063621267229</c:v>
                </c:pt>
                <c:pt idx="604">
                  <c:v>2.7065293350996957</c:v>
                </c:pt>
                <c:pt idx="605">
                  <c:v>2.7107523080726685</c:v>
                </c:pt>
                <c:pt idx="606">
                  <c:v>2.7149752810456418</c:v>
                </c:pt>
                <c:pt idx="607">
                  <c:v>2.7191982540186155</c:v>
                </c:pt>
                <c:pt idx="608">
                  <c:v>2.7234212269915883</c:v>
                </c:pt>
                <c:pt idx="609">
                  <c:v>2.7276441999645611</c:v>
                </c:pt>
                <c:pt idx="610">
                  <c:v>2.7318671729375343</c:v>
                </c:pt>
                <c:pt idx="611">
                  <c:v>2.7360902881561069</c:v>
                </c:pt>
                <c:pt idx="612">
                  <c:v>2.7403446299463425</c:v>
                </c:pt>
                <c:pt idx="613">
                  <c:v>2.7446304292038541</c:v>
                </c:pt>
                <c:pt idx="614">
                  <c:v>2.7489479185315449</c:v>
                </c:pt>
                <c:pt idx="615">
                  <c:v>2.7532973322522287</c:v>
                </c:pt>
                <c:pt idx="616">
                  <c:v>2.757678906421352</c:v>
                </c:pt>
                <c:pt idx="617">
                  <c:v>2.7620928788398023</c:v>
                </c:pt>
                <c:pt idx="618">
                  <c:v>2.7665394890668153</c:v>
                </c:pt>
                <c:pt idx="619">
                  <c:v>2.7710189784329771</c:v>
                </c:pt>
                <c:pt idx="620">
                  <c:v>2.77553159005332</c:v>
                </c:pt>
                <c:pt idx="621">
                  <c:v>2.7800775688405177</c:v>
                </c:pt>
                <c:pt idx="622">
                  <c:v>2.7846571615181808</c:v>
                </c:pt>
                <c:pt idx="623">
                  <c:v>2.7892706166342416</c:v>
                </c:pt>
                <c:pt idx="624">
                  <c:v>2.7939181845744483</c:v>
                </c:pt>
                <c:pt idx="625">
                  <c:v>2.798600117575949</c:v>
                </c:pt>
                <c:pt idx="626">
                  <c:v>2.8033166697409881</c:v>
                </c:pt>
                <c:pt idx="627">
                  <c:v>2.8080680970506919</c:v>
                </c:pt>
                <c:pt idx="628">
                  <c:v>2.8128546573789639</c:v>
                </c:pt>
                <c:pt idx="629">
                  <c:v>2.8176766105064779</c:v>
                </c:pt>
                <c:pt idx="630">
                  <c:v>2.8225342181347806</c:v>
                </c:pt>
                <c:pt idx="631">
                  <c:v>2.8274277439004933</c:v>
                </c:pt>
                <c:pt idx="632">
                  <c:v>2.8323574533896183</c:v>
                </c:pt>
                <c:pt idx="633">
                  <c:v>2.8373236141519551</c:v>
                </c:pt>
                <c:pt idx="634">
                  <c:v>2.8423264957156222</c:v>
                </c:pt>
                <c:pt idx="635">
                  <c:v>2.8473663696016818</c:v>
                </c:pt>
                <c:pt idx="636">
                  <c:v>2.8524435093388805</c:v>
                </c:pt>
                <c:pt idx="637">
                  <c:v>2.8575581904784886</c:v>
                </c:pt>
                <c:pt idx="638">
                  <c:v>2.8627106906092616</c:v>
                </c:pt>
                <c:pt idx="639">
                  <c:v>2.8679012893725022</c:v>
                </c:pt>
                <c:pt idx="640">
                  <c:v>2.8731302684772357</c:v>
                </c:pt>
                <c:pt idx="641">
                  <c:v>2.8783979117155019</c:v>
                </c:pt>
                <c:pt idx="642">
                  <c:v>2.8837045049777577</c:v>
                </c:pt>
                <c:pt idx="643">
                  <c:v>2.8890503362683919</c:v>
                </c:pt>
                <c:pt idx="644">
                  <c:v>2.8944356957213553</c:v>
                </c:pt>
                <c:pt idx="645">
                  <c:v>2.8998608756159086</c:v>
                </c:pt>
                <c:pt idx="646">
                  <c:v>2.9053261703924838</c:v>
                </c:pt>
                <c:pt idx="647">
                  <c:v>2.9108318766686678</c:v>
                </c:pt>
                <c:pt idx="648">
                  <c:v>2.9163782932552946</c:v>
                </c:pt>
                <c:pt idx="649">
                  <c:v>2.9219657211726702</c:v>
                </c:pt>
                <c:pt idx="650">
                  <c:v>2.9275944636669018</c:v>
                </c:pt>
                <c:pt idx="651">
                  <c:v>2.9332648262263636</c:v>
                </c:pt>
                <c:pt idx="652">
                  <c:v>2.9389771165982692</c:v>
                </c:pt>
                <c:pt idx="653">
                  <c:v>2.9447316448053824</c:v>
                </c:pt>
                <c:pt idx="654">
                  <c:v>2.9505287231628325</c:v>
                </c:pt>
                <c:pt idx="655">
                  <c:v>2.9563686662950746</c:v>
                </c:pt>
                <c:pt idx="656">
                  <c:v>2.9622517911529598</c:v>
                </c:pt>
                <c:pt idx="657">
                  <c:v>2.9681784170309378</c:v>
                </c:pt>
                <c:pt idx="658">
                  <c:v>2.974148865584386</c:v>
                </c:pt>
                <c:pt idx="659">
                  <c:v>2.9801634608470677</c:v>
                </c:pt>
                <c:pt idx="660">
                  <c:v>2.9862225292487174</c:v>
                </c:pt>
                <c:pt idx="661">
                  <c:v>2.9923263996327578</c:v>
                </c:pt>
                <c:pt idx="662">
                  <c:v>2.9984754032741452</c:v>
                </c:pt>
                <c:pt idx="663">
                  <c:v>3.0046698738973521</c:v>
                </c:pt>
                <c:pt idx="664">
                  <c:v>3.0109101476944757</c:v>
                </c:pt>
                <c:pt idx="665">
                  <c:v>3.0171965633434876</c:v>
                </c:pt>
                <c:pt idx="666">
                  <c:v>3.0235294620266133</c:v>
                </c:pt>
                <c:pt idx="667">
                  <c:v>3.0299091874488462</c:v>
                </c:pt>
                <c:pt idx="668">
                  <c:v>3.0363360858566062</c:v>
                </c:pt>
                <c:pt idx="669">
                  <c:v>3.0428105060565307</c:v>
                </c:pt>
                <c:pt idx="670">
                  <c:v>3.0493327994344015</c:v>
                </c:pt>
                <c:pt idx="671">
                  <c:v>3.0559033199742198</c:v>
                </c:pt>
                <c:pt idx="672">
                  <c:v>3.0625224242774176</c:v>
                </c:pt>
                <c:pt idx="673">
                  <c:v>3.0691904715822065</c:v>
                </c:pt>
                <c:pt idx="674">
                  <c:v>3.0759078237830835</c:v>
                </c:pt>
                <c:pt idx="675">
                  <c:v>3.0826748454504624</c:v>
                </c:pt>
                <c:pt idx="676">
                  <c:v>3.0894919038504685</c:v>
                </c:pt>
                <c:pt idx="677">
                  <c:v>3.0963593689648623</c:v>
                </c:pt>
                <c:pt idx="678">
                  <c:v>3.1032776135111324</c:v>
                </c:pt>
                <c:pt idx="679">
                  <c:v>3.1102470129627084</c:v>
                </c:pt>
                <c:pt idx="680">
                  <c:v>3.1172679455693508</c:v>
                </c:pt>
                <c:pt idx="681">
                  <c:v>3.1243407923776738</c:v>
                </c:pt>
                <c:pt idx="682">
                  <c:v>3.1314659372518312</c:v>
                </c:pt>
                <c:pt idx="683">
                  <c:v>3.138643766894341</c:v>
                </c:pt>
                <c:pt idx="684">
                  <c:v>3.1458746708670833</c:v>
                </c:pt>
                <c:pt idx="685">
                  <c:v>3.1531590416124344</c:v>
                </c:pt>
                <c:pt idx="686">
                  <c:v>3.1604972744745701</c:v>
                </c:pt>
                <c:pt idx="687">
                  <c:v>3.1678897677209217</c:v>
                </c:pt>
                <c:pt idx="688">
                  <c:v>3.1753369225637913</c:v>
                </c:pt>
                <c:pt idx="689">
                  <c:v>3.1828391431821248</c:v>
                </c:pt>
                <c:pt idx="690">
                  <c:v>3.1903968367434499</c:v>
                </c:pt>
                <c:pt idx="691">
                  <c:v>3.1980104134259757</c:v>
                </c:pt>
                <c:pt idx="692">
                  <c:v>3.205680286440848</c:v>
                </c:pt>
                <c:pt idx="693">
                  <c:v>3.213406872054585</c:v>
                </c:pt>
                <c:pt idx="694">
                  <c:v>3.2211905896116599</c:v>
                </c:pt>
                <c:pt idx="695">
                  <c:v>3.2290318615572642</c:v>
                </c:pt>
                <c:pt idx="696">
                  <c:v>3.2369311134602383</c:v>
                </c:pt>
                <c:pt idx="697">
                  <c:v>3.2448887740361627</c:v>
                </c:pt>
                <c:pt idx="698">
                  <c:v>3.2529052751706273</c:v>
                </c:pt>
                <c:pt idx="699">
                  <c:v>3.2609810519426738</c:v>
                </c:pt>
                <c:pt idx="700">
                  <c:v>3.2691165426484052</c:v>
                </c:pt>
                <c:pt idx="701">
                  <c:v>3.2773121888247765</c:v>
                </c:pt>
                <c:pt idx="702">
                  <c:v>3.2855684352735528</c:v>
                </c:pt>
                <c:pt idx="703">
                  <c:v>3.2938857300854596</c:v>
                </c:pt>
                <c:pt idx="704">
                  <c:v>3.3022645246644902</c:v>
                </c:pt>
                <c:pt idx="705">
                  <c:v>3.3107052737524163</c:v>
                </c:pt>
                <c:pt idx="706">
                  <c:v>3.3192084354534579</c:v>
                </c:pt>
                <c:pt idx="707">
                  <c:v>3.3277744712591542</c:v>
                </c:pt>
                <c:pt idx="708">
                  <c:v>3.3364038460734031</c:v>
                </c:pt>
                <c:pt idx="709">
                  <c:v>3.3450970282377015</c:v>
                </c:pt>
                <c:pt idx="710">
                  <c:v>3.3538544895565532</c:v>
                </c:pt>
                <c:pt idx="711">
                  <c:v>3.3626767053230826</c:v>
                </c:pt>
                <c:pt idx="712">
                  <c:v>3.3715641543448274</c:v>
                </c:pt>
                <c:pt idx="713">
                  <c:v>3.380517318969726</c:v>
                </c:pt>
                <c:pt idx="714">
                  <c:v>3.3895366851122959</c:v>
                </c:pt>
                <c:pt idx="715">
                  <c:v>3.3986227422800042</c:v>
                </c:pt>
                <c:pt idx="716">
                  <c:v>3.4077759835998371</c:v>
                </c:pt>
                <c:pt idx="717">
                  <c:v>3.4169969058450582</c:v>
                </c:pt>
                <c:pt idx="718">
                  <c:v>3.4262860094621796</c:v>
                </c:pt>
                <c:pt idx="719">
                  <c:v>3.4356437985981123</c:v>
                </c:pt>
                <c:pt idx="720">
                  <c:v>3.4450707811275314</c:v>
                </c:pt>
                <c:pt idx="721">
                  <c:v>3.4545674686804406</c:v>
                </c:pt>
                <c:pt idx="722">
                  <c:v>3.4641343766699451</c:v>
                </c:pt>
                <c:pt idx="723">
                  <c:v>3.4737720243202115</c:v>
                </c:pt>
                <c:pt idx="724">
                  <c:v>3.4834809346946618</c:v>
                </c:pt>
                <c:pt idx="725">
                  <c:v>3.4932616347243504</c:v>
                </c:pt>
                <c:pt idx="726">
                  <c:v>3.5031146552365704</c:v>
                </c:pt>
                <c:pt idx="727">
                  <c:v>3.5130405309836563</c:v>
                </c:pt>
                <c:pt idx="728">
                  <c:v>3.5230398006720165</c:v>
                </c:pt>
                <c:pt idx="729">
                  <c:v>3.5331130069913543</c:v>
                </c:pt>
                <c:pt idx="730">
                  <c:v>3.543260696644138</c:v>
                </c:pt>
                <c:pt idx="731">
                  <c:v>3.553483420375263</c:v>
                </c:pt>
                <c:pt idx="732">
                  <c:v>3.5637817330019459</c:v>
                </c:pt>
                <c:pt idx="733">
                  <c:v>3.5741561934438306</c:v>
                </c:pt>
                <c:pt idx="734">
                  <c:v>3.5846073647533303</c:v>
                </c:pt>
                <c:pt idx="735">
                  <c:v>3.5951358141461789</c:v>
                </c:pt>
                <c:pt idx="736">
                  <c:v>3.6057421130322225</c:v>
                </c:pt>
                <c:pt idx="737">
                  <c:v>3.6164268370464234</c:v>
                </c:pt>
                <c:pt idx="738">
                  <c:v>3.6271905660801091</c:v>
                </c:pt>
                <c:pt idx="739">
                  <c:v>3.638033884312438</c:v>
                </c:pt>
                <c:pt idx="740">
                  <c:v>3.6489573802421122</c:v>
                </c:pt>
                <c:pt idx="741">
                  <c:v>3.6599616467193106</c:v>
                </c:pt>
                <c:pt idx="742">
                  <c:v>3.6710472809778647</c:v>
                </c:pt>
                <c:pt idx="743">
                  <c:v>3.6822148846676779</c:v>
                </c:pt>
                <c:pt idx="744">
                  <c:v>3.6934650638873712</c:v>
                </c:pt>
                <c:pt idx="745">
                  <c:v>3.7047984292171856</c:v>
                </c:pt>
                <c:pt idx="746">
                  <c:v>3.7162155957521135</c:v>
                </c:pt>
                <c:pt idx="747">
                  <c:v>3.727717183135288</c:v>
                </c:pt>
                <c:pt idx="748">
                  <c:v>3.7393038155916041</c:v>
                </c:pt>
                <c:pt idx="749">
                  <c:v>3.7509761219616102</c:v>
                </c:pt>
                <c:pt idx="750">
                  <c:v>3.7627347357356209</c:v>
                </c:pt>
                <c:pt idx="751">
                  <c:v>3.7745802950881151</c:v>
                </c:pt>
                <c:pt idx="752">
                  <c:v>3.7865134429123533</c:v>
                </c:pt>
                <c:pt idx="753">
                  <c:v>3.7985348268552914</c:v>
                </c:pt>
                <c:pt idx="754">
                  <c:v>3.8106450993527079</c:v>
                </c:pt>
                <c:pt idx="755">
                  <c:v>3.8228449176646313</c:v>
                </c:pt>
                <c:pt idx="756">
                  <c:v>3.8351349439109987</c:v>
                </c:pt>
                <c:pt idx="757">
                  <c:v>3.8475158451076008</c:v>
                </c:pt>
                <c:pt idx="758">
                  <c:v>3.8599882932022758</c:v>
                </c:pt>
                <c:pt idx="759">
                  <c:v>3.8725529651113835</c:v>
                </c:pt>
                <c:pt idx="760">
                  <c:v>3.8852105427565378</c:v>
                </c:pt>
                <c:pt idx="761">
                  <c:v>3.8979617131016187</c:v>
                </c:pt>
                <c:pt idx="762">
                  <c:v>3.9108071681900607</c:v>
                </c:pt>
                <c:pt idx="763">
                  <c:v>3.9237476051824074</c:v>
                </c:pt>
                <c:pt idx="764">
                  <c:v>3.9367837263941441</c:v>
                </c:pt>
                <c:pt idx="765">
                  <c:v>3.9499162393338252</c:v>
                </c:pt>
                <c:pt idx="766">
                  <c:v>3.9631458567414639</c:v>
                </c:pt>
                <c:pt idx="767">
                  <c:v>3.9764732966272196</c:v>
                </c:pt>
                <c:pt idx="768">
                  <c:v>3.9898992823103643</c:v>
                </c:pt>
                <c:pt idx="769">
                  <c:v>4.0034245424585384</c:v>
                </c:pt>
                <c:pt idx="770">
                  <c:v>4.017049811127297</c:v>
                </c:pt>
                <c:pt idx="771">
                  <c:v>4.0307758277999568</c:v>
                </c:pt>
                <c:pt idx="772">
                  <c:v>4.0446033374277208</c:v>
                </c:pt>
                <c:pt idx="773">
                  <c:v>4.0585330904701102</c:v>
                </c:pt>
                <c:pt idx="774">
                  <c:v>4.0725658429357026</c:v>
                </c:pt>
                <c:pt idx="775">
                  <c:v>4.0867023564231486</c:v>
                </c:pt>
                <c:pt idx="776">
                  <c:v>4.1009433981625243</c:v>
                </c:pt>
                <c:pt idx="777">
                  <c:v>4.1152897410569471</c:v>
                </c:pt>
                <c:pt idx="778">
                  <c:v>4.1297421637245515</c:v>
                </c:pt>
                <c:pt idx="779">
                  <c:v>4.1443014505407199</c:v>
                </c:pt>
                <c:pt idx="780">
                  <c:v>4.158968391680677</c:v>
                </c:pt>
                <c:pt idx="781">
                  <c:v>4.1737437831623527</c:v>
                </c:pt>
                <c:pt idx="782">
                  <c:v>4.1886284268896059</c:v>
                </c:pt>
                <c:pt idx="783">
                  <c:v>4.2036231306957257</c:v>
                </c:pt>
                <c:pt idx="784">
                  <c:v>4.2187287083872897</c:v>
                </c:pt>
                <c:pt idx="785">
                  <c:v>4.233945979788329</c:v>
                </c:pt>
                <c:pt idx="786">
                  <c:v>4.2492757707848154</c:v>
                </c:pt>
                <c:pt idx="787">
                  <c:v>4.2647189133694887</c:v>
                </c:pt>
                <c:pt idx="788">
                  <c:v>4.2802762456870163</c:v>
                </c:pt>
                <c:pt idx="789">
                  <c:v>4.2959486120794752</c:v>
                </c:pt>
                <c:pt idx="790">
                  <c:v>4.3117368631321789</c:v>
                </c:pt>
                <c:pt idx="791">
                  <c:v>4.3276418557198442</c:v>
                </c:pt>
                <c:pt idx="792">
                  <c:v>4.3436644530530888</c:v>
                </c:pt>
                <c:pt idx="793">
                  <c:v>4.3598055247252878</c:v>
                </c:pt>
                <c:pt idx="794">
                  <c:v>4.3760659467597698</c:v>
                </c:pt>
                <c:pt idx="795">
                  <c:v>4.3924466016573502</c:v>
                </c:pt>
                <c:pt idx="796">
                  <c:v>4.4089483784442391</c:v>
                </c:pt>
                <c:pt idx="797">
                  <c:v>4.4255721727202877</c:v>
                </c:pt>
                <c:pt idx="798">
                  <c:v>4.4423188867075929</c:v>
                </c:pt>
                <c:pt idx="799">
                  <c:v>4.4591894292994665</c:v>
                </c:pt>
                <c:pt idx="800">
                  <c:v>4.476184716109759</c:v>
                </c:pt>
                <c:pt idx="801">
                  <c:v>4.4933056695225595</c:v>
                </c:pt>
                <c:pt idx="802">
                  <c:v>4.5105532187422464</c:v>
                </c:pt>
                <c:pt idx="803">
                  <c:v>4.5279282998439339</c:v>
                </c:pt>
                <c:pt idx="804">
                  <c:v>4.5454318558242575</c:v>
                </c:pt>
                <c:pt idx="805">
                  <c:v>4.563064836652563</c:v>
                </c:pt>
                <c:pt idx="806">
                  <c:v>4.580828199322462</c:v>
                </c:pt>
                <c:pt idx="807">
                  <c:v>4.5987229079037757</c:v>
                </c:pt>
                <c:pt idx="808">
                  <c:v>4.6167499335948445</c:v>
                </c:pt>
                <c:pt idx="809">
                  <c:v>4.6349102547752601</c:v>
                </c:pt>
                <c:pt idx="810">
                  <c:v>4.653204857058939</c:v>
                </c:pt>
                <c:pt idx="811">
                  <c:v>4.6716347333476334</c:v>
                </c:pt>
                <c:pt idx="812">
                  <c:v>4.690200883884807</c:v>
                </c:pt>
                <c:pt idx="813">
                  <c:v>4.7089043163099422</c:v>
                </c:pt>
                <c:pt idx="814">
                  <c:v>4.7277460457131877</c:v>
                </c:pt>
                <c:pt idx="815">
                  <c:v>4.7467270946904918</c:v>
                </c:pt>
                <c:pt idx="816">
                  <c:v>4.7658484933990923</c:v>
                </c:pt>
                <c:pt idx="817">
                  <c:v>4.7851112796133943</c:v>
                </c:pt>
                <c:pt idx="818">
                  <c:v>4.8045164987813411</c:v>
                </c:pt>
                <c:pt idx="819">
                  <c:v>4.8240652040811147</c:v>
                </c:pt>
                <c:pt idx="820">
                  <c:v>4.8437584564783212</c:v>
                </c:pt>
                <c:pt idx="821">
                  <c:v>4.8635973247835516</c:v>
                </c:pt>
                <c:pt idx="822">
                  <c:v>4.8835828857104122</c:v>
                </c:pt>
                <c:pt idx="823">
                  <c:v>4.9037162239339382</c:v>
                </c:pt>
                <c:pt idx="824">
                  <c:v>4.9239984321494745</c:v>
                </c:pt>
                <c:pt idx="825">
                  <c:v>4.9444306111319793</c:v>
                </c:pt>
                <c:pt idx="826">
                  <c:v>4.9650138697957598</c:v>
                </c:pt>
                <c:pt idx="827">
                  <c:v>4.985749325254667</c:v>
                </c:pt>
                <c:pt idx="828">
                  <c:v>5.0066381028827216</c:v>
                </c:pt>
                <c:pt idx="829">
                  <c:v>5.0276813363751769</c:v>
                </c:pt>
                <c:pt idx="830">
                  <c:v>5.0488801678100668</c:v>
                </c:pt>
                <c:pt idx="831">
                  <c:v>5.0702357477101794</c:v>
                </c:pt>
                <c:pt idx="832">
                  <c:v>5.0917492351055031</c:v>
                </c:pt>
                <c:pt idx="833">
                  <c:v>5.1134217975961258</c:v>
                </c:pt>
                <c:pt idx="834">
                  <c:v>5.1352546114156192</c:v>
                </c:pt>
                <c:pt idx="835">
                  <c:v>5.1572488614948488</c:v>
                </c:pt>
                <c:pt idx="836">
                  <c:v>5.1794057415263151</c:v>
                </c:pt>
                <c:pt idx="837">
                  <c:v>5.2017264540289077</c:v>
                </c:pt>
                <c:pt idx="838">
                  <c:v>5.2242122104132065</c:v>
                </c:pt>
                <c:pt idx="839">
                  <c:v>5.2468642310471774</c:v>
                </c:pt>
                <c:pt idx="840">
                  <c:v>5.2696837453224594</c:v>
                </c:pt>
                <c:pt idx="841">
                  <c:v>5.2926719917210638</c:v>
                </c:pt>
                <c:pt idx="842">
                  <c:v>5.3158302178825645</c:v>
                </c:pt>
                <c:pt idx="843">
                  <c:v>5.3391596806718633</c:v>
                </c:pt>
                <c:pt idx="844">
                  <c:v>5.362661646247358</c:v>
                </c:pt>
                <c:pt idx="845">
                  <c:v>5.3863373901296949</c:v>
                </c:pt>
                <c:pt idx="846">
                  <c:v>5.4101881972709611</c:v>
                </c:pt>
                <c:pt idx="847">
                  <c:v>5.4342153621244575</c:v>
                </c:pt>
                <c:pt idx="848">
                  <c:v>5.458420188714924</c:v>
                </c:pt>
                <c:pt idx="849">
                  <c:v>5.4828039907093267</c:v>
                </c:pt>
                <c:pt idx="850">
                  <c:v>5.5073680914881535</c:v>
                </c:pt>
                <c:pt idx="851">
                  <c:v>5.5321138242172356</c:v>
                </c:pt>
                <c:pt idx="852">
                  <c:v>5.5570425319201009</c:v>
                </c:pt>
                <c:pt idx="853">
                  <c:v>5.5821555675508705</c:v>
                </c:pt>
                <c:pt idx="854">
                  <c:v>5.607454294067689</c:v>
                </c:pt>
                <c:pt idx="855">
                  <c:v>5.632940084506675</c:v>
                </c:pt>
                <c:pt idx="856">
                  <c:v>5.6586143220564651</c:v>
                </c:pt>
                <c:pt idx="857">
                  <c:v>5.68447840013327</c:v>
                </c:pt>
                <c:pt idx="858">
                  <c:v>5.7105337224564998</c:v>
                </c:pt>
                <c:pt idx="859">
                  <c:v>5.7367817031249642</c:v>
                </c:pt>
                <c:pt idx="860">
                  <c:v>5.763223766693593</c:v>
                </c:pt>
                <c:pt idx="861">
                  <c:v>5.7898613482507653</c:v>
                </c:pt>
                <c:pt idx="862">
                  <c:v>5.8166958934962034</c:v>
                </c:pt>
                <c:pt idx="863">
                  <c:v>5.843728858819432</c:v>
                </c:pt>
                <c:pt idx="864">
                  <c:v>5.8709617113787882</c:v>
                </c:pt>
                <c:pt idx="865">
                  <c:v>5.8983959291811017</c:v>
                </c:pt>
                <c:pt idx="866">
                  <c:v>5.9260330011618896</c:v>
                </c:pt>
                <c:pt idx="867">
                  <c:v>5.9538744272661273</c:v>
                </c:pt>
                <c:pt idx="868">
                  <c:v>5.9819217185297235</c:v>
                </c:pt>
                <c:pt idx="869">
                  <c:v>6.0101763971614739</c:v>
                </c:pt>
                <c:pt idx="870">
                  <c:v>6.0386399966256947</c:v>
                </c:pt>
                <c:pt idx="871">
                  <c:v>6.0673140617254608</c:v>
                </c:pt>
                <c:pt idx="872">
                  <c:v>6.0962001486864326</c:v>
                </c:pt>
                <c:pt idx="873">
                  <c:v>6.1252998252413082</c:v>
                </c:pt>
                <c:pt idx="874">
                  <c:v>6.1546146707149276</c:v>
                </c:pt>
                <c:pt idx="875">
                  <c:v>6.1841462761099777</c:v>
                </c:pt>
                <c:pt idx="876">
                  <c:v>6.2138962441933412</c:v>
                </c:pt>
                <c:pt idx="877">
                  <c:v>6.2438661895830814</c:v>
                </c:pt>
                <c:pt idx="878">
                  <c:v>6.2740577388360927</c:v>
                </c:pt>
                <c:pt idx="879">
                  <c:v>6.3044725305363363</c:v>
                </c:pt>
                <c:pt idx="880">
                  <c:v>6.3351122153838197</c:v>
                </c:pt>
                <c:pt idx="881">
                  <c:v>6.3659784562841457</c:v>
                </c:pt>
                <c:pt idx="882">
                  <c:v>6.3970729284387842</c:v>
                </c:pt>
                <c:pt idx="883">
                  <c:v>6.4283973194359785</c:v>
                </c:pt>
                <c:pt idx="884">
                  <c:v>6.4599533293423583</c:v>
                </c:pt>
                <c:pt idx="885">
                  <c:v>6.4917426707951762</c:v>
                </c:pt>
                <c:pt idx="886">
                  <c:v>6.5237670690952783</c:v>
                </c:pt>
                <c:pt idx="887">
                  <c:v>6.5560282623007282</c:v>
                </c:pt>
                <c:pt idx="888">
                  <c:v>6.588528001321162</c:v>
                </c:pt>
                <c:pt idx="889">
                  <c:v>6.6212680500127732</c:v>
                </c:pt>
                <c:pt idx="890">
                  <c:v>6.6542501852740861</c:v>
                </c:pt>
                <c:pt idx="891">
                  <c:v>6.6874761971423773</c:v>
                </c:pt>
                <c:pt idx="892">
                  <c:v>6.7209478888907874</c:v>
                </c:pt>
                <c:pt idx="893">
                  <c:v>6.7546670771262667</c:v>
                </c:pt>
                <c:pt idx="894">
                  <c:v>6.7886355918881023</c:v>
                </c:pt>
                <c:pt idx="895">
                  <c:v>6.8228552767472701</c:v>
                </c:pt>
                <c:pt idx="896">
                  <c:v>6.8573279889064773</c:v>
                </c:pt>
                <c:pt idx="897">
                  <c:v>6.8920555993009769</c:v>
                </c:pt>
                <c:pt idx="898">
                  <c:v>6.9270399927000987</c:v>
                </c:pt>
                <c:pt idx="899">
                  <c:v>6.962283067809528</c:v>
                </c:pt>
                <c:pt idx="900">
                  <c:v>6.9977867373743683</c:v>
                </c:pt>
                <c:pt idx="901">
                  <c:v>7.033552928282953</c:v>
                </c:pt>
                <c:pt idx="902">
                  <c:v>7.0695835816714085</c:v>
                </c:pt>
                <c:pt idx="903">
                  <c:v>7.1058806530290397</c:v>
                </c:pt>
                <c:pt idx="904">
                  <c:v>7.1424461123044143</c:v>
                </c:pt>
                <c:pt idx="905">
                  <c:v>7.1792819440123061</c:v>
                </c:pt>
                <c:pt idx="906">
                  <c:v>7.2163901473413903</c:v>
                </c:pt>
                <c:pt idx="907">
                  <c:v>7.253772736262766</c:v>
                </c:pt>
                <c:pt idx="908">
                  <c:v>7.2914317396392194</c:v>
                </c:pt>
                <c:pt idx="909">
                  <c:v>7.3293692013353855</c:v>
                </c:pt>
                <c:pt idx="910">
                  <c:v>7.3675871803286288</c:v>
                </c:pt>
                <c:pt idx="911">
                  <c:v>7.40608775082082</c:v>
                </c:pt>
                <c:pt idx="912">
                  <c:v>7.4448730023508913</c:v>
                </c:pt>
                <c:pt idx="913">
                  <c:v>7.4839450399082761</c:v>
                </c:pt>
                <c:pt idx="914">
                  <c:v>7.5233059840470817</c:v>
                </c:pt>
                <c:pt idx="915">
                  <c:v>7.5629579710012562</c:v>
                </c:pt>
                <c:pt idx="916">
                  <c:v>7.6029031528005175</c:v>
                </c:pt>
                <c:pt idx="917">
                  <c:v>7.643143697387063</c:v>
                </c:pt>
                <c:pt idx="918">
                  <c:v>7.6836817887333533</c:v>
                </c:pt>
                <c:pt idx="919">
                  <c:v>7.7245196269605563</c:v>
                </c:pt>
                <c:pt idx="920">
                  <c:v>7.7656594284579903</c:v>
                </c:pt>
                <c:pt idx="921">
                  <c:v>7.8071034260033967</c:v>
                </c:pt>
                <c:pt idx="922">
                  <c:v>7.848853868884154</c:v>
                </c:pt>
                <c:pt idx="923">
                  <c:v>7.890913023019305</c:v>
                </c:pt>
                <c:pt idx="924">
                  <c:v>7.9332831710825573</c:v>
                </c:pt>
                <c:pt idx="925">
                  <c:v>7.9759666126261974</c:v>
                </c:pt>
                <c:pt idx="926">
                  <c:v>8.0189656642058402</c:v>
                </c:pt>
                <c:pt idx="927">
                  <c:v>8.0622826595061863</c:v>
                </c:pt>
                <c:pt idx="928">
                  <c:v>8.105919949467701</c:v>
                </c:pt>
                <c:pt idx="929">
                  <c:v>8.1498799024141508</c:v>
                </c:pt>
                <c:pt idx="930">
                  <c:v>8.1941649041811857</c:v>
                </c:pt>
                <c:pt idx="931">
                  <c:v>8.2387773582457999</c:v>
                </c:pt>
                <c:pt idx="932">
                  <c:v>8.2837196858567808</c:v>
                </c:pt>
                <c:pt idx="933">
                  <c:v>8.328994326166141</c:v>
                </c:pt>
                <c:pt idx="934">
                  <c:v>8.3746037363614718</c:v>
                </c:pt>
                <c:pt idx="935">
                  <c:v>8.4205503917992974</c:v>
                </c:pt>
                <c:pt idx="936">
                  <c:v>8.4668367861394351</c:v>
                </c:pt>
                <c:pt idx="937">
                  <c:v>8.5134654314803235</c:v>
                </c:pt>
                <c:pt idx="938">
                  <c:v>8.5604388584954023</c:v>
                </c:pt>
                <c:pt idx="939">
                  <c:v>8.6077596165703607</c:v>
                </c:pt>
                <c:pt idx="940">
                  <c:v>8.6554302739416205</c:v>
                </c:pt>
                <c:pt idx="941">
                  <c:v>8.7034534178356502</c:v>
                </c:pt>
                <c:pt idx="942">
                  <c:v>8.7518316546093775</c:v>
                </c:pt>
                <c:pt idx="943">
                  <c:v>8.8005676098916901</c:v>
                </c:pt>
                <c:pt idx="944">
                  <c:v>8.8496639287258869</c:v>
                </c:pt>
                <c:pt idx="945">
                  <c:v>8.8991232757132632</c:v>
                </c:pt>
                <c:pt idx="946">
                  <c:v>8.9489483351577075</c:v>
                </c:pt>
                <c:pt idx="947">
                  <c:v>8.9991418112114214</c:v>
                </c:pt>
                <c:pt idx="948">
                  <c:v>9.0497064280216364</c:v>
                </c:pt>
                <c:pt idx="949">
                  <c:v>9.1006449298784826</c:v>
                </c:pt>
                <c:pt idx="950">
                  <c:v>9.1519600813639261</c:v>
                </c:pt>
                <c:pt idx="951">
                  <c:v>9.2036546675018371</c:v>
                </c:pt>
                <c:pt idx="952">
                  <c:v>9.2557314939090833</c:v>
                </c:pt>
                <c:pt idx="953">
                  <c:v>9.3081933869478704</c:v>
                </c:pt>
                <c:pt idx="954">
                  <c:v>9.3610431938790697</c:v>
                </c:pt>
                <c:pt idx="955">
                  <c:v>9.4142837830167903</c:v>
                </c:pt>
                <c:pt idx="956">
                  <c:v>9.4679180438840369</c:v>
                </c:pt>
                <c:pt idx="957">
                  <c:v>9.5219488873695362</c:v>
                </c:pt>
                <c:pt idx="958">
                  <c:v>9.576379245885704</c:v>
                </c:pt>
                <c:pt idx="959">
                  <c:v>9.6312120735278288</c:v>
                </c:pt>
                <c:pt idx="960">
                  <c:v>9.6864503462343858</c:v>
                </c:pt>
                <c:pt idx="961">
                  <c:v>9.7420970619485168</c:v>
                </c:pt>
                <c:pt idx="962">
                  <c:v>9.7981552407807655</c:v>
                </c:pt>
                <c:pt idx="963">
                  <c:v>9.8546279251730304</c:v>
                </c:pt>
                <c:pt idx="964">
                  <c:v>9.9115181800635668</c:v>
                </c:pt>
                <c:pt idx="965">
                  <c:v>9.9688290930534738</c:v>
                </c:pt>
                <c:pt idx="966">
                  <c:v>10.026563774574194</c:v>
                </c:pt>
                <c:pt idx="967">
                  <c:v>10.084725358056273</c:v>
                </c:pt>
                <c:pt idx="968">
                  <c:v>10.143317000099541</c:v>
                </c:pt>
                <c:pt idx="969">
                  <c:v>10.202341880644356</c:v>
                </c:pt>
                <c:pt idx="970">
                  <c:v>10.261803203144181</c:v>
                </c:pt>
                <c:pt idx="971">
                  <c:v>10.321704194739464</c:v>
                </c:pt>
                <c:pt idx="972">
                  <c:v>10.382048106432817</c:v>
                </c:pt>
                <c:pt idx="973">
                  <c:v>10.442838213265397</c:v>
                </c:pt>
                <c:pt idx="974">
                  <c:v>10.504077814494684</c:v>
                </c:pt>
                <c:pt idx="975">
                  <c:v>10.565770233773543</c:v>
                </c:pt>
                <c:pt idx="976">
                  <c:v>10.627918819330606</c:v>
                </c:pt>
                <c:pt idx="977">
                  <c:v>10.690526944151955</c:v>
                </c:pt>
                <c:pt idx="978">
                  <c:v>10.753598006164294</c:v>
                </c:pt>
                <c:pt idx="979">
                  <c:v>10.817135428419213</c:v>
                </c:pt>
                <c:pt idx="980">
                  <c:v>10.881142659279071</c:v>
                </c:pt>
                <c:pt idx="981">
                  <c:v>10.945623172604108</c:v>
                </c:pt>
                <c:pt idx="982">
                  <c:v>11.010580467940999</c:v>
                </c:pt>
                <c:pt idx="983">
                  <c:v>11.076018070712767</c:v>
                </c:pt>
                <c:pt idx="984">
                  <c:v>11.141939532410159</c:v>
                </c:pt>
                <c:pt idx="985">
                  <c:v>11.208348430784335</c:v>
                </c:pt>
                <c:pt idx="986">
                  <c:v>11.275248370041073</c:v>
                </c:pt>
                <c:pt idx="987">
                  <c:v>11.342642981036402</c:v>
                </c:pt>
                <c:pt idx="988">
                  <c:v>11.410535921473652</c:v>
                </c:pt>
                <c:pt idx="989">
                  <c:v>11.478930876101883</c:v>
                </c:pt>
                <c:pt idx="990">
                  <c:v>11.547831556916009</c:v>
                </c:pt>
                <c:pt idx="991">
                  <c:v>11.617241703358186</c:v>
                </c:pt>
                <c:pt idx="992">
                  <c:v>11.687165082520695</c:v>
                </c:pt>
                <c:pt idx="993">
                  <c:v>11.757605489350549</c:v>
                </c:pt>
                <c:pt idx="994">
                  <c:v>11.828566746855316</c:v>
                </c:pt>
                <c:pt idx="995">
                  <c:v>11.900052706310664</c:v>
                </c:pt>
                <c:pt idx="996">
                  <c:v>11.972067247469399</c:v>
                </c:pt>
                <c:pt idx="997">
                  <c:v>12.044614278772</c:v>
                </c:pt>
                <c:pt idx="998">
                  <c:v>12.117697737558737</c:v>
                </c:pt>
                <c:pt idx="999">
                  <c:v>12.191321590283376</c:v>
                </c:pt>
                <c:pt idx="1000">
                  <c:v>12.26548983272845</c:v>
                </c:pt>
              </c:numCache>
              <c:extLst xmlns:c15="http://schemas.microsoft.com/office/drawing/2012/chart"/>
            </c:numRef>
          </c:xVal>
          <c:yVal>
            <c:numRef>
              <c:f>Production_Forecast!$P$12:$P$1012</c:f>
              <c:numCache>
                <c:formatCode>0.0</c:formatCode>
                <c:ptCount val="1001"/>
                <c:pt idx="0">
                  <c:v>0.59340295890410966</c:v>
                </c:pt>
                <c:pt idx="1">
                  <c:v>0.67069849166136197</c:v>
                </c:pt>
                <c:pt idx="2">
                  <c:v>0.75806239245516971</c:v>
                </c:pt>
                <c:pt idx="3">
                  <c:v>0.85680614761990981</c:v>
                </c:pt>
                <c:pt idx="4">
                  <c:v>0.96841207518770933</c:v>
                </c:pt>
                <c:pt idx="5">
                  <c:v>1.0945555770981645</c:v>
                </c:pt>
                <c:pt idx="6">
                  <c:v>1.2371302899382735</c:v>
                </c:pt>
                <c:pt idx="7">
                  <c:v>1.3982765117695766</c:v>
                </c:pt>
                <c:pt idx="8">
                  <c:v>1.5804133317793441</c:v>
                </c:pt>
                <c:pt idx="9">
                  <c:v>1.7862749450785942</c:v>
                </c:pt>
                <c:pt idx="10">
                  <c:v>2.0189516977961235</c:v>
                </c:pt>
                <c:pt idx="11">
                  <c:v>2.2819364786278764</c:v>
                </c:pt>
                <c:pt idx="12">
                  <c:v>2.5791771532606647</c:v>
                </c:pt>
                <c:pt idx="13">
                  <c:v>2.915135828803487</c:v>
                </c:pt>
                <c:pt idx="14">
                  <c:v>3.2948558378901494</c:v>
                </c:pt>
                <c:pt idx="15">
                  <c:v>3.7240374480027758</c:v>
                </c:pt>
                <c:pt idx="16">
                  <c:v>4.2091234325467939</c:v>
                </c:pt>
                <c:pt idx="17">
                  <c:v>4.7573957882502187</c:v>
                </c:pt>
                <c:pt idx="18">
                  <c:v>4.7854877694497819</c:v>
                </c:pt>
                <c:pt idx="19">
                  <c:v>4.7876225730207658</c:v>
                </c:pt>
                <c:pt idx="20">
                  <c:v>4.7897583289264958</c:v>
                </c:pt>
                <c:pt idx="21">
                  <c:v>4.7918950375918117</c:v>
                </c:pt>
                <c:pt idx="22">
                  <c:v>4.7940326994417353</c:v>
                </c:pt>
                <c:pt idx="23">
                  <c:v>4.7961713149014829</c:v>
                </c:pt>
                <c:pt idx="24">
                  <c:v>4.7983108843964608</c:v>
                </c:pt>
                <c:pt idx="25">
                  <c:v>4.8004514083522603</c:v>
                </c:pt>
                <c:pt idx="26">
                  <c:v>4.8025928871946704</c:v>
                </c:pt>
                <c:pt idx="27">
                  <c:v>4.8047353213496624</c:v>
                </c:pt>
                <c:pt idx="28">
                  <c:v>4.8068787112434013</c:v>
                </c:pt>
                <c:pt idx="29">
                  <c:v>4.809023057302241</c:v>
                </c:pt>
                <c:pt idx="30">
                  <c:v>4.8111683599527284</c:v>
                </c:pt>
                <c:pt idx="31">
                  <c:v>4.8133146196215959</c:v>
                </c:pt>
                <c:pt idx="32">
                  <c:v>4.8154618367357704</c:v>
                </c:pt>
                <c:pt idx="33">
                  <c:v>4.8176100117223672</c:v>
                </c:pt>
                <c:pt idx="34">
                  <c:v>4.8197591450086943</c:v>
                </c:pt>
                <c:pt idx="35">
                  <c:v>4.8219092370222461</c:v>
                </c:pt>
                <c:pt idx="36">
                  <c:v>4.8240602881907124</c:v>
                </c:pt>
                <c:pt idx="37">
                  <c:v>4.8262122989419707</c:v>
                </c:pt>
                <c:pt idx="38">
                  <c:v>4.8283652697040909</c:v>
                </c:pt>
                <c:pt idx="39">
                  <c:v>4.8305192009053313</c:v>
                </c:pt>
                <c:pt idx="40">
                  <c:v>4.8326740929741465</c:v>
                </c:pt>
                <c:pt idx="41">
                  <c:v>4.8348299463391777</c:v>
                </c:pt>
                <c:pt idx="42">
                  <c:v>4.8369867614292588</c:v>
                </c:pt>
                <c:pt idx="43">
                  <c:v>4.8391445386734118</c:v>
                </c:pt>
                <c:pt idx="44">
                  <c:v>4.8413032785008587</c:v>
                </c:pt>
                <c:pt idx="45">
                  <c:v>4.8434629813410046</c:v>
                </c:pt>
                <c:pt idx="46">
                  <c:v>4.8456236476234471</c:v>
                </c:pt>
                <c:pt idx="47">
                  <c:v>4.8477852777779793</c:v>
                </c:pt>
                <c:pt idx="48">
                  <c:v>4.8499478722345843</c:v>
                </c:pt>
                <c:pt idx="49">
                  <c:v>4.8521114314234373</c:v>
                </c:pt>
                <c:pt idx="50">
                  <c:v>4.8542759557749005</c:v>
                </c:pt>
                <c:pt idx="51">
                  <c:v>4.856441445719538</c:v>
                </c:pt>
                <c:pt idx="52">
                  <c:v>4.8586079016880976</c:v>
                </c:pt>
                <c:pt idx="53">
                  <c:v>4.8607753241115237</c:v>
                </c:pt>
                <c:pt idx="54">
                  <c:v>4.8629437134209494</c:v>
                </c:pt>
                <c:pt idx="55">
                  <c:v>4.8651130700477037</c:v>
                </c:pt>
                <c:pt idx="56">
                  <c:v>4.8672833944233043</c:v>
                </c:pt>
                <c:pt idx="57">
                  <c:v>4.8694546869794655</c:v>
                </c:pt>
                <c:pt idx="58">
                  <c:v>4.8716269481480907</c:v>
                </c:pt>
                <c:pt idx="59">
                  <c:v>4.8738001783612779</c:v>
                </c:pt>
                <c:pt idx="60">
                  <c:v>4.8759743780513167</c:v>
                </c:pt>
                <c:pt idx="61">
                  <c:v>4.8781495476506933</c:v>
                </c:pt>
                <c:pt idx="62">
                  <c:v>4.8803256875920802</c:v>
                </c:pt>
                <c:pt idx="63">
                  <c:v>4.8825027983083462</c:v>
                </c:pt>
                <c:pt idx="64">
                  <c:v>4.8846808802325565</c:v>
                </c:pt>
                <c:pt idx="65">
                  <c:v>4.8868599337979646</c:v>
                </c:pt>
                <c:pt idx="66">
                  <c:v>4.8890399594380192</c:v>
                </c:pt>
                <c:pt idx="67">
                  <c:v>4.8912209575863637</c:v>
                </c:pt>
                <c:pt idx="68">
                  <c:v>4.8934029286768306</c:v>
                </c:pt>
                <c:pt idx="69">
                  <c:v>4.8955858731434514</c:v>
                </c:pt>
                <c:pt idx="70">
                  <c:v>4.8977697914204485</c:v>
                </c:pt>
                <c:pt idx="71">
                  <c:v>4.8999546839422372</c:v>
                </c:pt>
                <c:pt idx="72">
                  <c:v>4.9021405511434271</c:v>
                </c:pt>
                <c:pt idx="73">
                  <c:v>4.9043273934588232</c:v>
                </c:pt>
                <c:pt idx="74">
                  <c:v>4.9065152113234234</c:v>
                </c:pt>
                <c:pt idx="75">
                  <c:v>4.9087040051724191</c:v>
                </c:pt>
                <c:pt idx="76">
                  <c:v>4.9108937754411981</c:v>
                </c:pt>
                <c:pt idx="77">
                  <c:v>4.9130845225653399</c:v>
                </c:pt>
                <c:pt idx="78">
                  <c:v>4.9152762469806168</c:v>
                </c:pt>
                <c:pt idx="79">
                  <c:v>4.917468949123001</c:v>
                </c:pt>
                <c:pt idx="80">
                  <c:v>4.9196626294286547</c:v>
                </c:pt>
                <c:pt idx="81">
                  <c:v>4.9218572883339364</c:v>
                </c:pt>
                <c:pt idx="82">
                  <c:v>4.9240529262753991</c:v>
                </c:pt>
                <c:pt idx="83">
                  <c:v>4.9262495436897904</c:v>
                </c:pt>
                <c:pt idx="84">
                  <c:v>4.9284471410140496</c:v>
                </c:pt>
                <c:pt idx="85">
                  <c:v>4.9306457186853194</c:v>
                </c:pt>
                <c:pt idx="86">
                  <c:v>4.9328452771409275</c:v>
                </c:pt>
                <c:pt idx="87">
                  <c:v>4.9350458168184037</c:v>
                </c:pt>
                <c:pt idx="88">
                  <c:v>4.93724733815547</c:v>
                </c:pt>
                <c:pt idx="89">
                  <c:v>4.9394498415900419</c:v>
                </c:pt>
                <c:pt idx="90">
                  <c:v>4.9416533275602372</c:v>
                </c:pt>
                <c:pt idx="91">
                  <c:v>4.9438577965043633</c:v>
                </c:pt>
                <c:pt idx="92">
                  <c:v>4.9460632488609209</c:v>
                </c:pt>
                <c:pt idx="93">
                  <c:v>4.9482696850686123</c:v>
                </c:pt>
                <c:pt idx="94">
                  <c:v>4.9504771055663328</c:v>
                </c:pt>
                <c:pt idx="95">
                  <c:v>4.9526855107931738</c:v>
                </c:pt>
                <c:pt idx="96">
                  <c:v>4.954894901188422</c:v>
                </c:pt>
                <c:pt idx="97">
                  <c:v>4.9571052771915607</c:v>
                </c:pt>
                <c:pt idx="98">
                  <c:v>4.9593166392422692</c:v>
                </c:pt>
                <c:pt idx="99">
                  <c:v>4.9615289877804232</c:v>
                </c:pt>
                <c:pt idx="100">
                  <c:v>4.9637423232460929</c:v>
                </c:pt>
                <c:pt idx="101">
                  <c:v>4.9659566460795466</c:v>
                </c:pt>
                <c:pt idx="102">
                  <c:v>4.9681719567212497</c:v>
                </c:pt>
                <c:pt idx="103">
                  <c:v>4.9703882556118621</c:v>
                </c:pt>
                <c:pt idx="104">
                  <c:v>4.9726055431922411</c:v>
                </c:pt>
                <c:pt idx="105">
                  <c:v>4.9748238199034409</c:v>
                </c:pt>
                <c:pt idx="106">
                  <c:v>4.9770430861867103</c:v>
                </c:pt>
                <c:pt idx="107">
                  <c:v>4.9792633424835007</c:v>
                </c:pt>
                <c:pt idx="108">
                  <c:v>4.9814845892354542</c:v>
                </c:pt>
                <c:pt idx="109">
                  <c:v>4.9837068268844122</c:v>
                </c:pt>
                <c:pt idx="110">
                  <c:v>4.985930055872414</c:v>
                </c:pt>
                <c:pt idx="111">
                  <c:v>4.988154276641696</c:v>
                </c:pt>
                <c:pt idx="112">
                  <c:v>4.9903794896346891</c:v>
                </c:pt>
                <c:pt idx="113">
                  <c:v>4.9926056952940252</c:v>
                </c:pt>
                <c:pt idx="114">
                  <c:v>4.9948328940625339</c:v>
                </c:pt>
                <c:pt idx="115">
                  <c:v>4.9970610863832379</c:v>
                </c:pt>
                <c:pt idx="116">
                  <c:v>4.999290272699362</c:v>
                </c:pt>
                <c:pt idx="117">
                  <c:v>5.0015204534543258</c:v>
                </c:pt>
                <c:pt idx="118">
                  <c:v>5.0037516290917479</c:v>
                </c:pt>
                <c:pt idx="119">
                  <c:v>5.0059838000554473</c:v>
                </c:pt>
                <c:pt idx="120">
                  <c:v>5.0082169667894343</c:v>
                </c:pt>
                <c:pt idx="121">
                  <c:v>5.0104511297379277</c:v>
                </c:pt>
                <c:pt idx="122">
                  <c:v>5.0126862893453321</c:v>
                </c:pt>
                <c:pt idx="123">
                  <c:v>5.0149224460562589</c:v>
                </c:pt>
                <c:pt idx="124">
                  <c:v>5.0171596003155159</c:v>
                </c:pt>
                <c:pt idx="125">
                  <c:v>5.0193977525681079</c:v>
                </c:pt>
                <c:pt idx="126">
                  <c:v>5.0216369032592416</c:v>
                </c:pt>
                <c:pt idx="127">
                  <c:v>5.0238770528343162</c:v>
                </c:pt>
                <c:pt idx="128">
                  <c:v>5.0261182017389361</c:v>
                </c:pt>
                <c:pt idx="129">
                  <c:v>5.0283603504189012</c:v>
                </c:pt>
                <c:pt idx="130">
                  <c:v>5.0306034993202102</c:v>
                </c:pt>
                <c:pt idx="131">
                  <c:v>5.0328476488890601</c:v>
                </c:pt>
                <c:pt idx="132">
                  <c:v>5.0350927995718511</c:v>
                </c:pt>
                <c:pt idx="133">
                  <c:v>5.037338951815177</c:v>
                </c:pt>
                <c:pt idx="134">
                  <c:v>5.0395861060658351</c:v>
                </c:pt>
                <c:pt idx="135">
                  <c:v>5.0418342627708208</c:v>
                </c:pt>
                <c:pt idx="136">
                  <c:v>5.0440834223773248</c:v>
                </c:pt>
                <c:pt idx="137">
                  <c:v>5.0463335853327438</c:v>
                </c:pt>
                <c:pt idx="138">
                  <c:v>5.0485847520846727</c:v>
                </c:pt>
                <c:pt idx="139">
                  <c:v>5.0508369230809018</c:v>
                </c:pt>
                <c:pt idx="140">
                  <c:v>5.0530900987694247</c:v>
                </c:pt>
                <c:pt idx="141">
                  <c:v>5.0553442795984358</c:v>
                </c:pt>
                <c:pt idx="142">
                  <c:v>5.0575994660163239</c:v>
                </c:pt>
                <c:pt idx="143">
                  <c:v>5.0598556584716858</c:v>
                </c:pt>
                <c:pt idx="144">
                  <c:v>5.0621128574133127</c:v>
                </c:pt>
                <c:pt idx="145">
                  <c:v>5.0643710632901966</c:v>
                </c:pt>
                <c:pt idx="146">
                  <c:v>5.0666302765515319</c:v>
                </c:pt>
                <c:pt idx="147">
                  <c:v>5.068890497646712</c:v>
                </c:pt>
                <c:pt idx="148">
                  <c:v>5.071151727025331</c:v>
                </c:pt>
                <c:pt idx="149">
                  <c:v>5.0734139651371839</c:v>
                </c:pt>
                <c:pt idx="150">
                  <c:v>5.0756772124322653</c:v>
                </c:pt>
                <c:pt idx="151">
                  <c:v>5.0779414693607725</c:v>
                </c:pt>
                <c:pt idx="152">
                  <c:v>5.0802067363730998</c:v>
                </c:pt>
                <c:pt idx="153">
                  <c:v>5.0824730139198495</c:v>
                </c:pt>
                <c:pt idx="154">
                  <c:v>5.0847403024518174</c:v>
                </c:pt>
                <c:pt idx="155">
                  <c:v>5.0870086024200027</c:v>
                </c:pt>
                <c:pt idx="156">
                  <c:v>5.0892779142756099</c:v>
                </c:pt>
                <c:pt idx="157">
                  <c:v>5.0915482384700379</c:v>
                </c:pt>
                <c:pt idx="158">
                  <c:v>5.0938195754548925</c:v>
                </c:pt>
                <c:pt idx="159">
                  <c:v>5.0960919256819794</c:v>
                </c:pt>
                <c:pt idx="160">
                  <c:v>5.0983652896033043</c:v>
                </c:pt>
                <c:pt idx="161">
                  <c:v>5.1006396676710741</c:v>
                </c:pt>
                <c:pt idx="162">
                  <c:v>5.102915060337704</c:v>
                </c:pt>
                <c:pt idx="163">
                  <c:v>5.1051914680557999</c:v>
                </c:pt>
                <c:pt idx="164">
                  <c:v>5.1074688912781809</c:v>
                </c:pt>
                <c:pt idx="165">
                  <c:v>5.1097473304578598</c:v>
                </c:pt>
                <c:pt idx="166">
                  <c:v>5.1120267860480544</c:v>
                </c:pt>
                <c:pt idx="167">
                  <c:v>5.1143072585021887</c:v>
                </c:pt>
                <c:pt idx="168">
                  <c:v>5.1165887482738803</c:v>
                </c:pt>
                <c:pt idx="169">
                  <c:v>5.1188712558169573</c:v>
                </c:pt>
                <c:pt idx="170">
                  <c:v>5.1211547815854459</c:v>
                </c:pt>
                <c:pt idx="171">
                  <c:v>5.1234393260335747</c:v>
                </c:pt>
                <c:pt idx="172">
                  <c:v>5.1257248896157801</c:v>
                </c:pt>
                <c:pt idx="173">
                  <c:v>5.1280114727866914</c:v>
                </c:pt>
                <c:pt idx="174">
                  <c:v>5.1302990760011511</c:v>
                </c:pt>
                <c:pt idx="175">
                  <c:v>5.1325876997141986</c:v>
                </c:pt>
                <c:pt idx="176">
                  <c:v>5.1348773443810769</c:v>
                </c:pt>
                <c:pt idx="177">
                  <c:v>5.1371680104572359</c:v>
                </c:pt>
                <c:pt idx="178">
                  <c:v>5.1394596983983227</c:v>
                </c:pt>
                <c:pt idx="179">
                  <c:v>5.1417524086601931</c:v>
                </c:pt>
                <c:pt idx="180">
                  <c:v>5.144046141698901</c:v>
                </c:pt>
                <c:pt idx="181">
                  <c:v>5.1463408979707079</c:v>
                </c:pt>
                <c:pt idx="182">
                  <c:v>5.14863667793208</c:v>
                </c:pt>
                <c:pt idx="183">
                  <c:v>5.1509334820396795</c:v>
                </c:pt>
                <c:pt idx="184">
                  <c:v>5.1532313107503835</c:v>
                </c:pt>
                <c:pt idx="185">
                  <c:v>5.1555301645212621</c:v>
                </c:pt>
                <c:pt idx="186">
                  <c:v>5.1578300438095965</c:v>
                </c:pt>
                <c:pt idx="187">
                  <c:v>5.1601309490728688</c:v>
                </c:pt>
                <c:pt idx="188">
                  <c:v>5.1624328807687663</c:v>
                </c:pt>
                <c:pt idx="189">
                  <c:v>5.1647358393551794</c:v>
                </c:pt>
                <c:pt idx="190">
                  <c:v>5.1670398252902032</c:v>
                </c:pt>
                <c:pt idx="191">
                  <c:v>5.1693448390321395</c:v>
                </c:pt>
                <c:pt idx="192">
                  <c:v>5.171650881039489</c:v>
                </c:pt>
                <c:pt idx="193">
                  <c:v>5.1739579517709631</c:v>
                </c:pt>
                <c:pt idx="194">
                  <c:v>5.1762660516854737</c:v>
                </c:pt>
                <c:pt idx="195">
                  <c:v>5.1785751812421399</c:v>
                </c:pt>
                <c:pt idx="196">
                  <c:v>5.1808853409002831</c:v>
                </c:pt>
                <c:pt idx="197">
                  <c:v>5.1831965311194326</c:v>
                </c:pt>
                <c:pt idx="198">
                  <c:v>5.1855087523593211</c:v>
                </c:pt>
                <c:pt idx="199">
                  <c:v>5.1878220050798838</c:v>
                </c:pt>
                <c:pt idx="200">
                  <c:v>5.1901362897412664</c:v>
                </c:pt>
                <c:pt idx="201">
                  <c:v>5.192451606803818</c:v>
                </c:pt>
                <c:pt idx="202">
                  <c:v>5.1947679567280876</c:v>
                </c:pt>
                <c:pt idx="203">
                  <c:v>5.1970853399748398</c:v>
                </c:pt>
                <c:pt idx="204">
                  <c:v>5.1994037570050349</c:v>
                </c:pt>
                <c:pt idx="205">
                  <c:v>5.2017232082798461</c:v>
                </c:pt>
                <c:pt idx="206">
                  <c:v>5.2040436942606467</c:v>
                </c:pt>
                <c:pt idx="207">
                  <c:v>5.2063652154090212</c:v>
                </c:pt>
                <c:pt idx="208">
                  <c:v>5.2086877721867548</c:v>
                </c:pt>
                <c:pt idx="209">
                  <c:v>5.2110113650558443</c:v>
                </c:pt>
                <c:pt idx="210">
                  <c:v>5.2133359944784861</c:v>
                </c:pt>
                <c:pt idx="211">
                  <c:v>5.2156616609170889</c:v>
                </c:pt>
                <c:pt idx="212">
                  <c:v>5.2179883648342633</c:v>
                </c:pt>
                <c:pt idx="213">
                  <c:v>5.2203161066928283</c:v>
                </c:pt>
                <c:pt idx="214">
                  <c:v>5.22264488695581</c:v>
                </c:pt>
                <c:pt idx="215">
                  <c:v>5.2249747060864378</c:v>
                </c:pt>
                <c:pt idx="216">
                  <c:v>5.2273055645481525</c:v>
                </c:pt>
                <c:pt idx="217">
                  <c:v>5.2296374628045976</c:v>
                </c:pt>
                <c:pt idx="218">
                  <c:v>5.231970401319626</c:v>
                </c:pt>
                <c:pt idx="219">
                  <c:v>5.2343043805572949</c:v>
                </c:pt>
                <c:pt idx="220">
                  <c:v>5.2366394009818729</c:v>
                </c:pt>
                <c:pt idx="221">
                  <c:v>5.2389754630578311</c:v>
                </c:pt>
                <c:pt idx="222">
                  <c:v>5.2413125672498477</c:v>
                </c:pt>
                <c:pt idx="223">
                  <c:v>5.2436507140228139</c:v>
                </c:pt>
                <c:pt idx="224">
                  <c:v>5.2459899038418225</c:v>
                </c:pt>
                <c:pt idx="225">
                  <c:v>5.2483301371721769</c:v>
                </c:pt>
                <c:pt idx="226">
                  <c:v>5.2506714144793838</c:v>
                </c:pt>
                <c:pt idx="227">
                  <c:v>5.2530137362291667</c:v>
                </c:pt>
                <c:pt idx="228">
                  <c:v>5.2553571028874444</c:v>
                </c:pt>
                <c:pt idx="229">
                  <c:v>5.2577015149203543</c:v>
                </c:pt>
                <c:pt idx="230">
                  <c:v>5.2600469727942354</c:v>
                </c:pt>
                <c:pt idx="231">
                  <c:v>5.2623934769756371</c:v>
                </c:pt>
                <c:pt idx="232">
                  <c:v>5.2647410279313185</c:v>
                </c:pt>
                <c:pt idx="233">
                  <c:v>5.2670896261282421</c:v>
                </c:pt>
                <c:pt idx="234">
                  <c:v>5.2694392720335843</c:v>
                </c:pt>
                <c:pt idx="235">
                  <c:v>5.2717899661147252</c:v>
                </c:pt>
                <c:pt idx="236">
                  <c:v>5.2741417088392559</c:v>
                </c:pt>
                <c:pt idx="237">
                  <c:v>5.2764945006749775</c:v>
                </c:pt>
                <c:pt idx="238">
                  <c:v>5.278848342089896</c:v>
                </c:pt>
                <c:pt idx="239">
                  <c:v>5.2812032335522288</c:v>
                </c:pt>
                <c:pt idx="240">
                  <c:v>5.2835591755304012</c:v>
                </c:pt>
                <c:pt idx="241">
                  <c:v>5.2859161684930482</c:v>
                </c:pt>
                <c:pt idx="242">
                  <c:v>5.2882742129090143</c:v>
                </c:pt>
                <c:pt idx="243">
                  <c:v>5.2906333092473492</c:v>
                </c:pt>
                <c:pt idx="244">
                  <c:v>5.2929934579773175</c:v>
                </c:pt>
                <c:pt idx="245">
                  <c:v>5.2953546595683898</c:v>
                </c:pt>
                <c:pt idx="246">
                  <c:v>5.2977169144902474</c:v>
                </c:pt>
                <c:pt idx="247">
                  <c:v>5.300080223212781</c:v>
                </c:pt>
                <c:pt idx="248">
                  <c:v>5.3024445862060885</c:v>
                </c:pt>
                <c:pt idx="249">
                  <c:v>5.3048100039404815</c:v>
                </c:pt>
                <c:pt idx="250">
                  <c:v>5.307176476886478</c:v>
                </c:pt>
                <c:pt idx="251">
                  <c:v>5.3095440055148089</c:v>
                </c:pt>
                <c:pt idx="252">
                  <c:v>5.3119125902964131</c:v>
                </c:pt>
                <c:pt idx="253">
                  <c:v>5.3142822317024372</c:v>
                </c:pt>
                <c:pt idx="254">
                  <c:v>5.3166529302042465</c:v>
                </c:pt>
                <c:pt idx="255">
                  <c:v>5.3190246862734059</c:v>
                </c:pt>
                <c:pt idx="256">
                  <c:v>5.3213975003816962</c:v>
                </c:pt>
                <c:pt idx="257">
                  <c:v>5.3237713730011116</c:v>
                </c:pt>
                <c:pt idx="258">
                  <c:v>5.3261463046038493</c:v>
                </c:pt>
                <c:pt idx="259">
                  <c:v>5.3285222956623244</c:v>
                </c:pt>
                <c:pt idx="260">
                  <c:v>5.3308993466491561</c:v>
                </c:pt>
                <c:pt idx="261">
                  <c:v>5.3332774580371805</c:v>
                </c:pt>
                <c:pt idx="262">
                  <c:v>5.335656630299443</c:v>
                </c:pt>
                <c:pt idx="263">
                  <c:v>5.3380368639091964</c:v>
                </c:pt>
                <c:pt idx="264">
                  <c:v>5.3404181593399063</c:v>
                </c:pt>
                <c:pt idx="265">
                  <c:v>5.3428005170652551</c:v>
                </c:pt>
                <c:pt idx="266">
                  <c:v>5.3451839375591277</c:v>
                </c:pt>
                <c:pt idx="267">
                  <c:v>5.3475684212956258</c:v>
                </c:pt>
                <c:pt idx="268">
                  <c:v>5.3499539687490634</c:v>
                </c:pt>
                <c:pt idx="269">
                  <c:v>5.3523405803939594</c:v>
                </c:pt>
                <c:pt idx="270">
                  <c:v>5.3547282567050551</c:v>
                </c:pt>
                <c:pt idx="271">
                  <c:v>5.3571169981572915</c:v>
                </c:pt>
                <c:pt idx="272">
                  <c:v>5.3595068052258332</c:v>
                </c:pt>
                <c:pt idx="273">
                  <c:v>5.3618976783860468</c:v>
                </c:pt>
                <c:pt idx="274">
                  <c:v>5.3642896181135162</c:v>
                </c:pt>
                <c:pt idx="275">
                  <c:v>5.3666826248840369</c:v>
                </c:pt>
                <c:pt idx="276">
                  <c:v>5.3690766991736174</c:v>
                </c:pt>
                <c:pt idx="277">
                  <c:v>5.371471841458475</c:v>
                </c:pt>
                <c:pt idx="278">
                  <c:v>5.3738680522150446</c:v>
                </c:pt>
                <c:pt idx="279">
                  <c:v>5.376265331919968</c:v>
                </c:pt>
                <c:pt idx="280">
                  <c:v>5.3786636810501038</c:v>
                </c:pt>
                <c:pt idx="281">
                  <c:v>5.3810631000825229</c:v>
                </c:pt>
                <c:pt idx="282">
                  <c:v>5.3834635894945091</c:v>
                </c:pt>
                <c:pt idx="283">
                  <c:v>5.3858651497635543</c:v>
                </c:pt>
                <c:pt idx="284">
                  <c:v>5.3882677813673689</c:v>
                </c:pt>
                <c:pt idx="285">
                  <c:v>5.3906714847838764</c:v>
                </c:pt>
                <c:pt idx="286">
                  <c:v>5.3930762604912097</c:v>
                </c:pt>
                <c:pt idx="287">
                  <c:v>5.3954821089677187</c:v>
                </c:pt>
                <c:pt idx="288">
                  <c:v>5.3978890306919656</c:v>
                </c:pt>
                <c:pt idx="289">
                  <c:v>5.4002970261427237</c:v>
                </c:pt>
                <c:pt idx="290">
                  <c:v>5.4027060957989841</c:v>
                </c:pt>
                <c:pt idx="291">
                  <c:v>5.4051162401399466</c:v>
                </c:pt>
                <c:pt idx="292">
                  <c:v>5.4075274596450305</c:v>
                </c:pt>
                <c:pt idx="293">
                  <c:v>5.4099397547938626</c:v>
                </c:pt>
                <c:pt idx="294">
                  <c:v>5.4123531260662903</c:v>
                </c:pt>
                <c:pt idx="295">
                  <c:v>5.4147675739423686</c:v>
                </c:pt>
                <c:pt idx="296">
                  <c:v>5.417183098902373</c:v>
                </c:pt>
                <c:pt idx="297">
                  <c:v>5.4195997014267885</c:v>
                </c:pt>
                <c:pt idx="298">
                  <c:v>5.4220173819963149</c:v>
                </c:pt>
                <c:pt idx="299">
                  <c:v>5.424436141091868</c:v>
                </c:pt>
                <c:pt idx="300">
                  <c:v>5.4268559791945812</c:v>
                </c:pt>
                <c:pt idx="301">
                  <c:v>5.4292768967857947</c:v>
                </c:pt>
                <c:pt idx="302">
                  <c:v>5.4316988943470701</c:v>
                </c:pt>
                <c:pt idx="303">
                  <c:v>5.4341219723601792</c:v>
                </c:pt>
                <c:pt idx="304">
                  <c:v>5.4365461313071135</c:v>
                </c:pt>
                <c:pt idx="305">
                  <c:v>5.4389713716700765</c:v>
                </c:pt>
                <c:pt idx="306">
                  <c:v>5.4413976939314859</c:v>
                </c:pt>
                <c:pt idx="307">
                  <c:v>5.4438250985739769</c:v>
                </c:pt>
                <c:pt idx="308">
                  <c:v>5.4462535860803998</c:v>
                </c:pt>
                <c:pt idx="309">
                  <c:v>5.4486831569338188</c:v>
                </c:pt>
                <c:pt idx="310">
                  <c:v>5.451113811617514</c:v>
                </c:pt>
                <c:pt idx="311">
                  <c:v>5.453545550614983</c:v>
                </c:pt>
                <c:pt idx="312">
                  <c:v>5.4559783744099359</c:v>
                </c:pt>
                <c:pt idx="313">
                  <c:v>5.4584122834863011</c:v>
                </c:pt>
                <c:pt idx="314">
                  <c:v>5.460847278328222</c:v>
                </c:pt>
                <c:pt idx="315">
                  <c:v>5.4632833594200596</c:v>
                </c:pt>
                <c:pt idx="316">
                  <c:v>5.4657205272463871</c:v>
                </c:pt>
                <c:pt idx="317">
                  <c:v>5.4681587822919964</c:v>
                </c:pt>
                <c:pt idx="318">
                  <c:v>5.4705981250418976</c:v>
                </c:pt>
                <c:pt idx="319">
                  <c:v>5.4730385559813115</c:v>
                </c:pt>
                <c:pt idx="320">
                  <c:v>5.4754800755956827</c:v>
                </c:pt>
                <c:pt idx="321">
                  <c:v>5.4779226843706645</c:v>
                </c:pt>
                <c:pt idx="322">
                  <c:v>5.4803663827921349</c:v>
                </c:pt>
                <c:pt idx="323">
                  <c:v>5.4828111713461816</c:v>
                </c:pt>
                <c:pt idx="324">
                  <c:v>5.4852570505191149</c:v>
                </c:pt>
                <c:pt idx="325">
                  <c:v>5.4877040207974561</c:v>
                </c:pt>
                <c:pt idx="326">
                  <c:v>5.49015208266795</c:v>
                </c:pt>
                <c:pt idx="327">
                  <c:v>5.4926012366175518</c:v>
                </c:pt>
                <c:pt idx="328">
                  <c:v>5.4950514831334409</c:v>
                </c:pt>
                <c:pt idx="329">
                  <c:v>5.4975028227030078</c:v>
                </c:pt>
                <c:pt idx="330">
                  <c:v>5.4999552558138651</c:v>
                </c:pt>
                <c:pt idx="331">
                  <c:v>5.5024087829538386</c:v>
                </c:pt>
                <c:pt idx="332">
                  <c:v>5.5048634046109788</c:v>
                </c:pt>
                <c:pt idx="333">
                  <c:v>5.5073191212735439</c:v>
                </c:pt>
                <c:pt idx="334">
                  <c:v>5.5097759334300171</c:v>
                </c:pt>
                <c:pt idx="335">
                  <c:v>5.512233841569099</c:v>
                </c:pt>
                <c:pt idx="336">
                  <c:v>5.5146928461797069</c:v>
                </c:pt>
                <c:pt idx="337">
                  <c:v>5.5171529477509722</c:v>
                </c:pt>
                <c:pt idx="338">
                  <c:v>5.5196141467722546</c:v>
                </c:pt>
                <c:pt idx="339">
                  <c:v>5.5220764437331207</c:v>
                </c:pt>
                <c:pt idx="340">
                  <c:v>5.5245398391233635</c:v>
                </c:pt>
                <c:pt idx="341">
                  <c:v>5.5270043334329921</c:v>
                </c:pt>
                <c:pt idx="342">
                  <c:v>5.5294699271522312</c:v>
                </c:pt>
                <c:pt idx="343">
                  <c:v>5.5319366207715301</c:v>
                </c:pt>
                <c:pt idx="344">
                  <c:v>5.5344044147815508</c:v>
                </c:pt>
                <c:pt idx="345">
                  <c:v>5.5368733096731795</c:v>
                </c:pt>
                <c:pt idx="346">
                  <c:v>5.5393433059375177</c:v>
                </c:pt>
                <c:pt idx="347">
                  <c:v>5.5418144040658861</c:v>
                </c:pt>
                <c:pt idx="348">
                  <c:v>5.5442866045498276</c:v>
                </c:pt>
                <c:pt idx="349">
                  <c:v>5.5467599078811016</c:v>
                </c:pt>
                <c:pt idx="350">
                  <c:v>5.549234314551688</c:v>
                </c:pt>
                <c:pt idx="351">
                  <c:v>5.5517098250537842</c:v>
                </c:pt>
                <c:pt idx="352">
                  <c:v>5.5541864398798113</c:v>
                </c:pt>
                <c:pt idx="353">
                  <c:v>5.5566641595224064</c:v>
                </c:pt>
                <c:pt idx="354">
                  <c:v>5.5591429844744278</c:v>
                </c:pt>
                <c:pt idx="355">
                  <c:v>5.5616229152289538</c:v>
                </c:pt>
                <c:pt idx="356">
                  <c:v>5.5641039522792815</c:v>
                </c:pt>
                <c:pt idx="357">
                  <c:v>5.5665860961189306</c:v>
                </c:pt>
                <c:pt idx="358">
                  <c:v>5.5690693472416362</c:v>
                </c:pt>
                <c:pt idx="359">
                  <c:v>5.5715537061413594</c:v>
                </c:pt>
                <c:pt idx="360">
                  <c:v>5.5740391733122774</c:v>
                </c:pt>
                <c:pt idx="361">
                  <c:v>5.5765257492487894</c:v>
                </c:pt>
                <c:pt idx="362">
                  <c:v>5.5790134344455176</c:v>
                </c:pt>
                <c:pt idx="363">
                  <c:v>5.5815022293972989</c:v>
                </c:pt>
                <c:pt idx="364">
                  <c:v>5.583992134599197</c:v>
                </c:pt>
                <c:pt idx="365">
                  <c:v>5.586483150546492</c:v>
                </c:pt>
                <c:pt idx="366">
                  <c:v>5.5889752777346882</c:v>
                </c:pt>
                <c:pt idx="367">
                  <c:v>5.5914685166595097</c:v>
                </c:pt>
                <c:pt idx="368">
                  <c:v>5.5939628678169004</c:v>
                </c:pt>
                <c:pt idx="369">
                  <c:v>5.5964583317030288</c:v>
                </c:pt>
                <c:pt idx="370">
                  <c:v>5.5989549088142789</c:v>
                </c:pt>
                <c:pt idx="371">
                  <c:v>5.6014525996472653</c:v>
                </c:pt>
                <c:pt idx="372">
                  <c:v>5.6039514046988135</c:v>
                </c:pt>
                <c:pt idx="373">
                  <c:v>5.6064513244659766</c:v>
                </c:pt>
                <c:pt idx="374">
                  <c:v>5.6089523594460298</c:v>
                </c:pt>
                <c:pt idx="375">
                  <c:v>5.6114545101364719</c:v>
                </c:pt>
                <c:pt idx="376">
                  <c:v>5.6139577770350169</c:v>
                </c:pt>
                <c:pt idx="377">
                  <c:v>5.6164621606396041</c:v>
                </c:pt>
                <c:pt idx="378">
                  <c:v>5.6189676614483979</c:v>
                </c:pt>
                <c:pt idx="379">
                  <c:v>5.6214742799597808</c:v>
                </c:pt>
                <c:pt idx="380">
                  <c:v>5.6239820166723611</c:v>
                </c:pt>
                <c:pt idx="381">
                  <c:v>5.6264908720849656</c:v>
                </c:pt>
                <c:pt idx="382">
                  <c:v>5.6290008466966484</c:v>
                </c:pt>
                <c:pt idx="383">
                  <c:v>5.6315119410066821</c:v>
                </c:pt>
                <c:pt idx="384">
                  <c:v>5.6340241555145623</c:v>
                </c:pt>
                <c:pt idx="385">
                  <c:v>5.636537490720011</c:v>
                </c:pt>
                <c:pt idx="386">
                  <c:v>5.6390519471229688</c:v>
                </c:pt>
                <c:pt idx="387">
                  <c:v>5.6415675252236035</c:v>
                </c:pt>
                <c:pt idx="388">
                  <c:v>5.6440842255223034</c:v>
                </c:pt>
                <c:pt idx="389">
                  <c:v>5.6466020485196786</c:v>
                </c:pt>
                <c:pt idx="390">
                  <c:v>5.6491209947165641</c:v>
                </c:pt>
                <c:pt idx="391">
                  <c:v>5.6516410646140214</c:v>
                </c:pt>
                <c:pt idx="392">
                  <c:v>5.654162258713332</c:v>
                </c:pt>
                <c:pt idx="393">
                  <c:v>5.6566845775159997</c:v>
                </c:pt>
                <c:pt idx="394">
                  <c:v>5.6592080215237566</c:v>
                </c:pt>
                <c:pt idx="395">
                  <c:v>5.6617325912385548</c:v>
                </c:pt>
                <c:pt idx="396">
                  <c:v>5.6642582871625704</c:v>
                </c:pt>
                <c:pt idx="397">
                  <c:v>5.6667851097982069</c:v>
                </c:pt>
                <c:pt idx="398">
                  <c:v>5.6693130596480898</c:v>
                </c:pt>
                <c:pt idx="399">
                  <c:v>5.6718421372150676</c:v>
                </c:pt>
                <c:pt idx="400">
                  <c:v>5.674372343002215</c:v>
                </c:pt>
                <c:pt idx="401">
                  <c:v>5.6769036775128301</c:v>
                </c:pt>
                <c:pt idx="402">
                  <c:v>5.6794361412504344</c:v>
                </c:pt>
                <c:pt idx="403">
                  <c:v>5.6819697347187788</c:v>
                </c:pt>
                <c:pt idx="404">
                  <c:v>5.6845044584218316</c:v>
                </c:pt>
                <c:pt idx="405">
                  <c:v>5.6870403128637932</c:v>
                </c:pt>
                <c:pt idx="406">
                  <c:v>5.6895772985490849</c:v>
                </c:pt>
                <c:pt idx="407">
                  <c:v>5.6921154159823537</c:v>
                </c:pt>
                <c:pt idx="408">
                  <c:v>5.6946546656684687</c:v>
                </c:pt>
                <c:pt idx="409">
                  <c:v>5.6971950481125324</c:v>
                </c:pt>
                <c:pt idx="410">
                  <c:v>5.6997365638198652</c:v>
                </c:pt>
                <c:pt idx="411">
                  <c:v>5.7022792132960136</c:v>
                </c:pt>
                <c:pt idx="412">
                  <c:v>5.7048229970467528</c:v>
                </c:pt>
                <c:pt idx="413">
                  <c:v>5.7073679155780841</c:v>
                </c:pt>
                <c:pt idx="414">
                  <c:v>5.7099139693962275</c:v>
                </c:pt>
                <c:pt idx="415">
                  <c:v>5.7124611590076384</c:v>
                </c:pt>
                <c:pt idx="416">
                  <c:v>5.7150094849189941</c:v>
                </c:pt>
                <c:pt idx="417">
                  <c:v>5.7175589476371931</c:v>
                </c:pt>
                <c:pt idx="418">
                  <c:v>5.7201095476693657</c:v>
                </c:pt>
                <c:pt idx="419">
                  <c:v>5.7226612855228698</c:v>
                </c:pt>
                <c:pt idx="420">
                  <c:v>5.725214161705285</c:v>
                </c:pt>
                <c:pt idx="421">
                  <c:v>5.7277681767244184</c:v>
                </c:pt>
                <c:pt idx="422">
                  <c:v>5.7303233310883055</c:v>
                </c:pt>
                <c:pt idx="423">
                  <c:v>5.7328796253052072</c:v>
                </c:pt>
                <c:pt idx="424">
                  <c:v>5.735437059883612</c:v>
                </c:pt>
                <c:pt idx="425">
                  <c:v>5.7379956353322328</c:v>
                </c:pt>
                <c:pt idx="426">
                  <c:v>5.7405553521600128</c:v>
                </c:pt>
                <c:pt idx="427">
                  <c:v>5.7431162108761216</c:v>
                </c:pt>
                <c:pt idx="428">
                  <c:v>5.7456782119899508</c:v>
                </c:pt>
                <c:pt idx="429">
                  <c:v>5.7482413560111274</c:v>
                </c:pt>
                <c:pt idx="430">
                  <c:v>5.7508056434495014</c:v>
                </c:pt>
                <c:pt idx="431">
                  <c:v>5.7533710748151483</c:v>
                </c:pt>
                <c:pt idx="432">
                  <c:v>5.7559376506183764</c:v>
                </c:pt>
                <c:pt idx="433">
                  <c:v>5.758505371369715</c:v>
                </c:pt>
                <c:pt idx="434">
                  <c:v>5.7610742375799298</c:v>
                </c:pt>
                <c:pt idx="435">
                  <c:v>5.7636442497600049</c:v>
                </c:pt>
                <c:pt idx="436">
                  <c:v>5.7662154084211581</c:v>
                </c:pt>
                <c:pt idx="437">
                  <c:v>5.7687877140748363</c:v>
                </c:pt>
                <c:pt idx="438">
                  <c:v>5.7713611672327101</c:v>
                </c:pt>
                <c:pt idx="439">
                  <c:v>5.7739357684066794</c:v>
                </c:pt>
                <c:pt idx="440">
                  <c:v>5.7765115181088751</c:v>
                </c:pt>
                <c:pt idx="441">
                  <c:v>5.7790884168516579</c:v>
                </c:pt>
                <c:pt idx="442">
                  <c:v>5.781666465147608</c:v>
                </c:pt>
                <c:pt idx="443">
                  <c:v>5.7842456635095445</c:v>
                </c:pt>
                <c:pt idx="444">
                  <c:v>5.7868260124505113</c:v>
                </c:pt>
                <c:pt idx="445">
                  <c:v>5.7894075124837805</c:v>
                </c:pt>
                <c:pt idx="446">
                  <c:v>5.7919901641228524</c:v>
                </c:pt>
                <c:pt idx="447">
                  <c:v>5.7945739678814592</c:v>
                </c:pt>
                <c:pt idx="448">
                  <c:v>5.7971589242735604</c:v>
                </c:pt>
                <c:pt idx="449">
                  <c:v>5.7997450338133456</c:v>
                </c:pt>
                <c:pt idx="450">
                  <c:v>5.8023322970152327</c:v>
                </c:pt>
                <c:pt idx="451">
                  <c:v>5.8049207143938713</c:v>
                </c:pt>
                <c:pt idx="452">
                  <c:v>5.8075102864641366</c:v>
                </c:pt>
                <c:pt idx="453">
                  <c:v>5.8101010137411384</c:v>
                </c:pt>
                <c:pt idx="454">
                  <c:v>5.8126928967402121</c:v>
                </c:pt>
                <c:pt idx="455">
                  <c:v>5.8152859359769247</c:v>
                </c:pt>
                <c:pt idx="456">
                  <c:v>5.8178801319670743</c:v>
                </c:pt>
                <c:pt idx="457">
                  <c:v>5.8204754852266865</c:v>
                </c:pt>
                <c:pt idx="458">
                  <c:v>5.8230719962720201</c:v>
                </c:pt>
                <c:pt idx="459">
                  <c:v>5.8256696656195626</c:v>
                </c:pt>
                <c:pt idx="460">
                  <c:v>5.8282684937860303</c:v>
                </c:pt>
                <c:pt idx="461">
                  <c:v>5.8308684812883724</c:v>
                </c:pt>
                <c:pt idx="462">
                  <c:v>5.8334696286437708</c:v>
                </c:pt>
                <c:pt idx="463">
                  <c:v>5.836071936369633</c:v>
                </c:pt>
                <c:pt idx="464">
                  <c:v>5.838675404983598</c:v>
                </c:pt>
                <c:pt idx="465">
                  <c:v>5.8412800350035399</c:v>
                </c:pt>
                <c:pt idx="466">
                  <c:v>5.8438858269475613</c:v>
                </c:pt>
                <c:pt idx="467">
                  <c:v>5.8464927813339944</c:v>
                </c:pt>
                <c:pt idx="468">
                  <c:v>5.8491008986814039</c:v>
                </c:pt>
                <c:pt idx="469">
                  <c:v>5.8517101795085882</c:v>
                </c:pt>
                <c:pt idx="470">
                  <c:v>5.8543206243345747</c:v>
                </c:pt>
                <c:pt idx="471">
                  <c:v>5.85693223367862</c:v>
                </c:pt>
                <c:pt idx="472">
                  <c:v>5.8595450080602181</c:v>
                </c:pt>
                <c:pt idx="473">
                  <c:v>5.8621589479990899</c:v>
                </c:pt>
                <c:pt idx="474">
                  <c:v>5.8647740540151894</c:v>
                </c:pt>
                <c:pt idx="475">
                  <c:v>5.8673903266287049</c:v>
                </c:pt>
                <c:pt idx="476">
                  <c:v>5.8700077663600547</c:v>
                </c:pt>
                <c:pt idx="477">
                  <c:v>5.8726263737298883</c:v>
                </c:pt>
                <c:pt idx="478">
                  <c:v>5.8752461492590875</c:v>
                </c:pt>
                <c:pt idx="479">
                  <c:v>5.8778670934687707</c:v>
                </c:pt>
                <c:pt idx="480">
                  <c:v>5.8804892068802834</c:v>
                </c:pt>
                <c:pt idx="481">
                  <c:v>5.8831124900152068</c:v>
                </c:pt>
                <c:pt idx="482">
                  <c:v>5.8857369433953535</c:v>
                </c:pt>
                <c:pt idx="483">
                  <c:v>5.88836256754277</c:v>
                </c:pt>
                <c:pt idx="484">
                  <c:v>5.8909893629797345</c:v>
                </c:pt>
                <c:pt idx="485">
                  <c:v>5.8936173302287571</c:v>
                </c:pt>
                <c:pt idx="486">
                  <c:v>5.896246469812584</c:v>
                </c:pt>
                <c:pt idx="487">
                  <c:v>5.8988767822541943</c:v>
                </c:pt>
                <c:pt idx="488">
                  <c:v>5.9015082680767987</c:v>
                </c:pt>
                <c:pt idx="489">
                  <c:v>5.9041409278038399</c:v>
                </c:pt>
                <c:pt idx="490">
                  <c:v>5.9067747619589968</c:v>
                </c:pt>
                <c:pt idx="491">
                  <c:v>5.9094097710661835</c:v>
                </c:pt>
                <c:pt idx="492">
                  <c:v>5.9120459556495426</c:v>
                </c:pt>
                <c:pt idx="493">
                  <c:v>5.9146833162334556</c:v>
                </c:pt>
                <c:pt idx="494">
                  <c:v>5.917321853342532</c:v>
                </c:pt>
                <c:pt idx="495">
                  <c:v>5.9199615675016251</c:v>
                </c:pt>
                <c:pt idx="496">
                  <c:v>5.9226024592358106</c:v>
                </c:pt>
                <c:pt idx="497">
                  <c:v>5.9252445290704072</c:v>
                </c:pt>
                <c:pt idx="498">
                  <c:v>5.9278877775309633</c:v>
                </c:pt>
                <c:pt idx="499">
                  <c:v>5.9305322051432654</c:v>
                </c:pt>
                <c:pt idx="500">
                  <c:v>5.9331778124333301</c:v>
                </c:pt>
                <c:pt idx="501">
                  <c:v>5.9358245999274128</c:v>
                </c:pt>
                <c:pt idx="502">
                  <c:v>5.9384725681520019</c:v>
                </c:pt>
                <c:pt idx="503">
                  <c:v>5.941121717633818</c:v>
                </c:pt>
                <c:pt idx="504">
                  <c:v>5.9437720488998229</c:v>
                </c:pt>
                <c:pt idx="505">
                  <c:v>5.9464235624772064</c:v>
                </c:pt>
                <c:pt idx="506">
                  <c:v>5.9490762588934016</c:v>
                </c:pt>
                <c:pt idx="507">
                  <c:v>5.9517301386760675</c:v>
                </c:pt>
                <c:pt idx="508">
                  <c:v>5.9543852023531061</c:v>
                </c:pt>
                <c:pt idx="509">
                  <c:v>5.9570414504526505</c:v>
                </c:pt>
                <c:pt idx="510">
                  <c:v>5.959698883503072</c:v>
                </c:pt>
                <c:pt idx="511">
                  <c:v>5.9623575020329769</c:v>
                </c:pt>
                <c:pt idx="512">
                  <c:v>5.9650173065712053</c:v>
                </c:pt>
                <c:pt idx="513">
                  <c:v>5.9676782976468372</c:v>
                </c:pt>
                <c:pt idx="514">
                  <c:v>5.9703404757891843</c:v>
                </c:pt>
                <c:pt idx="515">
                  <c:v>5.9730038415277971</c:v>
                </c:pt>
                <c:pt idx="516">
                  <c:v>5.9756683953924616</c:v>
                </c:pt>
                <c:pt idx="517">
                  <c:v>5.9783341379132002</c:v>
                </c:pt>
                <c:pt idx="518">
                  <c:v>5.9810010696202731</c:v>
                </c:pt>
                <c:pt idx="519">
                  <c:v>5.9836691910441724</c:v>
                </c:pt>
                <c:pt idx="520">
                  <c:v>5.9863385027156353</c:v>
                </c:pt>
                <c:pt idx="521">
                  <c:v>5.9890090051656255</c:v>
                </c:pt>
                <c:pt idx="522">
                  <c:v>5.9916806989253502</c:v>
                </c:pt>
                <c:pt idx="523">
                  <c:v>5.9943535845262526</c:v>
                </c:pt>
                <c:pt idx="524">
                  <c:v>5.9970276625000132</c:v>
                </c:pt>
                <c:pt idx="525">
                  <c:v>5.9997029333785488</c:v>
                </c:pt>
                <c:pt idx="526">
                  <c:v>6.0023793976940114</c:v>
                </c:pt>
                <c:pt idx="527">
                  <c:v>6.0050570559787957</c:v>
                </c:pt>
                <c:pt idx="528">
                  <c:v>6.007735908765528</c:v>
                </c:pt>
                <c:pt idx="529">
                  <c:v>6.0104159565870763</c:v>
                </c:pt>
                <c:pt idx="530">
                  <c:v>6.0130971999765448</c:v>
                </c:pt>
                <c:pt idx="531">
                  <c:v>6.0157796394672758</c:v>
                </c:pt>
                <c:pt idx="532">
                  <c:v>6.0184632755928495</c:v>
                </c:pt>
                <c:pt idx="533">
                  <c:v>6.0211481088870835</c:v>
                </c:pt>
                <c:pt idx="534">
                  <c:v>6.0238341398840349</c:v>
                </c:pt>
                <c:pt idx="535">
                  <c:v>6.0265213691179973</c:v>
                </c:pt>
                <c:pt idx="536">
                  <c:v>6.0292097971235057</c:v>
                </c:pt>
                <c:pt idx="537">
                  <c:v>6.0318994244353297</c:v>
                </c:pt>
                <c:pt idx="538">
                  <c:v>6.0345902515884777</c:v>
                </c:pt>
                <c:pt idx="539">
                  <c:v>6.0372822791182017</c:v>
                </c:pt>
                <c:pt idx="540">
                  <c:v>6.0399755075599879</c:v>
                </c:pt>
                <c:pt idx="541">
                  <c:v>6.0426699374495607</c:v>
                </c:pt>
                <c:pt idx="542">
                  <c:v>6.0453655693228869</c:v>
                </c:pt>
                <c:pt idx="543">
                  <c:v>6.0480624037161714</c:v>
                </c:pt>
                <c:pt idx="544">
                  <c:v>6.0507604411658571</c:v>
                </c:pt>
                <c:pt idx="545">
                  <c:v>6.0534596822086266</c:v>
                </c:pt>
                <c:pt idx="546">
                  <c:v>6.0561601273814007</c:v>
                </c:pt>
                <c:pt idx="547">
                  <c:v>6.0588617772213436</c:v>
                </c:pt>
                <c:pt idx="548">
                  <c:v>6.0615646322658554</c:v>
                </c:pt>
                <c:pt idx="549">
                  <c:v>6.0642686930525791</c:v>
                </c:pt>
                <c:pt idx="550">
                  <c:v>6.0669739601193928</c:v>
                </c:pt>
                <c:pt idx="551">
                  <c:v>6.0696804340044199</c:v>
                </c:pt>
                <c:pt idx="552">
                  <c:v>6.0723881152460173</c:v>
                </c:pt>
                <c:pt idx="553">
                  <c:v>6.0750970043827923</c:v>
                </c:pt>
                <c:pt idx="554">
                  <c:v>6.0778071019535815</c:v>
                </c:pt>
                <c:pt idx="555">
                  <c:v>6.0805184084974693</c:v>
                </c:pt>
                <c:pt idx="556">
                  <c:v>6.0832309245537761</c:v>
                </c:pt>
                <c:pt idx="557">
                  <c:v>6.0859446506620651</c:v>
                </c:pt>
                <c:pt idx="558">
                  <c:v>6.088659587362141</c:v>
                </c:pt>
                <c:pt idx="559">
                  <c:v>6.0913757351940472</c:v>
                </c:pt>
                <c:pt idx="560">
                  <c:v>6.0940930946980689</c:v>
                </c:pt>
                <c:pt idx="561">
                  <c:v>6.0968116664147338</c:v>
                </c:pt>
                <c:pt idx="562">
                  <c:v>6.0995314508848075</c:v>
                </c:pt>
                <c:pt idx="563">
                  <c:v>6.1022524486492999</c:v>
                </c:pt>
                <c:pt idx="564">
                  <c:v>6.1049746602494599</c:v>
                </c:pt>
                <c:pt idx="565">
                  <c:v>6.1076980862267787</c:v>
                </c:pt>
                <c:pt idx="566">
                  <c:v>6.1104227271229918</c:v>
                </c:pt>
                <c:pt idx="567">
                  <c:v>6.1131485834800712</c:v>
                </c:pt>
                <c:pt idx="568">
                  <c:v>6.1158756558402345</c:v>
                </c:pt>
                <c:pt idx="569">
                  <c:v>6.1186039447459413</c:v>
                </c:pt>
                <c:pt idx="570">
                  <c:v>6.1213334507398898</c:v>
                </c:pt>
                <c:pt idx="571">
                  <c:v>6.1240641743650235</c:v>
                </c:pt>
                <c:pt idx="572">
                  <c:v>6.1267961161645257</c:v>
                </c:pt>
                <c:pt idx="573">
                  <c:v>6.1295292766818239</c:v>
                </c:pt>
                <c:pt idx="574">
                  <c:v>6.132263656460589</c:v>
                </c:pt>
                <c:pt idx="575">
                  <c:v>6.1349992560447317</c:v>
                </c:pt>
                <c:pt idx="576">
                  <c:v>6.1377360759784061</c:v>
                </c:pt>
                <c:pt idx="577">
                  <c:v>6.1404741168060095</c:v>
                </c:pt>
                <c:pt idx="578">
                  <c:v>6.1432133790721828</c:v>
                </c:pt>
                <c:pt idx="579">
                  <c:v>6.1459538633218109</c:v>
                </c:pt>
                <c:pt idx="580">
                  <c:v>6.148695570100017</c:v>
                </c:pt>
                <c:pt idx="581">
                  <c:v>6.151438499952171</c:v>
                </c:pt>
                <c:pt idx="582">
                  <c:v>6.1541826534238862</c:v>
                </c:pt>
                <c:pt idx="583">
                  <c:v>6.1569280310610166</c:v>
                </c:pt>
                <c:pt idx="584">
                  <c:v>6.1596746334096659</c:v>
                </c:pt>
                <c:pt idx="585">
                  <c:v>6.162422461016174</c:v>
                </c:pt>
                <c:pt idx="586">
                  <c:v>6.1651715144271284</c:v>
                </c:pt>
                <c:pt idx="587">
                  <c:v>6.1679217941893603</c:v>
                </c:pt>
                <c:pt idx="588">
                  <c:v>6.1706733008499439</c:v>
                </c:pt>
                <c:pt idx="589">
                  <c:v>6.1734260349561989</c:v>
                </c:pt>
                <c:pt idx="590">
                  <c:v>6.1761799970556881</c:v>
                </c:pt>
                <c:pt idx="591">
                  <c:v>6.178935187696216</c:v>
                </c:pt>
                <c:pt idx="592">
                  <c:v>6.1816916074258366</c:v>
                </c:pt>
                <c:pt idx="593">
                  <c:v>6.1844492567928464</c:v>
                </c:pt>
                <c:pt idx="594">
                  <c:v>6.1872081363457845</c:v>
                </c:pt>
                <c:pt idx="595">
                  <c:v>6.1899682466334358</c:v>
                </c:pt>
                <c:pt idx="596">
                  <c:v>6.1927295882048314</c:v>
                </c:pt>
                <c:pt idx="597">
                  <c:v>6.1954921616092475</c:v>
                </c:pt>
                <c:pt idx="598">
                  <c:v>6.1982559673962028</c:v>
                </c:pt>
                <c:pt idx="599">
                  <c:v>6.20102100611546</c:v>
                </c:pt>
                <c:pt idx="600">
                  <c:v>6.2037872783170345</c:v>
                </c:pt>
                <c:pt idx="601">
                  <c:v>6.2065547845511784</c:v>
                </c:pt>
                <c:pt idx="602">
                  <c:v>6.2093235253683963</c:v>
                </c:pt>
                <c:pt idx="603">
                  <c:v>6.2120935013194307</c:v>
                </c:pt>
                <c:pt idx="604">
                  <c:v>6.2148647129552774</c:v>
                </c:pt>
                <c:pt idx="605">
                  <c:v>6.2176371608271745</c:v>
                </c:pt>
                <c:pt idx="606">
                  <c:v>6.2204108454866036</c:v>
                </c:pt>
                <c:pt idx="607">
                  <c:v>6.2231857674852993</c:v>
                </c:pt>
                <c:pt idx="608">
                  <c:v>6.2259619273752342</c:v>
                </c:pt>
                <c:pt idx="609">
                  <c:v>6.2287393257086343</c:v>
                </c:pt>
                <c:pt idx="610">
                  <c:v>6.2315179630379642</c:v>
                </c:pt>
                <c:pt idx="611">
                  <c:v>6.2340878524090275</c:v>
                </c:pt>
                <c:pt idx="612">
                  <c:v>6.191090693681331</c:v>
                </c:pt>
                <c:pt idx="613">
                  <c:v>6.1483900908736757</c:v>
                </c:pt>
                <c:pt idx="614">
                  <c:v>6.1059839986087212</c:v>
                </c:pt>
                <c:pt idx="615">
                  <c:v>6.063870385616327</c:v>
                </c:pt>
                <c:pt idx="616">
                  <c:v>6.0220472346362239</c:v>
                </c:pt>
                <c:pt idx="617">
                  <c:v>5.9805125423214145</c:v>
                </c:pt>
                <c:pt idx="618">
                  <c:v>5.9392643191421737</c:v>
                </c:pt>
                <c:pt idx="619">
                  <c:v>5.8983005892907849</c:v>
                </c:pt>
                <c:pt idx="620">
                  <c:v>5.8576193905868958</c:v>
                </c:pt>
                <c:pt idx="621">
                  <c:v>5.8172187743834876</c:v>
                </c:pt>
                <c:pt idx="622">
                  <c:v>5.7770968054735956</c:v>
                </c:pt>
                <c:pt idx="623">
                  <c:v>5.737251561997561</c:v>
                </c:pt>
                <c:pt idx="624">
                  <c:v>5.6976811353510106</c:v>
                </c:pt>
                <c:pt idx="625">
                  <c:v>5.6583836300933941</c:v>
                </c:pt>
                <c:pt idx="626">
                  <c:v>5.6193571638572291</c:v>
                </c:pt>
                <c:pt idx="627">
                  <c:v>5.5805998672579173</c:v>
                </c:pt>
                <c:pt idx="628">
                  <c:v>5.5421098838042049</c:v>
                </c:pt>
                <c:pt idx="629">
                  <c:v>5.5038853698092378</c:v>
                </c:pt>
                <c:pt idx="630">
                  <c:v>5.465924494302282</c:v>
                </c:pt>
                <c:pt idx="631">
                  <c:v>5.4282254389409967</c:v>
                </c:pt>
                <c:pt idx="632">
                  <c:v>5.3907863979243267</c:v>
                </c:pt>
                <c:pt idx="633">
                  <c:v>5.3536055779060332</c:v>
                </c:pt>
                <c:pt idx="634">
                  <c:v>5.3166811979087631</c:v>
                </c:pt>
                <c:pt idx="635">
                  <c:v>5.2800114892387642</c:v>
                </c:pt>
                <c:pt idx="636">
                  <c:v>5.2435946954011348</c:v>
                </c:pt>
                <c:pt idx="637">
                  <c:v>5.2074290720157119</c:v>
                </c:pt>
                <c:pt idx="638">
                  <c:v>5.1715128867335052</c:v>
                </c:pt>
                <c:pt idx="639">
                  <c:v>5.135844419153722</c:v>
                </c:pt>
                <c:pt idx="640">
                  <c:v>5.1004219607413361</c:v>
                </c:pt>
                <c:pt idx="641">
                  <c:v>5.0652438147452958</c:v>
                </c:pt>
                <c:pt idx="642">
                  <c:v>5.0303082961171928</c:v>
                </c:pt>
                <c:pt idx="643">
                  <c:v>4.9956137314305913</c:v>
                </c:pt>
                <c:pt idx="644">
                  <c:v>4.9611584588008393</c:v>
                </c:pt>
                <c:pt idx="645">
                  <c:v>4.9269408278054945</c:v>
                </c:pt>
                <c:pt idx="646">
                  <c:v>4.8929591994052419</c:v>
                </c:pt>
                <c:pt idx="647">
                  <c:v>4.8592119458653942</c:v>
                </c:pt>
                <c:pt idx="648">
                  <c:v>4.8256974506779171</c:v>
                </c:pt>
                <c:pt idx="649">
                  <c:v>4.7924141084840084</c:v>
                </c:pt>
                <c:pt idx="650">
                  <c:v>4.7593603249971945</c:v>
                </c:pt>
                <c:pt idx="651">
                  <c:v>4.7265345169269537</c:v>
                </c:pt>
                <c:pt idx="652">
                  <c:v>4.6939351119029</c:v>
                </c:pt>
                <c:pt idx="653">
                  <c:v>4.6615605483994385</c:v>
                </c:pt>
                <c:pt idx="654">
                  <c:v>4.6294092756609873</c:v>
                </c:pt>
                <c:pt idx="655">
                  <c:v>4.5974797536276837</c:v>
                </c:pt>
                <c:pt idx="656">
                  <c:v>4.5657704528616234</c:v>
                </c:pt>
                <c:pt idx="657">
                  <c:v>4.5342798544735983</c:v>
                </c:pt>
                <c:pt idx="658">
                  <c:v>4.5030064500503251</c:v>
                </c:pt>
                <c:pt idx="659">
                  <c:v>4.471948741582227</c:v>
                </c:pt>
                <c:pt idx="660">
                  <c:v>4.4411052413916412</c:v>
                </c:pt>
                <c:pt idx="661">
                  <c:v>4.4104744720615763</c:v>
                </c:pt>
                <c:pt idx="662">
                  <c:v>4.3800549663649466</c:v>
                </c:pt>
                <c:pt idx="663">
                  <c:v>4.349845267194274</c:v>
                </c:pt>
                <c:pt idx="664">
                  <c:v>4.3198439274919203</c:v>
                </c:pt>
                <c:pt idx="665">
                  <c:v>4.2900495101807374</c:v>
                </c:pt>
                <c:pt idx="666">
                  <c:v>4.2604605880952704</c:v>
                </c:pt>
                <c:pt idx="667">
                  <c:v>4.2310757439133564</c:v>
                </c:pt>
                <c:pt idx="668">
                  <c:v>4.2018935700882603</c:v>
                </c:pt>
                <c:pt idx="669">
                  <c:v>4.1729126687812412</c:v>
                </c:pt>
                <c:pt idx="670">
                  <c:v>4.1441316517946039</c:v>
                </c:pt>
                <c:pt idx="671">
                  <c:v>4.1155491405051929</c:v>
                </c:pt>
                <c:pt idx="672">
                  <c:v>4.0871637657983619</c:v>
                </c:pt>
                <c:pt idx="673">
                  <c:v>4.0589741680024005</c:v>
                </c:pt>
                <c:pt idx="674">
                  <c:v>4.0309789968233867</c:v>
                </c:pt>
                <c:pt idx="675">
                  <c:v>4.0031769112805229</c:v>
                </c:pt>
                <c:pt idx="676">
                  <c:v>3.9755665796418951</c:v>
                </c:pt>
                <c:pt idx="677">
                  <c:v>3.9481466793606836</c:v>
                </c:pt>
                <c:pt idx="678">
                  <c:v>3.9209158970118159</c:v>
                </c:pt>
                <c:pt idx="679">
                  <c:v>3.8938729282290447</c:v>
                </c:pt>
                <c:pt idx="680">
                  <c:v>3.867016477642478</c:v>
                </c:pt>
                <c:pt idx="681">
                  <c:v>3.8403452588165292</c:v>
                </c:pt>
                <c:pt idx="682">
                  <c:v>3.8138579941882877</c:v>
                </c:pt>
                <c:pt idx="683">
                  <c:v>3.7875534150063275</c:v>
                </c:pt>
                <c:pt idx="684">
                  <c:v>3.7614302612699375</c:v>
                </c:pt>
                <c:pt idx="685">
                  <c:v>3.7354872816687665</c:v>
                </c:pt>
                <c:pt idx="686">
                  <c:v>3.7097232335228751</c:v>
                </c:pt>
                <c:pt idx="687">
                  <c:v>3.6841368827232213</c:v>
                </c:pt>
                <c:pt idx="688">
                  <c:v>3.6587270036725457</c:v>
                </c:pt>
                <c:pt idx="689">
                  <c:v>3.6334923792266611</c:v>
                </c:pt>
                <c:pt idx="690">
                  <c:v>3.608431800636148</c:v>
                </c:pt>
                <c:pt idx="691">
                  <c:v>3.5835440674884596</c:v>
                </c:pt>
                <c:pt idx="692">
                  <c:v>3.5588279876504223</c:v>
                </c:pt>
                <c:pt idx="693">
                  <c:v>3.5342823772111305</c:v>
                </c:pt>
                <c:pt idx="694">
                  <c:v>3.5099060604252323</c:v>
                </c:pt>
                <c:pt idx="695">
                  <c:v>3.4856978696566228</c:v>
                </c:pt>
                <c:pt idx="696">
                  <c:v>3.4616566453224999</c:v>
                </c:pt>
                <c:pt idx="697">
                  <c:v>3.4377812358378255</c:v>
                </c:pt>
                <c:pt idx="698">
                  <c:v>3.4140704975601679</c:v>
                </c:pt>
                <c:pt idx="699">
                  <c:v>3.3905232947349146</c:v>
                </c:pt>
                <c:pt idx="700">
                  <c:v>3.3671384994408742</c:v>
                </c:pt>
                <c:pt idx="701">
                  <c:v>3.3439149915362409</c:v>
                </c:pt>
                <c:pt idx="702">
                  <c:v>3.3208516586049561</c:v>
                </c:pt>
                <c:pt idx="703">
                  <c:v>3.2979473959034005</c:v>
                </c:pt>
                <c:pt idx="704">
                  <c:v>3.2752011063074917</c:v>
                </c:pt>
                <c:pt idx="705">
                  <c:v>3.252611700260128</c:v>
                </c:pt>
                <c:pt idx="706">
                  <c:v>3.2301780957189941</c:v>
                </c:pt>
                <c:pt idx="707">
                  <c:v>3.2078992181047377</c:v>
                </c:pt>
                <c:pt idx="708">
                  <c:v>3.185774000249491</c:v>
                </c:pt>
                <c:pt idx="709">
                  <c:v>3.1638013823457594</c:v>
                </c:pt>
                <c:pt idx="710">
                  <c:v>3.1419803118956464</c:v>
                </c:pt>
                <c:pt idx="711">
                  <c:v>3.1203097436604477</c:v>
                </c:pt>
                <c:pt idx="712">
                  <c:v>3.0987886396105768</c:v>
                </c:pt>
                <c:pt idx="713">
                  <c:v>3.07741596887585</c:v>
                </c:pt>
                <c:pt idx="714">
                  <c:v>3.0561907076961004</c:v>
                </c:pt>
                <c:pt idx="715">
                  <c:v>3.0351118393721417</c:v>
                </c:pt>
                <c:pt idx="716">
                  <c:v>3.0141783542170768</c:v>
                </c:pt>
                <c:pt idx="717">
                  <c:v>2.9933892495079149</c:v>
                </c:pt>
                <c:pt idx="718">
                  <c:v>2.9727435294375573</c:v>
                </c:pt>
                <c:pt idx="719">
                  <c:v>2.9522402050670875</c:v>
                </c:pt>
                <c:pt idx="720">
                  <c:v>2.931878294278409</c:v>
                </c:pt>
                <c:pt idx="721">
                  <c:v>2.9116568217271936</c:v>
                </c:pt>
                <c:pt idx="722">
                  <c:v>2.8915748187961645</c:v>
                </c:pt>
                <c:pt idx="723">
                  <c:v>2.8716313235487014</c:v>
                </c:pt>
                <c:pt idx="724">
                  <c:v>2.851825380682766</c:v>
                </c:pt>
                <c:pt idx="725">
                  <c:v>2.832156041485133</c:v>
                </c:pt>
                <c:pt idx="726">
                  <c:v>2.8126223637859553</c:v>
                </c:pt>
                <c:pt idx="727">
                  <c:v>2.7932234119136261</c:v>
                </c:pt>
                <c:pt idx="728">
                  <c:v>2.7739582566499665</c:v>
                </c:pt>
                <c:pt idx="729">
                  <c:v>2.7548259751857147</c:v>
                </c:pt>
                <c:pt idx="730">
                  <c:v>2.7358256510763135</c:v>
                </c:pt>
                <c:pt idx="731">
                  <c:v>2.7169563741980358</c:v>
                </c:pt>
                <c:pt idx="732">
                  <c:v>2.6982172407043588</c:v>
                </c:pt>
                <c:pt idx="733">
                  <c:v>2.6796073529826892</c:v>
                </c:pt>
                <c:pt idx="734">
                  <c:v>2.6611258196113621</c:v>
                </c:pt>
                <c:pt idx="735">
                  <c:v>2.6427717553169412</c:v>
                </c:pt>
                <c:pt idx="736">
                  <c:v>2.6245442809318136</c:v>
                </c:pt>
                <c:pt idx="737">
                  <c:v>2.6064425233520758</c:v>
                </c:pt>
                <c:pt idx="738">
                  <c:v>2.5884656154957217</c:v>
                </c:pt>
                <c:pt idx="739">
                  <c:v>2.5706126962610929</c:v>
                </c:pt>
                <c:pt idx="740">
                  <c:v>2.5528829104856419</c:v>
                </c:pt>
                <c:pt idx="741">
                  <c:v>2.5352754089049672</c:v>
                </c:pt>
                <c:pt idx="742">
                  <c:v>2.5177893481121312</c:v>
                </c:pt>
                <c:pt idx="743">
                  <c:v>2.5004238905172675</c:v>
                </c:pt>
                <c:pt idx="744">
                  <c:v>2.4831782043074484</c:v>
                </c:pt>
                <c:pt idx="745">
                  <c:v>2.466051463406854</c:v>
                </c:pt>
                <c:pt idx="746">
                  <c:v>2.4490428474371919</c:v>
                </c:pt>
                <c:pt idx="747">
                  <c:v>2.4321515416784067</c:v>
                </c:pt>
                <c:pt idx="748">
                  <c:v>2.4153767370296504</c:v>
                </c:pt>
                <c:pt idx="749">
                  <c:v>2.3987176299705313</c:v>
                </c:pt>
                <c:pt idx="750">
                  <c:v>2.3821734225226208</c:v>
                </c:pt>
                <c:pt idx="751">
                  <c:v>2.3657433222112303</c:v>
                </c:pt>
                <c:pt idx="752">
                  <c:v>2.3494265420274565</c:v>
                </c:pt>
                <c:pt idx="753">
                  <c:v>2.3332223003904757</c:v>
                </c:pt>
                <c:pt idx="754">
                  <c:v>2.3171298211101083</c:v>
                </c:pt>
                <c:pt idx="755">
                  <c:v>2.3011483333496443</c:v>
                </c:pt>
                <c:pt idx="756">
                  <c:v>2.2852770715889097</c:v>
                </c:pt>
                <c:pt idx="757">
                  <c:v>2.2695152755876089</c:v>
                </c:pt>
                <c:pt idx="758">
                  <c:v>2.2538621903489005</c:v>
                </c:pt>
                <c:pt idx="759">
                  <c:v>2.238317066083233</c:v>
                </c:pt>
                <c:pt idx="760">
                  <c:v>2.2228791581724408</c:v>
                </c:pt>
                <c:pt idx="761">
                  <c:v>2.20754772713406</c:v>
                </c:pt>
                <c:pt idx="762">
                  <c:v>2.1923220385859175</c:v>
                </c:pt>
                <c:pt idx="763">
                  <c:v>2.1772013632109517</c:v>
                </c:pt>
                <c:pt idx="764">
                  <c:v>2.1621849767222772</c:v>
                </c:pt>
                <c:pt idx="765">
                  <c:v>2.1472721598284905</c:v>
                </c:pt>
                <c:pt idx="766">
                  <c:v>2.1324621981992147</c:v>
                </c:pt>
                <c:pt idx="767">
                  <c:v>2.117754382430892</c:v>
                </c:pt>
                <c:pt idx="768">
                  <c:v>2.1031480080127878</c:v>
                </c:pt>
                <c:pt idx="769">
                  <c:v>2.0886423752932544</c:v>
                </c:pt>
                <c:pt idx="770">
                  <c:v>2.074236789446215</c:v>
                </c:pt>
                <c:pt idx="771">
                  <c:v>2.0599305604378815</c:v>
                </c:pt>
                <c:pt idx="772">
                  <c:v>2.0457230029937001</c:v>
                </c:pt>
                <c:pt idx="773">
                  <c:v>2.0316134365655296</c:v>
                </c:pt>
                <c:pt idx="774">
                  <c:v>2.017601185299041</c:v>
                </c:pt>
                <c:pt idx="775">
                  <c:v>2.0036855780013423</c:v>
                </c:pt>
                <c:pt idx="776">
                  <c:v>1.9898659481088281</c:v>
                </c:pt>
                <c:pt idx="777">
                  <c:v>1.9761416336552553</c:v>
                </c:pt>
                <c:pt idx="778">
                  <c:v>1.9625119772400288</c:v>
                </c:pt>
                <c:pt idx="779">
                  <c:v>1.9489763259967157</c:v>
                </c:pt>
                <c:pt idx="780">
                  <c:v>1.9355340315617693</c:v>
                </c:pt>
                <c:pt idx="781">
                  <c:v>1.9221844500434808</c:v>
                </c:pt>
                <c:pt idx="782">
                  <c:v>1.9089269419911232</c:v>
                </c:pt>
                <c:pt idx="783">
                  <c:v>1.8957608723643307</c:v>
                </c:pt>
                <c:pt idx="784">
                  <c:v>1.8826856105026777</c:v>
                </c:pt>
                <c:pt idx="785">
                  <c:v>1.869700530095471</c:v>
                </c:pt>
                <c:pt idx="786">
                  <c:v>1.8568050091517458</c:v>
                </c:pt>
                <c:pt idx="787">
                  <c:v>1.8439984299704746</c:v>
                </c:pt>
                <c:pt idx="788">
                  <c:v>1.8312801791109821</c:v>
                </c:pt>
                <c:pt idx="789">
                  <c:v>1.8186496473635538</c:v>
                </c:pt>
                <c:pt idx="790">
                  <c:v>1.8061062297202604</c:v>
                </c:pt>
                <c:pt idx="791">
                  <c:v>1.7936493253459749</c:v>
                </c:pt>
                <c:pt idx="792">
                  <c:v>1.7812783375495942</c:v>
                </c:pt>
                <c:pt idx="793">
                  <c:v>1.7689926737554567</c:v>
                </c:pt>
                <c:pt idx="794">
                  <c:v>1.756791745474954</c:v>
                </c:pt>
                <c:pt idx="795">
                  <c:v>1.744674968278352</c:v>
                </c:pt>
                <c:pt idx="796">
                  <c:v>1.7326417617667846</c:v>
                </c:pt>
                <c:pt idx="797">
                  <c:v>1.7206915495444581</c:v>
                </c:pt>
                <c:pt idx="798">
                  <c:v>1.7088237591910436</c:v>
                </c:pt>
                <c:pt idx="799">
                  <c:v>1.6970378222342526</c:v>
                </c:pt>
                <c:pt idx="800">
                  <c:v>1.6853331741226123</c:v>
                </c:pt>
                <c:pt idx="801">
                  <c:v>1.6737092541984184</c:v>
                </c:pt>
                <c:pt idx="802">
                  <c:v>1.6621655056708808</c:v>
                </c:pt>
                <c:pt idx="803">
                  <c:v>1.6507013755894604</c:v>
                </c:pt>
                <c:pt idx="804">
                  <c:v>1.6393163148173679</c:v>
                </c:pt>
                <c:pt idx="805">
                  <c:v>1.6280097780052736</c:v>
                </c:pt>
                <c:pt idx="806">
                  <c:v>1.6167812235651762</c:v>
                </c:pt>
                <c:pt idx="807">
                  <c:v>1.6056301136444651</c:v>
                </c:pt>
                <c:pt idx="808">
                  <c:v>1.5945559141001562</c:v>
                </c:pt>
                <c:pt idx="809">
                  <c:v>1.583558094473303</c:v>
                </c:pt>
                <c:pt idx="810">
                  <c:v>1.5726361279635952</c:v>
                </c:pt>
                <c:pt idx="811">
                  <c:v>1.5617894914041146</c:v>
                </c:pt>
                <c:pt idx="812">
                  <c:v>1.5510176652362828</c:v>
                </c:pt>
                <c:pt idx="813">
                  <c:v>1.5403201334849703</c:v>
                </c:pt>
                <c:pt idx="814">
                  <c:v>1.5296963837337829</c:v>
                </c:pt>
                <c:pt idx="815">
                  <c:v>1.5191459071005158</c:v>
                </c:pt>
                <c:pt idx="816">
                  <c:v>1.508668198212777</c:v>
                </c:pt>
                <c:pt idx="817">
                  <c:v>1.4982627551837848</c:v>
                </c:pt>
                <c:pt idx="818">
                  <c:v>1.4879290795883202</c:v>
                </c:pt>
                <c:pt idx="819">
                  <c:v>1.4776666764388544</c:v>
                </c:pt>
                <c:pt idx="820">
                  <c:v>1.4674750541618427</c:v>
                </c:pt>
                <c:pt idx="821">
                  <c:v>1.4573537245741721</c:v>
                </c:pt>
                <c:pt idx="822">
                  <c:v>1.4473022028597817</c:v>
                </c:pt>
                <c:pt idx="823">
                  <c:v>1.4373200075464356</c:v>
                </c:pt>
                <c:pt idx="824">
                  <c:v>1.4274066604826663</c:v>
                </c:pt>
                <c:pt idx="825">
                  <c:v>1.4175616868148633</c:v>
                </c:pt>
                <c:pt idx="826">
                  <c:v>1.4077846149645332</c:v>
                </c:pt>
                <c:pt idx="827">
                  <c:v>1.3980749766057097</c:v>
                </c:pt>
                <c:pt idx="828">
                  <c:v>1.3884323066425168</c:v>
                </c:pt>
                <c:pt idx="829">
                  <c:v>1.3788561431868969</c:v>
                </c:pt>
                <c:pt idx="830">
                  <c:v>1.3693460275364806</c:v>
                </c:pt>
                <c:pt idx="831">
                  <c:v>1.3599015041526197</c:v>
                </c:pt>
                <c:pt idx="832">
                  <c:v>1.3505221206385618</c:v>
                </c:pt>
                <c:pt idx="833">
                  <c:v>1.3412074277177819</c:v>
                </c:pt>
                <c:pt idx="834">
                  <c:v>1.3319569792124637</c:v>
                </c:pt>
                <c:pt idx="835">
                  <c:v>1.3227703320221256</c:v>
                </c:pt>
                <c:pt idx="836">
                  <c:v>1.3136470461023972</c:v>
                </c:pt>
                <c:pt idx="837">
                  <c:v>1.3045866844439375</c:v>
                </c:pt>
                <c:pt idx="838">
                  <c:v>1.2955888130515107</c:v>
                </c:pt>
                <c:pt idx="839">
                  <c:v>1.2866530009231865</c:v>
                </c:pt>
                <c:pt idx="840">
                  <c:v>1.2777788200297018</c:v>
                </c:pt>
                <c:pt idx="841">
                  <c:v>1.2689658452939558</c:v>
                </c:pt>
                <c:pt idx="842">
                  <c:v>1.2602136545706513</c:v>
                </c:pt>
                <c:pt idx="843">
                  <c:v>1.2515218286260685</c:v>
                </c:pt>
                <c:pt idx="844">
                  <c:v>1.2428899511179878</c:v>
                </c:pt>
                <c:pt idx="845">
                  <c:v>1.2343176085757466</c:v>
                </c:pt>
                <c:pt idx="846">
                  <c:v>1.2258043903804321</c:v>
                </c:pt>
                <c:pt idx="847">
                  <c:v>1.2173498887452141</c:v>
                </c:pt>
                <c:pt idx="848">
                  <c:v>1.2089536986958083</c:v>
                </c:pt>
                <c:pt idx="849">
                  <c:v>1.2006154180510842</c:v>
                </c:pt>
                <c:pt idx="850">
                  <c:v>1.1923346474037944</c:v>
                </c:pt>
                <c:pt idx="851">
                  <c:v>1.1841109901014459</c:v>
                </c:pt>
                <c:pt idx="852">
                  <c:v>1.1759440522272988</c:v>
                </c:pt>
                <c:pt idx="853">
                  <c:v>1.1678334425815007</c:v>
                </c:pt>
                <c:pt idx="854">
                  <c:v>1.1597787726623432</c:v>
                </c:pt>
                <c:pt idx="855">
                  <c:v>1.1517796566476566</c:v>
                </c:pt>
                <c:pt idx="856">
                  <c:v>1.1438357113763262</c:v>
                </c:pt>
                <c:pt idx="857">
                  <c:v>1.1359465563299396</c:v>
                </c:pt>
                <c:pt idx="858">
                  <c:v>1.1281118136145609</c:v>
                </c:pt>
                <c:pt idx="859">
                  <c:v>1.1203311079426266</c:v>
                </c:pt>
                <c:pt idx="860">
                  <c:v>1.1126040666149746</c:v>
                </c:pt>
                <c:pt idx="861">
                  <c:v>1.1049303195029843</c:v>
                </c:pt>
                <c:pt idx="862">
                  <c:v>1.0973094990308525</c:v>
                </c:pt>
                <c:pt idx="863">
                  <c:v>1.0897412401579845</c:v>
                </c:pt>
                <c:pt idx="864">
                  <c:v>1.0822251803615093</c:v>
                </c:pt>
                <c:pt idx="865">
                  <c:v>1.0747609596189154</c:v>
                </c:pt>
                <c:pt idx="866">
                  <c:v>1.0673482203908005</c:v>
                </c:pt>
                <c:pt idx="867">
                  <c:v>1.0599866076037545</c:v>
                </c:pt>
                <c:pt idx="868">
                  <c:v>1.0526757686333421</c:v>
                </c:pt>
                <c:pt idx="869">
                  <c:v>1.0454153532872175</c:v>
                </c:pt>
                <c:pt idx="870">
                  <c:v>1.0382050137883467</c:v>
                </c:pt>
                <c:pt idx="871">
                  <c:v>1.0310444047583518</c:v>
                </c:pt>
                <c:pt idx="872">
                  <c:v>1.0239331832009655</c:v>
                </c:pt>
                <c:pt idx="873">
                  <c:v>1.0168710084856005</c:v>
                </c:pt>
                <c:pt idx="874">
                  <c:v>1.0098575423310374</c:v>
                </c:pt>
                <c:pt idx="875">
                  <c:v>1.0028924487892157</c:v>
                </c:pt>
                <c:pt idx="876">
                  <c:v>0.99597539422914427</c:v>
                </c:pt>
                <c:pt idx="877">
                  <c:v>0.98910604732091967</c:v>
                </c:pt>
                <c:pt idx="878">
                  <c:v>0.98228407901985648</c:v>
                </c:pt>
                <c:pt idx="879">
                  <c:v>0.97550916255072484</c:v>
                </c:pt>
                <c:pt idx="880">
                  <c:v>0.96878097339209679</c:v>
                </c:pt>
                <c:pt idx="881">
                  <c:v>0.96209918926080495</c:v>
                </c:pt>
                <c:pt idx="882">
                  <c:v>0.95546349009650056</c:v>
                </c:pt>
                <c:pt idx="883">
                  <c:v>0.94887355804632623</c:v>
                </c:pt>
                <c:pt idx="884">
                  <c:v>0.94232907744968841</c:v>
                </c:pt>
                <c:pt idx="885">
                  <c:v>0.9358297348231378</c:v>
                </c:pt>
                <c:pt idx="886">
                  <c:v>0.92937521884535401</c:v>
                </c:pt>
                <c:pt idx="887">
                  <c:v>0.92296522034223116</c:v>
                </c:pt>
                <c:pt idx="888">
                  <c:v>0.91659943227207052</c:v>
                </c:pt>
                <c:pt idx="889">
                  <c:v>0.91027754971087393</c:v>
                </c:pt>
                <c:pt idx="890">
                  <c:v>0.90399926983773304</c:v>
                </c:pt>
                <c:pt idx="891">
                  <c:v>0.89776429192032858</c:v>
                </c:pt>
                <c:pt idx="892">
                  <c:v>0.89157231730052389</c:v>
                </c:pt>
                <c:pt idx="893">
                  <c:v>0.88542304938005767</c:v>
                </c:pt>
                <c:pt idx="894">
                  <c:v>0.87931619360633939</c:v>
                </c:pt>
                <c:pt idx="895">
                  <c:v>0.87325145745833765</c:v>
                </c:pt>
                <c:pt idx="896">
                  <c:v>0.86722855043257052</c:v>
                </c:pt>
                <c:pt idx="897">
                  <c:v>0.8612471840291881</c:v>
                </c:pt>
                <c:pt idx="898">
                  <c:v>0.85530707173815401</c:v>
                </c:pt>
                <c:pt idx="899">
                  <c:v>0.84940792902552265</c:v>
                </c:pt>
                <c:pt idx="900">
                  <c:v>0.84354947331980823</c:v>
                </c:pt>
                <c:pt idx="901">
                  <c:v>0.83773142399845091</c:v>
                </c:pt>
                <c:pt idx="902">
                  <c:v>0.83195350237437238</c:v>
                </c:pt>
                <c:pt idx="903">
                  <c:v>0.82621543168263079</c:v>
                </c:pt>
                <c:pt idx="904">
                  <c:v>0.82051693706715989</c:v>
                </c:pt>
                <c:pt idx="905">
                  <c:v>0.81485774556760415</c:v>
                </c:pt>
                <c:pt idx="906">
                  <c:v>0.80923758610624563</c:v>
                </c:pt>
                <c:pt idx="907">
                  <c:v>0.80365618947501627</c:v>
                </c:pt>
                <c:pt idx="908">
                  <c:v>0.79811328832260542</c:v>
                </c:pt>
                <c:pt idx="909">
                  <c:v>0.79260861714165165</c:v>
                </c:pt>
                <c:pt idx="910">
                  <c:v>0.78714191225602737</c:v>
                </c:pt>
                <c:pt idx="911">
                  <c:v>0.78171291180820546</c:v>
                </c:pt>
                <c:pt idx="912">
                  <c:v>0.77632135574671779</c:v>
                </c:pt>
                <c:pt idx="913">
                  <c:v>0.77096698581369882</c:v>
                </c:pt>
                <c:pt idx="914">
                  <c:v>0.76564954553251452</c:v>
                </c:pt>
                <c:pt idx="915">
                  <c:v>0.76036878019547716</c:v>
                </c:pt>
                <c:pt idx="916">
                  <c:v>0.75512443685164488</c:v>
                </c:pt>
                <c:pt idx="917">
                  <c:v>0.74991626429470504</c:v>
                </c:pt>
                <c:pt idx="918">
                  <c:v>0.74474401305094096</c:v>
                </c:pt>
                <c:pt idx="919">
                  <c:v>0.73960743536728268</c:v>
                </c:pt>
                <c:pt idx="920">
                  <c:v>0.73450628519943928</c:v>
                </c:pt>
                <c:pt idx="921">
                  <c:v>0.72944031820011268</c:v>
                </c:pt>
                <c:pt idx="922">
                  <c:v>0.72440929170729418</c:v>
                </c:pt>
                <c:pt idx="923">
                  <c:v>0.71941296473263983</c:v>
                </c:pt>
                <c:pt idx="924">
                  <c:v>0.71445109794992945</c:v>
                </c:pt>
                <c:pt idx="925">
                  <c:v>0.70952345368359859</c:v>
                </c:pt>
                <c:pt idx="926">
                  <c:v>0.70462979589735741</c:v>
                </c:pt>
                <c:pt idx="927">
                  <c:v>0.69976989018288283</c:v>
                </c:pt>
                <c:pt idx="928">
                  <c:v>0.69494350374859037</c:v>
                </c:pt>
                <c:pt idx="929">
                  <c:v>0.69015040540848482</c:v>
                </c:pt>
                <c:pt idx="930">
                  <c:v>0.68539036557108313</c:v>
                </c:pt>
                <c:pt idx="931">
                  <c:v>0.68066315622841966</c:v>
                </c:pt>
                <c:pt idx="932">
                  <c:v>0.67596855094512454</c:v>
                </c:pt>
                <c:pt idx="933">
                  <c:v>0.6713063248475758</c:v>
                </c:pt>
                <c:pt idx="934">
                  <c:v>0.66667625461312741</c:v>
                </c:pt>
                <c:pt idx="935">
                  <c:v>0.66207811845941478</c:v>
                </c:pt>
                <c:pt idx="936">
                  <c:v>0.65751169613372873</c:v>
                </c:pt>
                <c:pt idx="937">
                  <c:v>0.65297676890246559</c:v>
                </c:pt>
                <c:pt idx="938">
                  <c:v>0.64847311954065101</c:v>
                </c:pt>
                <c:pt idx="939">
                  <c:v>0.6440005323215352</c:v>
                </c:pt>
                <c:pt idx="940">
                  <c:v>0.63955879300625673</c:v>
                </c:pt>
                <c:pt idx="941">
                  <c:v>0.63514768883358208</c:v>
                </c:pt>
                <c:pt idx="942">
                  <c:v>0.63076700850971568</c:v>
                </c:pt>
                <c:pt idx="943">
                  <c:v>0.62641654219817611</c:v>
                </c:pt>
                <c:pt idx="944">
                  <c:v>0.62209608150974705</c:v>
                </c:pt>
                <c:pt idx="945">
                  <c:v>0.61780541949249401</c:v>
                </c:pt>
                <c:pt idx="946">
                  <c:v>0.61354435062185186</c:v>
                </c:pt>
                <c:pt idx="947">
                  <c:v>0.60931267079078066</c:v>
                </c:pt>
                <c:pt idx="948">
                  <c:v>0.60511017729998684</c:v>
                </c:pt>
                <c:pt idx="949">
                  <c:v>0.60093666884821662</c:v>
                </c:pt>
                <c:pt idx="950">
                  <c:v>0.59679194552261061</c:v>
                </c:pt>
                <c:pt idx="951">
                  <c:v>0.59267580878913029</c:v>
                </c:pt>
                <c:pt idx="952">
                  <c:v>0.58853248602182551</c:v>
                </c:pt>
                <c:pt idx="953">
                  <c:v>0.58421269867119752</c:v>
                </c:pt>
                <c:pt idx="954">
                  <c:v>0.57992461825807606</c:v>
                </c:pt>
                <c:pt idx="955">
                  <c:v>0.57566801205575324</c:v>
                </c:pt>
                <c:pt idx="956">
                  <c:v>0.57144264904571995</c:v>
                </c:pt>
                <c:pt idx="957">
                  <c:v>0.56724829990512671</c:v>
                </c:pt>
                <c:pt idx="958">
                  <c:v>0.56308473699433703</c:v>
                </c:pt>
                <c:pt idx="959">
                  <c:v>0.55895173434457357</c:v>
                </c:pt>
                <c:pt idx="960">
                  <c:v>0.55484906764565545</c:v>
                </c:pt>
                <c:pt idx="961">
                  <c:v>0.55077651423382157</c:v>
                </c:pt>
                <c:pt idx="962">
                  <c:v>0.54673385307964706</c:v>
                </c:pt>
                <c:pt idx="963">
                  <c:v>0.54272086477604842</c:v>
                </c:pt>
                <c:pt idx="964">
                  <c:v>0.53873733152637426</c:v>
                </c:pt>
                <c:pt idx="965">
                  <c:v>0.53478303713258557</c:v>
                </c:pt>
                <c:pt idx="966">
                  <c:v>0.53085776698352138</c:v>
                </c:pt>
                <c:pt idx="967">
                  <c:v>0.52696130804325336</c:v>
                </c:pt>
                <c:pt idx="968">
                  <c:v>0.52309344883952003</c:v>
                </c:pt>
                <c:pt idx="969">
                  <c:v>0.5192539794522526</c:v>
                </c:pt>
                <c:pt idx="970">
                  <c:v>0.51544269150218047</c:v>
                </c:pt>
                <c:pt idx="971">
                  <c:v>0.51165937813952245</c:v>
                </c:pt>
                <c:pt idx="972">
                  <c:v>0.50790383403276063</c:v>
                </c:pt>
                <c:pt idx="973">
                  <c:v>0.50417585535749554</c:v>
                </c:pt>
                <c:pt idx="974">
                  <c:v>0.50047523978538466</c:v>
                </c:pt>
                <c:pt idx="975">
                  <c:v>0.49680178647316209</c:v>
                </c:pt>
                <c:pt idx="976">
                  <c:v>0.49315529605173708</c:v>
                </c:pt>
                <c:pt idx="977">
                  <c:v>0.48953557061537362</c:v>
                </c:pt>
                <c:pt idx="978">
                  <c:v>0.48594241371095048</c:v>
                </c:pt>
                <c:pt idx="979">
                  <c:v>0.4823756303272983</c:v>
                </c:pt>
                <c:pt idx="980">
                  <c:v>0.47883502688461649</c:v>
                </c:pt>
                <c:pt idx="981">
                  <c:v>0.47532041122396607</c:v>
                </c:pt>
                <c:pt idx="982">
                  <c:v>0.47183159259684188</c:v>
                </c:pt>
                <c:pt idx="983">
                  <c:v>0.46836838165481959</c:v>
                </c:pt>
                <c:pt idx="984">
                  <c:v>0.46493059043927826</c:v>
                </c:pt>
                <c:pt idx="985">
                  <c:v>0.46151803237120076</c:v>
                </c:pt>
                <c:pt idx="986">
                  <c:v>0.45813052224104661</c:v>
                </c:pt>
                <c:pt idx="987">
                  <c:v>0.45476787619870052</c:v>
                </c:pt>
                <c:pt idx="988">
                  <c:v>0.45142991174349401</c:v>
                </c:pt>
                <c:pt idx="989">
                  <c:v>0.44811644771430126</c:v>
                </c:pt>
                <c:pt idx="990">
                  <c:v>0.4448273042797064</c:v>
                </c:pt>
                <c:pt idx="991">
                  <c:v>0.44156230292824311</c:v>
                </c:pt>
                <c:pt idx="992">
                  <c:v>0.43832126645870695</c:v>
                </c:pt>
                <c:pt idx="993">
                  <c:v>0.43510401897053813</c:v>
                </c:pt>
                <c:pt idx="994">
                  <c:v>0.43191038585427449</c:v>
                </c:pt>
                <c:pt idx="995">
                  <c:v>0.42874019378207484</c:v>
                </c:pt>
                <c:pt idx="996">
                  <c:v>0.42559327069831365</c:v>
                </c:pt>
                <c:pt idx="997">
                  <c:v>0.42246944581023982</c:v>
                </c:pt>
                <c:pt idx="998">
                  <c:v>0.41936854957871017</c:v>
                </c:pt>
                <c:pt idx="999">
                  <c:v>0.41629041370898684</c:v>
                </c:pt>
                <c:pt idx="1000">
                  <c:v>0.4132348711416034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E43A-4B30-9A72-F0FFE746C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149232"/>
        <c:axId val="1518146512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810.95890410958918</c:v>
                      </c:pt>
                      <c:pt idx="1">
                        <c:v>916.18414829308051</c:v>
                      </c:pt>
                      <c:pt idx="2">
                        <c:v>1035.0627995202153</c:v>
                      </c:pt>
                      <c:pt idx="3">
                        <c:v>1169.366443358183</c:v>
                      </c:pt>
                      <c:pt idx="4">
                        <c:v>1321.0965358681701</c:v>
                      </c:pt>
                      <c:pt idx="5">
                        <c:v>1492.5142302448346</c:v>
                      </c:pt>
                      <c:pt idx="6">
                        <c:v>1686.174073584597</c:v>
                      </c:pt>
                      <c:pt idx="7">
                        <c:v>1904.9620759478278</c:v>
                      </c:pt>
                      <c:pt idx="8">
                        <c:v>2152.1387190380083</c:v>
                      </c:pt>
                      <c:pt idx="9">
                        <c:v>2431.3875454334311</c:v>
                      </c:pt>
                      <c:pt idx="10">
                        <c:v>2746.8700524709989</c:v>
                      </c:pt>
                      <c:pt idx="11">
                        <c:v>3103.2877088366313</c:v>
                      </c:pt>
                      <c:pt idx="12">
                        <c:v>3505.9520180626323</c:v>
                      </c:pt>
                      <c:pt idx="13">
                        <c:v>3960.8636730512439</c:v>
                      </c:pt>
                      <c:pt idx="14">
                        <c:v>4474.8019812223038</c:v>
                      </c:pt>
                      <c:pt idx="15">
                        <c:v>5055.4258929405942</c:v>
                      </c:pt>
                      <c:pt idx="16">
                        <c:v>5711.3881387960682</c:v>
                      </c:pt>
                      <c:pt idx="17">
                        <c:v>6452.4641766643172</c:v>
                      </c:pt>
                      <c:pt idx="18">
                        <c:v>6487.6712328767135</c:v>
                      </c:pt>
                      <c:pt idx="19">
                        <c:v>6487.6712328767135</c:v>
                      </c:pt>
                      <c:pt idx="20">
                        <c:v>6487.6712328767135</c:v>
                      </c:pt>
                      <c:pt idx="21">
                        <c:v>6487.6712328767135</c:v>
                      </c:pt>
                      <c:pt idx="22">
                        <c:v>6487.6712328767135</c:v>
                      </c:pt>
                      <c:pt idx="23">
                        <c:v>6487.6712328767135</c:v>
                      </c:pt>
                      <c:pt idx="24">
                        <c:v>6487.6712328767135</c:v>
                      </c:pt>
                      <c:pt idx="25">
                        <c:v>6487.6712328767135</c:v>
                      </c:pt>
                      <c:pt idx="26">
                        <c:v>6487.6712328767135</c:v>
                      </c:pt>
                      <c:pt idx="27">
                        <c:v>6487.6712328767135</c:v>
                      </c:pt>
                      <c:pt idx="28">
                        <c:v>6487.6712328767135</c:v>
                      </c:pt>
                      <c:pt idx="29">
                        <c:v>6487.6712328767135</c:v>
                      </c:pt>
                      <c:pt idx="30">
                        <c:v>6487.6712328767135</c:v>
                      </c:pt>
                      <c:pt idx="31">
                        <c:v>6487.6712328767135</c:v>
                      </c:pt>
                      <c:pt idx="32">
                        <c:v>6487.6712328767135</c:v>
                      </c:pt>
                      <c:pt idx="33">
                        <c:v>6487.6712328767135</c:v>
                      </c:pt>
                      <c:pt idx="34">
                        <c:v>6487.6712328767135</c:v>
                      </c:pt>
                      <c:pt idx="35">
                        <c:v>6487.6712328767135</c:v>
                      </c:pt>
                      <c:pt idx="36">
                        <c:v>6487.6712328767135</c:v>
                      </c:pt>
                      <c:pt idx="37">
                        <c:v>6487.6712328767135</c:v>
                      </c:pt>
                      <c:pt idx="38">
                        <c:v>6487.6712328767135</c:v>
                      </c:pt>
                      <c:pt idx="39">
                        <c:v>6487.6712328767135</c:v>
                      </c:pt>
                      <c:pt idx="40">
                        <c:v>6487.6712328767135</c:v>
                      </c:pt>
                      <c:pt idx="41">
                        <c:v>6487.6712328767135</c:v>
                      </c:pt>
                      <c:pt idx="42">
                        <c:v>6487.6712328767135</c:v>
                      </c:pt>
                      <c:pt idx="43">
                        <c:v>6487.6712328767135</c:v>
                      </c:pt>
                      <c:pt idx="44">
                        <c:v>6487.6712328767135</c:v>
                      </c:pt>
                      <c:pt idx="45">
                        <c:v>6487.6712328767135</c:v>
                      </c:pt>
                      <c:pt idx="46">
                        <c:v>6487.6712328767135</c:v>
                      </c:pt>
                      <c:pt idx="47">
                        <c:v>6487.6712328767135</c:v>
                      </c:pt>
                      <c:pt idx="48">
                        <c:v>6487.6712328767135</c:v>
                      </c:pt>
                      <c:pt idx="49">
                        <c:v>6487.6712328767135</c:v>
                      </c:pt>
                      <c:pt idx="50">
                        <c:v>6487.6712328767135</c:v>
                      </c:pt>
                      <c:pt idx="51">
                        <c:v>6487.6712328767135</c:v>
                      </c:pt>
                      <c:pt idx="52">
                        <c:v>6487.6712328767135</c:v>
                      </c:pt>
                      <c:pt idx="53">
                        <c:v>6487.6712328767135</c:v>
                      </c:pt>
                      <c:pt idx="54">
                        <c:v>6487.6712328767135</c:v>
                      </c:pt>
                      <c:pt idx="55">
                        <c:v>6487.6712328767135</c:v>
                      </c:pt>
                      <c:pt idx="56">
                        <c:v>6487.6712328767135</c:v>
                      </c:pt>
                      <c:pt idx="57">
                        <c:v>6487.6712328767135</c:v>
                      </c:pt>
                      <c:pt idx="58">
                        <c:v>6487.6712328767135</c:v>
                      </c:pt>
                      <c:pt idx="59">
                        <c:v>6487.6712328767135</c:v>
                      </c:pt>
                      <c:pt idx="60">
                        <c:v>6487.6712328767135</c:v>
                      </c:pt>
                      <c:pt idx="61">
                        <c:v>6487.6712328767135</c:v>
                      </c:pt>
                      <c:pt idx="62">
                        <c:v>6487.6712328767135</c:v>
                      </c:pt>
                      <c:pt idx="63">
                        <c:v>6487.6712328767135</c:v>
                      </c:pt>
                      <c:pt idx="64">
                        <c:v>6487.6712328767135</c:v>
                      </c:pt>
                      <c:pt idx="65">
                        <c:v>6487.6712328767135</c:v>
                      </c:pt>
                      <c:pt idx="66">
                        <c:v>6487.6712328767135</c:v>
                      </c:pt>
                      <c:pt idx="67">
                        <c:v>6487.6712328767135</c:v>
                      </c:pt>
                      <c:pt idx="68">
                        <c:v>6487.6712328767135</c:v>
                      </c:pt>
                      <c:pt idx="69">
                        <c:v>6487.6712328767135</c:v>
                      </c:pt>
                      <c:pt idx="70">
                        <c:v>6487.6712328767135</c:v>
                      </c:pt>
                      <c:pt idx="71">
                        <c:v>6487.6712328767135</c:v>
                      </c:pt>
                      <c:pt idx="72">
                        <c:v>6487.6712328767135</c:v>
                      </c:pt>
                      <c:pt idx="73">
                        <c:v>6487.6712328767135</c:v>
                      </c:pt>
                      <c:pt idx="74">
                        <c:v>6487.6712328767135</c:v>
                      </c:pt>
                      <c:pt idx="75">
                        <c:v>6487.6712328767135</c:v>
                      </c:pt>
                      <c:pt idx="76">
                        <c:v>6487.6712328767135</c:v>
                      </c:pt>
                      <c:pt idx="77">
                        <c:v>6487.6712328767135</c:v>
                      </c:pt>
                      <c:pt idx="78">
                        <c:v>6487.6712328767135</c:v>
                      </c:pt>
                      <c:pt idx="79">
                        <c:v>6487.6712328767135</c:v>
                      </c:pt>
                      <c:pt idx="80">
                        <c:v>6487.6712328767135</c:v>
                      </c:pt>
                      <c:pt idx="81">
                        <c:v>6487.6712328767135</c:v>
                      </c:pt>
                      <c:pt idx="82">
                        <c:v>6487.6712328767135</c:v>
                      </c:pt>
                      <c:pt idx="83">
                        <c:v>6487.6712328767135</c:v>
                      </c:pt>
                      <c:pt idx="84">
                        <c:v>6487.6712328767135</c:v>
                      </c:pt>
                      <c:pt idx="85">
                        <c:v>6487.6712328767135</c:v>
                      </c:pt>
                      <c:pt idx="86">
                        <c:v>6487.6712328767135</c:v>
                      </c:pt>
                      <c:pt idx="87">
                        <c:v>6487.6712328767135</c:v>
                      </c:pt>
                      <c:pt idx="88">
                        <c:v>6487.6712328767135</c:v>
                      </c:pt>
                      <c:pt idx="89">
                        <c:v>6487.6712328767135</c:v>
                      </c:pt>
                      <c:pt idx="90">
                        <c:v>6487.6712328767135</c:v>
                      </c:pt>
                      <c:pt idx="91">
                        <c:v>6487.6712328767135</c:v>
                      </c:pt>
                      <c:pt idx="92">
                        <c:v>6487.6712328767135</c:v>
                      </c:pt>
                      <c:pt idx="93">
                        <c:v>6487.6712328767135</c:v>
                      </c:pt>
                      <c:pt idx="94">
                        <c:v>6487.6712328767135</c:v>
                      </c:pt>
                      <c:pt idx="95">
                        <c:v>6487.6712328767135</c:v>
                      </c:pt>
                      <c:pt idx="96">
                        <c:v>6487.6712328767135</c:v>
                      </c:pt>
                      <c:pt idx="97">
                        <c:v>6487.6712328767135</c:v>
                      </c:pt>
                      <c:pt idx="98">
                        <c:v>6487.6712328767135</c:v>
                      </c:pt>
                      <c:pt idx="99">
                        <c:v>6487.6712328767135</c:v>
                      </c:pt>
                      <c:pt idx="100">
                        <c:v>6487.6712328767135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E43A-4B30-9A72-F0FFE746C854}"/>
                  </c:ext>
                </c:extLst>
              </c15:ser>
            </c15:filteredScatterSeries>
            <c15:filteredScatterSeries>
              <c15:ser>
                <c:idx val="2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0.37633</c:v>
                      </c:pt>
                      <c:pt idx="1">
                        <c:v>0.37861445494800561</c:v>
                      </c:pt>
                      <c:pt idx="2">
                        <c:v>0.38091277733790929</c:v>
                      </c:pt>
                      <c:pt idx="3">
                        <c:v>0.38322505134994173</c:v>
                      </c:pt>
                      <c:pt idx="4">
                        <c:v>0.38555136167533721</c:v>
                      </c:pt>
                      <c:pt idx="5">
                        <c:v>0.38789179351943559</c:v>
                      </c:pt>
                      <c:pt idx="6">
                        <c:v>0.39024643260480291</c:v>
                      </c:pt>
                      <c:pt idx="7">
                        <c:v>0.39261536517437112</c:v>
                      </c:pt>
                      <c:pt idx="8">
                        <c:v>0.39499867799459709</c:v>
                      </c:pt>
                      <c:pt idx="9">
                        <c:v>0.3973964583586404</c:v>
                      </c:pt>
                      <c:pt idx="10">
                        <c:v>0.39980879408956099</c:v>
                      </c:pt>
                      <c:pt idx="11">
                        <c:v>0.40223577354353501</c:v>
                      </c:pt>
                      <c:pt idx="12">
                        <c:v>0.40467748561309208</c:v>
                      </c:pt>
                      <c:pt idx="13">
                        <c:v>0.40713401973037033</c:v>
                      </c:pt>
                      <c:pt idx="14">
                        <c:v>0.40960546587039232</c:v>
                      </c:pt>
                      <c:pt idx="15">
                        <c:v>0.41209191455436062</c:v>
                      </c:pt>
                      <c:pt idx="16">
                        <c:v>0.41459345685297311</c:v>
                      </c:pt>
                      <c:pt idx="17">
                        <c:v>0.41711018438975878</c:v>
                      </c:pt>
                      <c:pt idx="18">
                        <c:v>0.41964218934443348</c:v>
                      </c:pt>
                      <c:pt idx="19">
                        <c:v>0.42218956445627637</c:v>
                      </c:pt>
                      <c:pt idx="20">
                        <c:v>0.42475240302752626</c:v>
                      </c:pt>
                      <c:pt idx="21">
                        <c:v>0.42733079892679959</c:v>
                      </c:pt>
                      <c:pt idx="22">
                        <c:v>0.42992484659252789</c:v>
                      </c:pt>
                      <c:pt idx="23">
                        <c:v>0.43253464103641726</c:v>
                      </c:pt>
                      <c:pt idx="24">
                        <c:v>0.43516027784692796</c:v>
                      </c:pt>
                      <c:pt idx="25">
                        <c:v>0.43780185319277587</c:v>
                      </c:pt>
                      <c:pt idx="26">
                        <c:v>0.44045946382645451</c:v>
                      </c:pt>
                      <c:pt idx="27">
                        <c:v>0.44313320708777898</c:v>
                      </c:pt>
                      <c:pt idx="28">
                        <c:v>0.44582318090745138</c:v>
                      </c:pt>
                      <c:pt idx="29">
                        <c:v>0.44852948381064706</c:v>
                      </c:pt>
                      <c:pt idx="30">
                        <c:v>0.45125221492062417</c:v>
                      </c:pt>
                      <c:pt idx="31">
                        <c:v>0.45399147396235323</c:v>
                      </c:pt>
                      <c:pt idx="32">
                        <c:v>0.45674736126617088</c:v>
                      </c:pt>
                      <c:pt idx="33">
                        <c:v>0.45951997777145354</c:v>
                      </c:pt>
                      <c:pt idx="34">
                        <c:v>0.4623094250303153</c:v>
                      </c:pt>
                      <c:pt idx="35">
                        <c:v>0.46511580521132712</c:v>
                      </c:pt>
                      <c:pt idx="36">
                        <c:v>0.46793922110325881</c:v>
                      </c:pt>
                      <c:pt idx="37">
                        <c:v>0.4707797761188442</c:v>
                      </c:pt>
                      <c:pt idx="38">
                        <c:v>0.47363757429856862</c:v>
                      </c:pt>
                      <c:pt idx="39">
                        <c:v>0.4765127203144795</c:v>
                      </c:pt>
                      <c:pt idx="40">
                        <c:v>0.47940531947402043</c:v>
                      </c:pt>
                      <c:pt idx="41">
                        <c:v>0.482315477723888</c:v>
                      </c:pt>
                      <c:pt idx="42">
                        <c:v>0.48524330165391233</c:v>
                      </c:pt>
                      <c:pt idx="43">
                        <c:v>0.48818889850096114</c:v>
                      </c:pt>
                      <c:pt idx="44">
                        <c:v>0.4911523761528675</c:v>
                      </c:pt>
                      <c:pt idx="45">
                        <c:v>0.49413384315238168</c:v>
                      </c:pt>
                      <c:pt idx="46">
                        <c:v>0.49713340870114608</c:v>
                      </c:pt>
                      <c:pt idx="47">
                        <c:v>0.50015118266369551</c:v>
                      </c:pt>
                      <c:pt idx="48">
                        <c:v>0.50318727557148113</c:v>
                      </c:pt>
                      <c:pt idx="49">
                        <c:v>0.50624179862691854</c:v>
                      </c:pt>
                      <c:pt idx="50">
                        <c:v>0.50931486370746104</c:v>
                      </c:pt>
                      <c:pt idx="51">
                        <c:v>0.51240658336969713</c:v>
                      </c:pt>
                      <c:pt idx="52">
                        <c:v>0.51551707085347354</c:v>
                      </c:pt>
                      <c:pt idx="53">
                        <c:v>0.51864644008604233</c:v>
                      </c:pt>
                      <c:pt idx="54">
                        <c:v>0.52179480568623382</c:v>
                      </c:pt>
                      <c:pt idx="55">
                        <c:v>0.52496228296865499</c:v>
                      </c:pt>
                      <c:pt idx="56">
                        <c:v>0.52814898794791276</c:v>
                      </c:pt>
                      <c:pt idx="57">
                        <c:v>0.53135503734286349</c:v>
                      </c:pt>
                      <c:pt idx="58">
                        <c:v>0.53458054858088766</c:v>
                      </c:pt>
                      <c:pt idx="59">
                        <c:v>0.53782563980219111</c:v>
                      </c:pt>
                      <c:pt idx="60">
                        <c:v>0.54109042986413258</c:v>
                      </c:pt>
                      <c:pt idx="61">
                        <c:v>0.5443750383455761</c:v>
                      </c:pt>
                      <c:pt idx="62">
                        <c:v>0.54767958555127139</c:v>
                      </c:pt>
                      <c:pt idx="63">
                        <c:v>0.55100419251626032</c:v>
                      </c:pt>
                      <c:pt idx="64">
                        <c:v>0.55434898101030983</c:v>
                      </c:pt>
                      <c:pt idx="65">
                        <c:v>0.55771407354237179</c:v>
                      </c:pt>
                      <c:pt idx="66">
                        <c:v>0.56109959336507065</c:v>
                      </c:pt>
                      <c:pt idx="67">
                        <c:v>0.56450566447921724</c:v>
                      </c:pt>
                      <c:pt idx="68">
                        <c:v>0.56793241163835095</c:v>
                      </c:pt>
                      <c:pt idx="69">
                        <c:v>0.57137996035330851</c:v>
                      </c:pt>
                      <c:pt idx="70">
                        <c:v>0.57484843689682197</c:v>
                      </c:pt>
                      <c:pt idx="71">
                        <c:v>0.57833796830814244</c:v>
                      </c:pt>
                      <c:pt idx="72">
                        <c:v>0.58184868239769427</c:v>
                      </c:pt>
                      <c:pt idx="73">
                        <c:v>0.58538070775175588</c:v>
                      </c:pt>
                      <c:pt idx="74">
                        <c:v>0.58893417373716905</c:v>
                      </c:pt>
                      <c:pt idx="75">
                        <c:v>0.59250921050607797</c:v>
                      </c:pt>
                      <c:pt idx="76">
                        <c:v>0.5961059490006958</c:v>
                      </c:pt>
                      <c:pt idx="77">
                        <c:v>0.59972452095810092</c:v>
                      </c:pt>
                      <c:pt idx="78">
                        <c:v>0.60336505891506165</c:v>
                      </c:pt>
                      <c:pt idx="79">
                        <c:v>0.60702769621289132</c:v>
                      </c:pt>
                      <c:pt idx="80">
                        <c:v>0.61071256700233145</c:v>
                      </c:pt>
                      <c:pt idx="81">
                        <c:v>0.61441980624846571</c:v>
                      </c:pt>
                      <c:pt idx="82">
                        <c:v>0.61814954973566305</c:v>
                      </c:pt>
                      <c:pt idx="83">
                        <c:v>0.62190193407255123</c:v>
                      </c:pt>
                      <c:pt idx="84">
                        <c:v>0.62567709669701999</c:v>
                      </c:pt>
                      <c:pt idx="85">
                        <c:v>0.62947517588125534</c:v>
                      </c:pt>
                      <c:pt idx="86">
                        <c:v>0.63329631073680404</c:v>
                      </c:pt>
                      <c:pt idx="87">
                        <c:v>0.63714064121966862</c:v>
                      </c:pt>
                      <c:pt idx="88">
                        <c:v>0.64100830813543341</c:v>
                      </c:pt>
                      <c:pt idx="89">
                        <c:v>0.6448994531444221</c:v>
                      </c:pt>
                      <c:pt idx="90">
                        <c:v>0.64881421876688627</c:v>
                      </c:pt>
                      <c:pt idx="91">
                        <c:v>0.65275274838822506</c:v>
                      </c:pt>
                      <c:pt idx="92">
                        <c:v>0.65671518626423742</c:v>
                      </c:pt>
                      <c:pt idx="93">
                        <c:v>0.66070167752640574</c:v>
                      </c:pt>
                      <c:pt idx="94">
                        <c:v>0.66471236818721102</c:v>
                      </c:pt>
                      <c:pt idx="95">
                        <c:v>0.66874740514548114</c:v>
                      </c:pt>
                      <c:pt idx="96">
                        <c:v>0.67280693619177168</c:v>
                      </c:pt>
                      <c:pt idx="97">
                        <c:v>0.67689111001377855</c:v>
                      </c:pt>
                      <c:pt idx="98">
                        <c:v>0.68100007620178382</c:v>
                      </c:pt>
                      <c:pt idx="99">
                        <c:v>0.68513398525413516</c:v>
                      </c:pt>
                      <c:pt idx="100">
                        <c:v>0.689292988582758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E43A-4B30-9A72-F0FFE746C854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3000</c:v>
                      </c:pt>
                      <c:pt idx="33">
                        <c:v>3000</c:v>
                      </c:pt>
                      <c:pt idx="34">
                        <c:v>3000</c:v>
                      </c:pt>
                      <c:pt idx="35">
                        <c:v>3000</c:v>
                      </c:pt>
                      <c:pt idx="36">
                        <c:v>3000</c:v>
                      </c:pt>
                      <c:pt idx="37">
                        <c:v>3000</c:v>
                      </c:pt>
                      <c:pt idx="38">
                        <c:v>3000</c:v>
                      </c:pt>
                      <c:pt idx="39">
                        <c:v>3000</c:v>
                      </c:pt>
                      <c:pt idx="40">
                        <c:v>3000</c:v>
                      </c:pt>
                      <c:pt idx="41">
                        <c:v>3000</c:v>
                      </c:pt>
                      <c:pt idx="42">
                        <c:v>3000</c:v>
                      </c:pt>
                      <c:pt idx="43">
                        <c:v>3000</c:v>
                      </c:pt>
                      <c:pt idx="44">
                        <c:v>3000</c:v>
                      </c:pt>
                      <c:pt idx="45">
                        <c:v>3000</c:v>
                      </c:pt>
                      <c:pt idx="46">
                        <c:v>3000</c:v>
                      </c:pt>
                      <c:pt idx="47">
                        <c:v>3000</c:v>
                      </c:pt>
                      <c:pt idx="48">
                        <c:v>3000</c:v>
                      </c:pt>
                      <c:pt idx="49">
                        <c:v>3000</c:v>
                      </c:pt>
                      <c:pt idx="50">
                        <c:v>3000</c:v>
                      </c:pt>
                      <c:pt idx="51">
                        <c:v>3000</c:v>
                      </c:pt>
                      <c:pt idx="52">
                        <c:v>3000</c:v>
                      </c:pt>
                      <c:pt idx="53">
                        <c:v>3000</c:v>
                      </c:pt>
                      <c:pt idx="54">
                        <c:v>3000</c:v>
                      </c:pt>
                      <c:pt idx="55">
                        <c:v>3000</c:v>
                      </c:pt>
                      <c:pt idx="56">
                        <c:v>3000</c:v>
                      </c:pt>
                      <c:pt idx="57">
                        <c:v>3000</c:v>
                      </c:pt>
                      <c:pt idx="58">
                        <c:v>3000</c:v>
                      </c:pt>
                      <c:pt idx="59">
                        <c:v>3000</c:v>
                      </c:pt>
                      <c:pt idx="60">
                        <c:v>3000</c:v>
                      </c:pt>
                      <c:pt idx="61">
                        <c:v>3000</c:v>
                      </c:pt>
                      <c:pt idx="62">
                        <c:v>3000</c:v>
                      </c:pt>
                      <c:pt idx="63">
                        <c:v>3000</c:v>
                      </c:pt>
                      <c:pt idx="64">
                        <c:v>3000</c:v>
                      </c:pt>
                      <c:pt idx="65">
                        <c:v>3000</c:v>
                      </c:pt>
                      <c:pt idx="66">
                        <c:v>3000</c:v>
                      </c:pt>
                      <c:pt idx="67">
                        <c:v>3000</c:v>
                      </c:pt>
                      <c:pt idx="68">
                        <c:v>3000</c:v>
                      </c:pt>
                      <c:pt idx="69">
                        <c:v>3000</c:v>
                      </c:pt>
                      <c:pt idx="70">
                        <c:v>3000</c:v>
                      </c:pt>
                      <c:pt idx="71">
                        <c:v>3000</c:v>
                      </c:pt>
                      <c:pt idx="72">
                        <c:v>3000</c:v>
                      </c:pt>
                      <c:pt idx="73">
                        <c:v>3000</c:v>
                      </c:pt>
                      <c:pt idx="74">
                        <c:v>3000</c:v>
                      </c:pt>
                      <c:pt idx="75">
                        <c:v>3000</c:v>
                      </c:pt>
                      <c:pt idx="76">
                        <c:v>3000</c:v>
                      </c:pt>
                      <c:pt idx="77">
                        <c:v>3000</c:v>
                      </c:pt>
                      <c:pt idx="78">
                        <c:v>3000</c:v>
                      </c:pt>
                      <c:pt idx="79">
                        <c:v>3000</c:v>
                      </c:pt>
                      <c:pt idx="80">
                        <c:v>3000</c:v>
                      </c:pt>
                      <c:pt idx="81">
                        <c:v>3000</c:v>
                      </c:pt>
                      <c:pt idx="82">
                        <c:v>3000</c:v>
                      </c:pt>
                      <c:pt idx="83">
                        <c:v>3000</c:v>
                      </c:pt>
                      <c:pt idx="84">
                        <c:v>3000</c:v>
                      </c:pt>
                      <c:pt idx="85">
                        <c:v>3000</c:v>
                      </c:pt>
                      <c:pt idx="86">
                        <c:v>3000</c:v>
                      </c:pt>
                      <c:pt idx="87">
                        <c:v>3000</c:v>
                      </c:pt>
                      <c:pt idx="88">
                        <c:v>3000</c:v>
                      </c:pt>
                      <c:pt idx="89">
                        <c:v>3000</c:v>
                      </c:pt>
                      <c:pt idx="90">
                        <c:v>3000</c:v>
                      </c:pt>
                      <c:pt idx="91">
                        <c:v>3000</c:v>
                      </c:pt>
                      <c:pt idx="92">
                        <c:v>3000</c:v>
                      </c:pt>
                      <c:pt idx="93">
                        <c:v>3000</c:v>
                      </c:pt>
                      <c:pt idx="94">
                        <c:v>3000</c:v>
                      </c:pt>
                      <c:pt idx="95">
                        <c:v>3000</c:v>
                      </c:pt>
                      <c:pt idx="96">
                        <c:v>3000</c:v>
                      </c:pt>
                      <c:pt idx="97">
                        <c:v>3000</c:v>
                      </c:pt>
                      <c:pt idx="98">
                        <c:v>3000</c:v>
                      </c:pt>
                      <c:pt idx="99">
                        <c:v>3000</c:v>
                      </c:pt>
                      <c:pt idx="100">
                        <c:v>3000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E43A-4B30-9A72-F0FFE746C854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30.000000000000007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69.999999999999986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99.999999999999972</c:v>
                      </c:pt>
                      <c:pt idx="11">
                        <c:v>109.99999999999999</c:v>
                      </c:pt>
                      <c:pt idx="12">
                        <c:v>120</c:v>
                      </c:pt>
                      <c:pt idx="13">
                        <c:v>130</c:v>
                      </c:pt>
                      <c:pt idx="14">
                        <c:v>140</c:v>
                      </c:pt>
                      <c:pt idx="15">
                        <c:v>150.00000000000003</c:v>
                      </c:pt>
                      <c:pt idx="16">
                        <c:v>160.00000000000003</c:v>
                      </c:pt>
                      <c:pt idx="17">
                        <c:v>170.00000000000003</c:v>
                      </c:pt>
                      <c:pt idx="18">
                        <c:v>180.00000000000006</c:v>
                      </c:pt>
                      <c:pt idx="19">
                        <c:v>190.00000000000006</c:v>
                      </c:pt>
                      <c:pt idx="20">
                        <c:v>200.00000000000003</c:v>
                      </c:pt>
                      <c:pt idx="21">
                        <c:v>210.00000000000006</c:v>
                      </c:pt>
                      <c:pt idx="22">
                        <c:v>220.00000000000006</c:v>
                      </c:pt>
                      <c:pt idx="23">
                        <c:v>230.00000000000006</c:v>
                      </c:pt>
                      <c:pt idx="24">
                        <c:v>240.00000000000009</c:v>
                      </c:pt>
                      <c:pt idx="25">
                        <c:v>250.00000000000011</c:v>
                      </c:pt>
                      <c:pt idx="26">
                        <c:v>260.00000000000011</c:v>
                      </c:pt>
                      <c:pt idx="27">
                        <c:v>270.00000000000011</c:v>
                      </c:pt>
                      <c:pt idx="28">
                        <c:v>280.00000000000011</c:v>
                      </c:pt>
                      <c:pt idx="29">
                        <c:v>290.00000000000017</c:v>
                      </c:pt>
                      <c:pt idx="30">
                        <c:v>300.00000000000017</c:v>
                      </c:pt>
                      <c:pt idx="31">
                        <c:v>310.00000000000017</c:v>
                      </c:pt>
                      <c:pt idx="32">
                        <c:v>320.00000000000017</c:v>
                      </c:pt>
                      <c:pt idx="33">
                        <c:v>330.00000000000017</c:v>
                      </c:pt>
                      <c:pt idx="34">
                        <c:v>340.00000000000017</c:v>
                      </c:pt>
                      <c:pt idx="35">
                        <c:v>350.00000000000023</c:v>
                      </c:pt>
                      <c:pt idx="36">
                        <c:v>360.00000000000023</c:v>
                      </c:pt>
                      <c:pt idx="37">
                        <c:v>370.00000000000023</c:v>
                      </c:pt>
                      <c:pt idx="38">
                        <c:v>380.00000000000023</c:v>
                      </c:pt>
                      <c:pt idx="39">
                        <c:v>390.00000000000023</c:v>
                      </c:pt>
                      <c:pt idx="40">
                        <c:v>400.00000000000011</c:v>
                      </c:pt>
                      <c:pt idx="41">
                        <c:v>410.00000000000011</c:v>
                      </c:pt>
                      <c:pt idx="42">
                        <c:v>420.00000000000011</c:v>
                      </c:pt>
                      <c:pt idx="43">
                        <c:v>430.00000000000011</c:v>
                      </c:pt>
                      <c:pt idx="44">
                        <c:v>440.00000000000006</c:v>
                      </c:pt>
                      <c:pt idx="45">
                        <c:v>449.99999999999994</c:v>
                      </c:pt>
                      <c:pt idx="46">
                        <c:v>459.99999999999994</c:v>
                      </c:pt>
                      <c:pt idx="47">
                        <c:v>469.99999999999994</c:v>
                      </c:pt>
                      <c:pt idx="48">
                        <c:v>479.99999999999989</c:v>
                      </c:pt>
                      <c:pt idx="49">
                        <c:v>489.99999999999989</c:v>
                      </c:pt>
                      <c:pt idx="50">
                        <c:v>499.99999999999983</c:v>
                      </c:pt>
                      <c:pt idx="51">
                        <c:v>509.99999999999977</c:v>
                      </c:pt>
                      <c:pt idx="52">
                        <c:v>519.99999999999977</c:v>
                      </c:pt>
                      <c:pt idx="53">
                        <c:v>529.99999999999966</c:v>
                      </c:pt>
                      <c:pt idx="54">
                        <c:v>539.99999999999955</c:v>
                      </c:pt>
                      <c:pt idx="55">
                        <c:v>549.99999999999955</c:v>
                      </c:pt>
                      <c:pt idx="56">
                        <c:v>559.99999999999966</c:v>
                      </c:pt>
                      <c:pt idx="57">
                        <c:v>569.99999999999966</c:v>
                      </c:pt>
                      <c:pt idx="58">
                        <c:v>579.99999999999955</c:v>
                      </c:pt>
                      <c:pt idx="59">
                        <c:v>589.99999999999955</c:v>
                      </c:pt>
                      <c:pt idx="60">
                        <c:v>599.99999999999955</c:v>
                      </c:pt>
                      <c:pt idx="61">
                        <c:v>609.99999999999943</c:v>
                      </c:pt>
                      <c:pt idx="62">
                        <c:v>619.99999999999932</c:v>
                      </c:pt>
                      <c:pt idx="63">
                        <c:v>629.99999999999932</c:v>
                      </c:pt>
                      <c:pt idx="64">
                        <c:v>639.99999999999932</c:v>
                      </c:pt>
                      <c:pt idx="65">
                        <c:v>649.99999999999932</c:v>
                      </c:pt>
                      <c:pt idx="66">
                        <c:v>659.9999999999992</c:v>
                      </c:pt>
                      <c:pt idx="67">
                        <c:v>669.99999999999932</c:v>
                      </c:pt>
                      <c:pt idx="68">
                        <c:v>679.99999999999932</c:v>
                      </c:pt>
                      <c:pt idx="69">
                        <c:v>689.99999999999909</c:v>
                      </c:pt>
                      <c:pt idx="70">
                        <c:v>699.99999999999909</c:v>
                      </c:pt>
                      <c:pt idx="71">
                        <c:v>709.99999999999909</c:v>
                      </c:pt>
                      <c:pt idx="72">
                        <c:v>719.99999999999898</c:v>
                      </c:pt>
                      <c:pt idx="73">
                        <c:v>729.99999999999898</c:v>
                      </c:pt>
                      <c:pt idx="74">
                        <c:v>739.99999999999898</c:v>
                      </c:pt>
                      <c:pt idx="75">
                        <c:v>749.99999999999898</c:v>
                      </c:pt>
                      <c:pt idx="76">
                        <c:v>759.99999999999886</c:v>
                      </c:pt>
                      <c:pt idx="77">
                        <c:v>769.99999999999886</c:v>
                      </c:pt>
                      <c:pt idx="78">
                        <c:v>779.99999999999886</c:v>
                      </c:pt>
                      <c:pt idx="79">
                        <c:v>789.99999999999875</c:v>
                      </c:pt>
                      <c:pt idx="80">
                        <c:v>799.99999999999875</c:v>
                      </c:pt>
                      <c:pt idx="81">
                        <c:v>809.99999999999875</c:v>
                      </c:pt>
                      <c:pt idx="82">
                        <c:v>819.99999999999864</c:v>
                      </c:pt>
                      <c:pt idx="83">
                        <c:v>829.99999999999864</c:v>
                      </c:pt>
                      <c:pt idx="84">
                        <c:v>839.99999999999864</c:v>
                      </c:pt>
                      <c:pt idx="85">
                        <c:v>849.99999999999852</c:v>
                      </c:pt>
                      <c:pt idx="86">
                        <c:v>859.99999999999852</c:v>
                      </c:pt>
                      <c:pt idx="87">
                        <c:v>869.99999999999852</c:v>
                      </c:pt>
                      <c:pt idx="88">
                        <c:v>879.99999999999841</c:v>
                      </c:pt>
                      <c:pt idx="89">
                        <c:v>889.99999999999841</c:v>
                      </c:pt>
                      <c:pt idx="90">
                        <c:v>899.99999999999852</c:v>
                      </c:pt>
                      <c:pt idx="91">
                        <c:v>909.99999999999841</c:v>
                      </c:pt>
                      <c:pt idx="92">
                        <c:v>919.99999999999841</c:v>
                      </c:pt>
                      <c:pt idx="93">
                        <c:v>929.99999999999841</c:v>
                      </c:pt>
                      <c:pt idx="94">
                        <c:v>939.99999999999818</c:v>
                      </c:pt>
                      <c:pt idx="95">
                        <c:v>949.99999999999818</c:v>
                      </c:pt>
                      <c:pt idx="96">
                        <c:v>959.99999999999818</c:v>
                      </c:pt>
                      <c:pt idx="97">
                        <c:v>969.99999999999807</c:v>
                      </c:pt>
                      <c:pt idx="98">
                        <c:v>979.99999999999807</c:v>
                      </c:pt>
                      <c:pt idx="99">
                        <c:v>989.99999999999807</c:v>
                      </c:pt>
                      <c:pt idx="100">
                        <c:v>999.99999999999807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E43A-4B30-9A72-F0FFE746C854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1"/>
          <c:order val="2"/>
          <c:tx>
            <c:strRef>
              <c:f>Production_Forecast!$M$10</c:f>
              <c:strCache>
                <c:ptCount val="1"/>
                <c:pt idx="0">
                  <c:v>GOR</c:v>
                </c:pt>
              </c:strCache>
            </c:strRef>
          </c:tx>
          <c:spPr>
            <a:ln w="508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Production_Forecast!$K$12:$K$1012</c:f>
              <c:numCache>
                <c:formatCode>0.00</c:formatCode>
                <c:ptCount val="1001"/>
                <c:pt idx="0">
                  <c:v>0</c:v>
                </c:pt>
                <c:pt idx="1">
                  <c:v>2.990366109806172E-2</c:v>
                </c:pt>
                <c:pt idx="2">
                  <c:v>5.6372837931266531E-2</c:v>
                </c:pt>
                <c:pt idx="3">
                  <c:v>7.9801986620785331E-2</c:v>
                </c:pt>
                <c:pt idx="4">
                  <c:v>0.10054025935871833</c:v>
                </c:pt>
                <c:pt idx="5">
                  <c:v>0.11889670763826224</c:v>
                </c:pt>
                <c:pt idx="6">
                  <c:v>0.1351448878844034</c:v>
                </c:pt>
                <c:pt idx="7">
                  <c:v>0.14952693812041182</c:v>
                </c:pt>
                <c:pt idx="8">
                  <c:v>0.16225718642253756</c:v>
                </c:pt>
                <c:pt idx="9">
                  <c:v>0.17352534493779748</c:v>
                </c:pt>
                <c:pt idx="10">
                  <c:v>0.18349933706360874</c:v>
                </c:pt>
                <c:pt idx="11">
                  <c:v>0.19232779992122867</c:v>
                </c:pt>
                <c:pt idx="12">
                  <c:v>0.20014229941603701</c:v>
                </c:pt>
                <c:pt idx="13">
                  <c:v>0.20705929089453118</c:v>
                </c:pt>
                <c:pt idx="14">
                  <c:v>0.21318185461666689</c:v>
                </c:pt>
                <c:pt idx="15">
                  <c:v>0.21860123190636871</c:v>
                </c:pt>
                <c:pt idx="16">
                  <c:v>0.22339818487264843</c:v>
                </c:pt>
                <c:pt idx="17">
                  <c:v>0.22764419996453475</c:v>
                </c:pt>
                <c:pt idx="18">
                  <c:v>0.23186717293750775</c:v>
                </c:pt>
                <c:pt idx="19">
                  <c:v>0.23609014591048072</c:v>
                </c:pt>
                <c:pt idx="20">
                  <c:v>0.24031311888345366</c:v>
                </c:pt>
                <c:pt idx="21">
                  <c:v>0.24453609185642666</c:v>
                </c:pt>
                <c:pt idx="22">
                  <c:v>0.24875906482939963</c:v>
                </c:pt>
                <c:pt idx="23">
                  <c:v>0.25298203780237261</c:v>
                </c:pt>
                <c:pt idx="24">
                  <c:v>0.25720501077534558</c:v>
                </c:pt>
                <c:pt idx="25">
                  <c:v>0.26142798374831855</c:v>
                </c:pt>
                <c:pt idx="26">
                  <c:v>0.26565095672129152</c:v>
                </c:pt>
                <c:pt idx="27">
                  <c:v>0.26987392969426449</c:v>
                </c:pt>
                <c:pt idx="28">
                  <c:v>0.27409690266723746</c:v>
                </c:pt>
                <c:pt idx="29">
                  <c:v>0.27831987564021043</c:v>
                </c:pt>
                <c:pt idx="30">
                  <c:v>0.28254284861318341</c:v>
                </c:pt>
                <c:pt idx="31">
                  <c:v>0.28676582158615638</c:v>
                </c:pt>
                <c:pt idx="32">
                  <c:v>0.29098879455912929</c:v>
                </c:pt>
                <c:pt idx="33">
                  <c:v>0.29521176753210226</c:v>
                </c:pt>
                <c:pt idx="34">
                  <c:v>0.29943474050507524</c:v>
                </c:pt>
                <c:pt idx="35">
                  <c:v>0.30365771347804821</c:v>
                </c:pt>
                <c:pt idx="36">
                  <c:v>0.30788068645102118</c:v>
                </c:pt>
                <c:pt idx="37">
                  <c:v>0.31210365942399415</c:v>
                </c:pt>
                <c:pt idx="38">
                  <c:v>0.31632663239696712</c:v>
                </c:pt>
                <c:pt idx="39">
                  <c:v>0.32054960536994009</c:v>
                </c:pt>
                <c:pt idx="40">
                  <c:v>0.32477257834291301</c:v>
                </c:pt>
                <c:pt idx="41">
                  <c:v>0.32899555131588593</c:v>
                </c:pt>
                <c:pt idx="42">
                  <c:v>0.3332185242888589</c:v>
                </c:pt>
                <c:pt idx="43">
                  <c:v>0.33744149726183187</c:v>
                </c:pt>
                <c:pt idx="44">
                  <c:v>0.34166447023480484</c:v>
                </c:pt>
                <c:pt idx="45">
                  <c:v>0.34588744320777776</c:v>
                </c:pt>
                <c:pt idx="46">
                  <c:v>0.35011041618075067</c:v>
                </c:pt>
                <c:pt idx="47">
                  <c:v>0.3543333891537237</c:v>
                </c:pt>
                <c:pt idx="48">
                  <c:v>0.35855636212669667</c:v>
                </c:pt>
                <c:pt idx="49">
                  <c:v>0.36277933509966959</c:v>
                </c:pt>
                <c:pt idx="50">
                  <c:v>0.36700230807264256</c:v>
                </c:pt>
                <c:pt idx="51">
                  <c:v>0.37122528104561553</c:v>
                </c:pt>
                <c:pt idx="52">
                  <c:v>0.3754482540185885</c:v>
                </c:pt>
                <c:pt idx="53">
                  <c:v>0.37967122699156142</c:v>
                </c:pt>
                <c:pt idx="54">
                  <c:v>0.38389419996453439</c:v>
                </c:pt>
                <c:pt idx="55">
                  <c:v>0.38811717293750736</c:v>
                </c:pt>
                <c:pt idx="56">
                  <c:v>0.39234014591048039</c:v>
                </c:pt>
                <c:pt idx="57">
                  <c:v>0.39656311888345336</c:v>
                </c:pt>
                <c:pt idx="58">
                  <c:v>0.40078609185642633</c:v>
                </c:pt>
                <c:pt idx="59">
                  <c:v>0.40500906482939925</c:v>
                </c:pt>
                <c:pt idx="60">
                  <c:v>0.40923203780237222</c:v>
                </c:pt>
                <c:pt idx="61">
                  <c:v>0.41345501077534519</c:v>
                </c:pt>
                <c:pt idx="62">
                  <c:v>0.41767798374831816</c:v>
                </c:pt>
                <c:pt idx="63">
                  <c:v>0.42190095672129113</c:v>
                </c:pt>
                <c:pt idx="64">
                  <c:v>0.42612392969426405</c:v>
                </c:pt>
                <c:pt idx="65">
                  <c:v>0.43034690266723702</c:v>
                </c:pt>
                <c:pt idx="66">
                  <c:v>0.43456987564020999</c:v>
                </c:pt>
                <c:pt idx="67">
                  <c:v>0.43879284861318302</c:v>
                </c:pt>
                <c:pt idx="68">
                  <c:v>0.44301582158615599</c:v>
                </c:pt>
                <c:pt idx="69">
                  <c:v>0.44723879455912885</c:v>
                </c:pt>
                <c:pt idx="70">
                  <c:v>0.45146176753210182</c:v>
                </c:pt>
                <c:pt idx="71">
                  <c:v>0.45568474050507479</c:v>
                </c:pt>
                <c:pt idx="72">
                  <c:v>0.45990771347804771</c:v>
                </c:pt>
                <c:pt idx="73">
                  <c:v>0.46413068645102068</c:v>
                </c:pt>
                <c:pt idx="74">
                  <c:v>0.46835365942399365</c:v>
                </c:pt>
                <c:pt idx="75">
                  <c:v>0.47257663239696662</c:v>
                </c:pt>
                <c:pt idx="76">
                  <c:v>0.47679960536993954</c:v>
                </c:pt>
                <c:pt idx="77">
                  <c:v>0.48102257834291251</c:v>
                </c:pt>
                <c:pt idx="78">
                  <c:v>0.48524555131588548</c:v>
                </c:pt>
                <c:pt idx="79">
                  <c:v>0.48946852428885845</c:v>
                </c:pt>
                <c:pt idx="80">
                  <c:v>0.49369149726183137</c:v>
                </c:pt>
                <c:pt idx="81">
                  <c:v>0.49791447023480434</c:v>
                </c:pt>
                <c:pt idx="82">
                  <c:v>0.50213744320777731</c:v>
                </c:pt>
                <c:pt idx="83">
                  <c:v>0.50636041618075023</c:v>
                </c:pt>
                <c:pt idx="84">
                  <c:v>0.51058338915372325</c:v>
                </c:pt>
                <c:pt idx="85">
                  <c:v>0.51480636212669617</c:v>
                </c:pt>
                <c:pt idx="86">
                  <c:v>0.5190293350996692</c:v>
                </c:pt>
                <c:pt idx="87">
                  <c:v>0.52325230807264211</c:v>
                </c:pt>
                <c:pt idx="88">
                  <c:v>0.52747528104561503</c:v>
                </c:pt>
                <c:pt idx="89">
                  <c:v>0.53169825401858806</c:v>
                </c:pt>
                <c:pt idx="90">
                  <c:v>0.53592122699156108</c:v>
                </c:pt>
                <c:pt idx="91">
                  <c:v>0.540144199964534</c:v>
                </c:pt>
                <c:pt idx="92">
                  <c:v>0.54436717293750703</c:v>
                </c:pt>
                <c:pt idx="93">
                  <c:v>0.54859014591047994</c:v>
                </c:pt>
                <c:pt idx="94">
                  <c:v>0.55281311888345286</c:v>
                </c:pt>
                <c:pt idx="95">
                  <c:v>0.55703609185642577</c:v>
                </c:pt>
                <c:pt idx="96">
                  <c:v>0.56125906482939869</c:v>
                </c:pt>
                <c:pt idx="97">
                  <c:v>0.56548203780237172</c:v>
                </c:pt>
                <c:pt idx="98">
                  <c:v>0.56970501077534463</c:v>
                </c:pt>
                <c:pt idx="99">
                  <c:v>0.57392798374831755</c:v>
                </c:pt>
                <c:pt idx="100">
                  <c:v>0.57815095672129058</c:v>
                </c:pt>
                <c:pt idx="101">
                  <c:v>0.58237392969426349</c:v>
                </c:pt>
                <c:pt idx="102">
                  <c:v>0.58659690266723652</c:v>
                </c:pt>
                <c:pt idx="103">
                  <c:v>0.59081987564020955</c:v>
                </c:pt>
                <c:pt idx="104">
                  <c:v>0.59504284861318235</c:v>
                </c:pt>
                <c:pt idx="105">
                  <c:v>0.59926582158615538</c:v>
                </c:pt>
                <c:pt idx="106">
                  <c:v>0.60348879455912829</c:v>
                </c:pt>
                <c:pt idx="107">
                  <c:v>0.60771176753210132</c:v>
                </c:pt>
                <c:pt idx="108">
                  <c:v>0.61193474050507435</c:v>
                </c:pt>
                <c:pt idx="109">
                  <c:v>0.61615771347804726</c:v>
                </c:pt>
                <c:pt idx="110">
                  <c:v>0.62038068645102018</c:v>
                </c:pt>
                <c:pt idx="111">
                  <c:v>0.6246036594239931</c:v>
                </c:pt>
                <c:pt idx="112">
                  <c:v>0.62882663239696601</c:v>
                </c:pt>
                <c:pt idx="113">
                  <c:v>0.63304960536993893</c:v>
                </c:pt>
                <c:pt idx="114">
                  <c:v>0.63727257834291184</c:v>
                </c:pt>
                <c:pt idx="115">
                  <c:v>0.64149555131588487</c:v>
                </c:pt>
                <c:pt idx="116">
                  <c:v>0.64571852428885779</c:v>
                </c:pt>
                <c:pt idx="117">
                  <c:v>0.64994149726183081</c:v>
                </c:pt>
                <c:pt idx="118">
                  <c:v>0.65416447023480373</c:v>
                </c:pt>
                <c:pt idx="119">
                  <c:v>0.65838744320777665</c:v>
                </c:pt>
                <c:pt idx="120">
                  <c:v>0.66261041618074956</c:v>
                </c:pt>
                <c:pt idx="121">
                  <c:v>0.66683338915372248</c:v>
                </c:pt>
                <c:pt idx="122">
                  <c:v>0.67105636212669539</c:v>
                </c:pt>
                <c:pt idx="123">
                  <c:v>0.67527933509966842</c:v>
                </c:pt>
                <c:pt idx="124">
                  <c:v>0.67950230807264134</c:v>
                </c:pt>
                <c:pt idx="125">
                  <c:v>0.68372528104561436</c:v>
                </c:pt>
                <c:pt idx="126">
                  <c:v>0.68794825401858728</c:v>
                </c:pt>
                <c:pt idx="127">
                  <c:v>0.69217122699156008</c:v>
                </c:pt>
                <c:pt idx="128">
                  <c:v>0.69639419996453311</c:v>
                </c:pt>
                <c:pt idx="129">
                  <c:v>0.70061717293750603</c:v>
                </c:pt>
                <c:pt idx="130">
                  <c:v>0.70484014591047917</c:v>
                </c:pt>
                <c:pt idx="131">
                  <c:v>0.70906311888345219</c:v>
                </c:pt>
                <c:pt idx="132">
                  <c:v>0.71328609185642522</c:v>
                </c:pt>
                <c:pt idx="133">
                  <c:v>0.71750906482939814</c:v>
                </c:pt>
                <c:pt idx="134">
                  <c:v>0.72173203780237116</c:v>
                </c:pt>
                <c:pt idx="135">
                  <c:v>0.72595501077534419</c:v>
                </c:pt>
                <c:pt idx="136">
                  <c:v>0.73017798374831722</c:v>
                </c:pt>
                <c:pt idx="137">
                  <c:v>0.73440095672129024</c:v>
                </c:pt>
                <c:pt idx="138">
                  <c:v>0.73862392969426327</c:v>
                </c:pt>
                <c:pt idx="139">
                  <c:v>0.7428469026672363</c:v>
                </c:pt>
                <c:pt idx="140">
                  <c:v>0.74706987564020921</c:v>
                </c:pt>
                <c:pt idx="141">
                  <c:v>0.75129284861318224</c:v>
                </c:pt>
                <c:pt idx="142">
                  <c:v>0.75551582158615527</c:v>
                </c:pt>
                <c:pt idx="143">
                  <c:v>0.75973879455912829</c:v>
                </c:pt>
                <c:pt idx="144">
                  <c:v>0.76396176753210132</c:v>
                </c:pt>
                <c:pt idx="145">
                  <c:v>0.76818474050507435</c:v>
                </c:pt>
                <c:pt idx="146">
                  <c:v>0.77240771347804726</c:v>
                </c:pt>
                <c:pt idx="147">
                  <c:v>0.77663068645102018</c:v>
                </c:pt>
                <c:pt idx="148">
                  <c:v>0.78085365942399321</c:v>
                </c:pt>
                <c:pt idx="149">
                  <c:v>0.78507663239696601</c:v>
                </c:pt>
                <c:pt idx="150">
                  <c:v>0.78929960536993904</c:v>
                </c:pt>
                <c:pt idx="151">
                  <c:v>0.79352257834291196</c:v>
                </c:pt>
                <c:pt idx="152">
                  <c:v>0.79774555131588487</c:v>
                </c:pt>
                <c:pt idx="153">
                  <c:v>0.8019685242888579</c:v>
                </c:pt>
                <c:pt idx="154">
                  <c:v>0.80619149726183092</c:v>
                </c:pt>
                <c:pt idx="155">
                  <c:v>0.81041447023480395</c:v>
                </c:pt>
                <c:pt idx="156">
                  <c:v>0.81463744320777698</c:v>
                </c:pt>
                <c:pt idx="157">
                  <c:v>0.81886041618075001</c:v>
                </c:pt>
                <c:pt idx="158">
                  <c:v>0.82308338915372292</c:v>
                </c:pt>
                <c:pt idx="159">
                  <c:v>0.82730636212669595</c:v>
                </c:pt>
                <c:pt idx="160">
                  <c:v>0.83152933509966898</c:v>
                </c:pt>
                <c:pt idx="161">
                  <c:v>0.835752308072642</c:v>
                </c:pt>
                <c:pt idx="162">
                  <c:v>0.83997528104561503</c:v>
                </c:pt>
                <c:pt idx="163">
                  <c:v>0.84419825401858806</c:v>
                </c:pt>
                <c:pt idx="164">
                  <c:v>0.84842122699156108</c:v>
                </c:pt>
                <c:pt idx="165">
                  <c:v>0.85264419996453422</c:v>
                </c:pt>
                <c:pt idx="166">
                  <c:v>0.85686717293750725</c:v>
                </c:pt>
                <c:pt idx="167">
                  <c:v>0.86109014591048028</c:v>
                </c:pt>
                <c:pt idx="168">
                  <c:v>0.8653131188834533</c:v>
                </c:pt>
                <c:pt idx="169">
                  <c:v>0.86953609185642633</c:v>
                </c:pt>
                <c:pt idx="170">
                  <c:v>0.87375906482939936</c:v>
                </c:pt>
                <c:pt idx="171">
                  <c:v>0.87798203780237238</c:v>
                </c:pt>
                <c:pt idx="172">
                  <c:v>0.88220501077534541</c:v>
                </c:pt>
                <c:pt idx="173">
                  <c:v>0.88642798374831866</c:v>
                </c:pt>
                <c:pt idx="174">
                  <c:v>0.89065095672129146</c:v>
                </c:pt>
                <c:pt idx="175">
                  <c:v>0.89487392969426471</c:v>
                </c:pt>
                <c:pt idx="176">
                  <c:v>0.89909690266723774</c:v>
                </c:pt>
                <c:pt idx="177">
                  <c:v>0.90331987564021077</c:v>
                </c:pt>
                <c:pt idx="178">
                  <c:v>0.90754284861318379</c:v>
                </c:pt>
                <c:pt idx="179">
                  <c:v>0.91176582158615682</c:v>
                </c:pt>
                <c:pt idx="180">
                  <c:v>0.91598879455912985</c:v>
                </c:pt>
                <c:pt idx="181">
                  <c:v>0.92021176753210288</c:v>
                </c:pt>
                <c:pt idx="182">
                  <c:v>0.9244347405050759</c:v>
                </c:pt>
                <c:pt idx="183">
                  <c:v>0.92865771347804893</c:v>
                </c:pt>
                <c:pt idx="184">
                  <c:v>0.93288068645102196</c:v>
                </c:pt>
                <c:pt idx="185">
                  <c:v>0.93710365942399509</c:v>
                </c:pt>
                <c:pt idx="186">
                  <c:v>0.94132663239696812</c:v>
                </c:pt>
                <c:pt idx="187">
                  <c:v>0.94554960536994115</c:v>
                </c:pt>
                <c:pt idx="188">
                  <c:v>0.94977257834291418</c:v>
                </c:pt>
                <c:pt idx="189">
                  <c:v>0.9539955513158872</c:v>
                </c:pt>
                <c:pt idx="190">
                  <c:v>0.95821852428886023</c:v>
                </c:pt>
                <c:pt idx="191">
                  <c:v>0.96244149726183326</c:v>
                </c:pt>
                <c:pt idx="192">
                  <c:v>0.96666447023480628</c:v>
                </c:pt>
                <c:pt idx="193">
                  <c:v>0.97088744320777931</c:v>
                </c:pt>
                <c:pt idx="194">
                  <c:v>0.97511041618075234</c:v>
                </c:pt>
                <c:pt idx="195">
                  <c:v>0.97933338915372536</c:v>
                </c:pt>
                <c:pt idx="196">
                  <c:v>0.98355636212669839</c:v>
                </c:pt>
                <c:pt idx="197">
                  <c:v>0.98777933509967153</c:v>
                </c:pt>
                <c:pt idx="198">
                  <c:v>0.99200230807264467</c:v>
                </c:pt>
                <c:pt idx="199">
                  <c:v>0.99622528104561758</c:v>
                </c:pt>
                <c:pt idx="200">
                  <c:v>1.0004482540185906</c:v>
                </c:pt>
                <c:pt idx="201">
                  <c:v>1.0046712269915636</c:v>
                </c:pt>
                <c:pt idx="202">
                  <c:v>1.0088941999645367</c:v>
                </c:pt>
                <c:pt idx="203">
                  <c:v>1.0131171729375097</c:v>
                </c:pt>
                <c:pt idx="204">
                  <c:v>1.0173401459104827</c:v>
                </c:pt>
                <c:pt idx="205">
                  <c:v>1.0215631188834555</c:v>
                </c:pt>
                <c:pt idx="206">
                  <c:v>1.0257860918564286</c:v>
                </c:pt>
                <c:pt idx="207">
                  <c:v>1.0300090648294018</c:v>
                </c:pt>
                <c:pt idx="208">
                  <c:v>1.0342320378023748</c:v>
                </c:pt>
                <c:pt idx="209">
                  <c:v>1.0384550107753479</c:v>
                </c:pt>
                <c:pt idx="210">
                  <c:v>1.0426779837483211</c:v>
                </c:pt>
                <c:pt idx="211">
                  <c:v>1.0469009567212941</c:v>
                </c:pt>
                <c:pt idx="212">
                  <c:v>1.0511239296942669</c:v>
                </c:pt>
                <c:pt idx="213">
                  <c:v>1.0553469026672402</c:v>
                </c:pt>
                <c:pt idx="214">
                  <c:v>1.059569875640213</c:v>
                </c:pt>
                <c:pt idx="215">
                  <c:v>1.0637928486131862</c:v>
                </c:pt>
                <c:pt idx="216">
                  <c:v>1.0680158215861593</c:v>
                </c:pt>
                <c:pt idx="217">
                  <c:v>1.0722387945591323</c:v>
                </c:pt>
                <c:pt idx="218">
                  <c:v>1.0764617675321051</c:v>
                </c:pt>
                <c:pt idx="219">
                  <c:v>1.0806847405050783</c:v>
                </c:pt>
                <c:pt idx="220">
                  <c:v>1.0849077134780514</c:v>
                </c:pt>
                <c:pt idx="221">
                  <c:v>1.0891306864510244</c:v>
                </c:pt>
                <c:pt idx="222">
                  <c:v>1.0933536594239976</c:v>
                </c:pt>
                <c:pt idx="223">
                  <c:v>1.0975766323969707</c:v>
                </c:pt>
                <c:pt idx="224">
                  <c:v>1.1017996053699435</c:v>
                </c:pt>
                <c:pt idx="225">
                  <c:v>1.1060225783429167</c:v>
                </c:pt>
                <c:pt idx="226">
                  <c:v>1.1102455513158898</c:v>
                </c:pt>
                <c:pt idx="227">
                  <c:v>1.1144685242888628</c:v>
                </c:pt>
                <c:pt idx="228">
                  <c:v>1.1186914972618358</c:v>
                </c:pt>
                <c:pt idx="229">
                  <c:v>1.1229144702348091</c:v>
                </c:pt>
                <c:pt idx="230">
                  <c:v>1.1271374432077819</c:v>
                </c:pt>
                <c:pt idx="231">
                  <c:v>1.1313604161807551</c:v>
                </c:pt>
                <c:pt idx="232">
                  <c:v>1.1355833891537281</c:v>
                </c:pt>
                <c:pt idx="233">
                  <c:v>1.1398063621267012</c:v>
                </c:pt>
                <c:pt idx="234">
                  <c:v>1.144029335099674</c:v>
                </c:pt>
                <c:pt idx="235">
                  <c:v>1.1482523080726472</c:v>
                </c:pt>
                <c:pt idx="236">
                  <c:v>1.15247528104562</c:v>
                </c:pt>
                <c:pt idx="237">
                  <c:v>1.1566982540185931</c:v>
                </c:pt>
                <c:pt idx="238">
                  <c:v>1.1609212269915663</c:v>
                </c:pt>
                <c:pt idx="239">
                  <c:v>1.1651441999645393</c:v>
                </c:pt>
                <c:pt idx="240">
                  <c:v>1.1693671729375124</c:v>
                </c:pt>
                <c:pt idx="241">
                  <c:v>1.1735901459104856</c:v>
                </c:pt>
                <c:pt idx="242">
                  <c:v>1.1778131188834586</c:v>
                </c:pt>
                <c:pt idx="243">
                  <c:v>1.1820360918564317</c:v>
                </c:pt>
                <c:pt idx="244">
                  <c:v>1.1862590648294047</c:v>
                </c:pt>
                <c:pt idx="245">
                  <c:v>1.1904820378023779</c:v>
                </c:pt>
                <c:pt idx="246">
                  <c:v>1.194705010775351</c:v>
                </c:pt>
                <c:pt idx="247">
                  <c:v>1.198927983748324</c:v>
                </c:pt>
                <c:pt idx="248">
                  <c:v>1.2031509567212972</c:v>
                </c:pt>
                <c:pt idx="249">
                  <c:v>1.20737392969427</c:v>
                </c:pt>
                <c:pt idx="250">
                  <c:v>1.2115969026672431</c:v>
                </c:pt>
                <c:pt idx="251">
                  <c:v>1.2158198756402163</c:v>
                </c:pt>
                <c:pt idx="252">
                  <c:v>1.2200428486131893</c:v>
                </c:pt>
                <c:pt idx="253">
                  <c:v>1.2242658215861624</c:v>
                </c:pt>
                <c:pt idx="254">
                  <c:v>1.2284887945591354</c:v>
                </c:pt>
                <c:pt idx="255">
                  <c:v>1.2327117675321086</c:v>
                </c:pt>
                <c:pt idx="256">
                  <c:v>1.2369347405050817</c:v>
                </c:pt>
                <c:pt idx="257">
                  <c:v>1.2411577134780547</c:v>
                </c:pt>
                <c:pt idx="258">
                  <c:v>1.2453806864510277</c:v>
                </c:pt>
                <c:pt idx="259">
                  <c:v>1.249603659424001</c:v>
                </c:pt>
                <c:pt idx="260">
                  <c:v>1.2538266323969742</c:v>
                </c:pt>
                <c:pt idx="261">
                  <c:v>1.2580496053699468</c:v>
                </c:pt>
                <c:pt idx="262">
                  <c:v>1.2622725783429198</c:v>
                </c:pt>
                <c:pt idx="263">
                  <c:v>1.2664955513158929</c:v>
                </c:pt>
                <c:pt idx="264">
                  <c:v>1.2707185242888663</c:v>
                </c:pt>
                <c:pt idx="265">
                  <c:v>1.2749414972618389</c:v>
                </c:pt>
                <c:pt idx="266">
                  <c:v>1.2791644702348122</c:v>
                </c:pt>
                <c:pt idx="267">
                  <c:v>1.283387443207785</c:v>
                </c:pt>
                <c:pt idx="268">
                  <c:v>1.2876104161807582</c:v>
                </c:pt>
                <c:pt idx="269">
                  <c:v>1.291833389153731</c:v>
                </c:pt>
                <c:pt idx="270">
                  <c:v>1.2960563621267043</c:v>
                </c:pt>
                <c:pt idx="271">
                  <c:v>1.3002793350996773</c:v>
                </c:pt>
                <c:pt idx="272">
                  <c:v>1.3045023080726503</c:v>
                </c:pt>
                <c:pt idx="273">
                  <c:v>1.3087252810456236</c:v>
                </c:pt>
                <c:pt idx="274">
                  <c:v>1.3129482540185966</c:v>
                </c:pt>
                <c:pt idx="275">
                  <c:v>1.3171712269915696</c:v>
                </c:pt>
                <c:pt idx="276">
                  <c:v>1.3213941999645427</c:v>
                </c:pt>
                <c:pt idx="277">
                  <c:v>1.3256171729375157</c:v>
                </c:pt>
                <c:pt idx="278">
                  <c:v>1.3298401459104889</c:v>
                </c:pt>
                <c:pt idx="279">
                  <c:v>1.3340631188834617</c:v>
                </c:pt>
                <c:pt idx="280">
                  <c:v>1.338286091856435</c:v>
                </c:pt>
                <c:pt idx="281">
                  <c:v>1.3425090648294078</c:v>
                </c:pt>
                <c:pt idx="282">
                  <c:v>1.346732037802381</c:v>
                </c:pt>
                <c:pt idx="283">
                  <c:v>1.3509550107753536</c:v>
                </c:pt>
                <c:pt idx="284">
                  <c:v>1.3551779837483271</c:v>
                </c:pt>
                <c:pt idx="285">
                  <c:v>1.3594009567213001</c:v>
                </c:pt>
                <c:pt idx="286">
                  <c:v>1.3636239296942732</c:v>
                </c:pt>
                <c:pt idx="287">
                  <c:v>1.3678469026672462</c:v>
                </c:pt>
                <c:pt idx="288">
                  <c:v>1.3720698756402192</c:v>
                </c:pt>
                <c:pt idx="289">
                  <c:v>1.3762928486131925</c:v>
                </c:pt>
                <c:pt idx="290">
                  <c:v>1.3805158215861653</c:v>
                </c:pt>
                <c:pt idx="291">
                  <c:v>1.3847387945591385</c:v>
                </c:pt>
                <c:pt idx="292">
                  <c:v>1.3889617675321111</c:v>
                </c:pt>
                <c:pt idx="293">
                  <c:v>1.3931847405050846</c:v>
                </c:pt>
                <c:pt idx="294">
                  <c:v>1.3974077134780571</c:v>
                </c:pt>
                <c:pt idx="295">
                  <c:v>1.4016306864510304</c:v>
                </c:pt>
                <c:pt idx="296">
                  <c:v>1.4058536594240032</c:v>
                </c:pt>
                <c:pt idx="297">
                  <c:v>1.4100766323969764</c:v>
                </c:pt>
                <c:pt idx="298">
                  <c:v>1.4142996053699495</c:v>
                </c:pt>
                <c:pt idx="299">
                  <c:v>1.4185225783429223</c:v>
                </c:pt>
                <c:pt idx="300">
                  <c:v>1.4227455513158951</c:v>
                </c:pt>
                <c:pt idx="301">
                  <c:v>1.4269685242888683</c:v>
                </c:pt>
                <c:pt idx="302">
                  <c:v>1.4311914972618411</c:v>
                </c:pt>
                <c:pt idx="303">
                  <c:v>1.4354144702348144</c:v>
                </c:pt>
                <c:pt idx="304">
                  <c:v>1.4396374432077872</c:v>
                </c:pt>
                <c:pt idx="305">
                  <c:v>1.4438604161807609</c:v>
                </c:pt>
                <c:pt idx="306">
                  <c:v>1.4480833891537337</c:v>
                </c:pt>
                <c:pt idx="307">
                  <c:v>1.4523063621267069</c:v>
                </c:pt>
                <c:pt idx="308">
                  <c:v>1.4565293350996797</c:v>
                </c:pt>
                <c:pt idx="309">
                  <c:v>1.4607523080726532</c:v>
                </c:pt>
                <c:pt idx="310">
                  <c:v>1.464975281045626</c:v>
                </c:pt>
                <c:pt idx="311">
                  <c:v>1.469198254018599</c:v>
                </c:pt>
                <c:pt idx="312">
                  <c:v>1.4734212269915719</c:v>
                </c:pt>
                <c:pt idx="313">
                  <c:v>1.4776441999645451</c:v>
                </c:pt>
                <c:pt idx="314">
                  <c:v>1.4818671729375184</c:v>
                </c:pt>
                <c:pt idx="315">
                  <c:v>1.4860901459104912</c:v>
                </c:pt>
                <c:pt idx="316">
                  <c:v>1.490313118883464</c:v>
                </c:pt>
                <c:pt idx="317">
                  <c:v>1.494536091856437</c:v>
                </c:pt>
                <c:pt idx="318">
                  <c:v>1.49875906482941</c:v>
                </c:pt>
                <c:pt idx="319">
                  <c:v>1.502982037802383</c:v>
                </c:pt>
                <c:pt idx="320">
                  <c:v>1.5072050107753558</c:v>
                </c:pt>
                <c:pt idx="321">
                  <c:v>1.5114279837483291</c:v>
                </c:pt>
                <c:pt idx="322">
                  <c:v>1.5156509567213019</c:v>
                </c:pt>
                <c:pt idx="323">
                  <c:v>1.5198739296942751</c:v>
                </c:pt>
                <c:pt idx="324">
                  <c:v>1.524096902667248</c:v>
                </c:pt>
                <c:pt idx="325">
                  <c:v>1.5283198756402212</c:v>
                </c:pt>
                <c:pt idx="326">
                  <c:v>1.532542848613194</c:v>
                </c:pt>
                <c:pt idx="327">
                  <c:v>1.5367658215861673</c:v>
                </c:pt>
                <c:pt idx="328">
                  <c:v>1.5409887945591405</c:v>
                </c:pt>
                <c:pt idx="329">
                  <c:v>1.5452117675321133</c:v>
                </c:pt>
                <c:pt idx="330">
                  <c:v>1.5494347405050868</c:v>
                </c:pt>
                <c:pt idx="331">
                  <c:v>1.5536577134780598</c:v>
                </c:pt>
                <c:pt idx="332">
                  <c:v>1.5578806864510328</c:v>
                </c:pt>
                <c:pt idx="333">
                  <c:v>1.5621036594240059</c:v>
                </c:pt>
                <c:pt idx="334">
                  <c:v>1.5663266323969793</c:v>
                </c:pt>
                <c:pt idx="335">
                  <c:v>1.5705496053699521</c:v>
                </c:pt>
                <c:pt idx="336">
                  <c:v>1.5747725783429252</c:v>
                </c:pt>
                <c:pt idx="337">
                  <c:v>1.578995551315898</c:v>
                </c:pt>
                <c:pt idx="338">
                  <c:v>1.5832185242888712</c:v>
                </c:pt>
                <c:pt idx="339">
                  <c:v>1.5874414972618442</c:v>
                </c:pt>
                <c:pt idx="340">
                  <c:v>1.5916644702348173</c:v>
                </c:pt>
                <c:pt idx="341">
                  <c:v>1.5958874432077901</c:v>
                </c:pt>
                <c:pt idx="342">
                  <c:v>1.6001104161807629</c:v>
                </c:pt>
                <c:pt idx="343">
                  <c:v>1.6043333891537361</c:v>
                </c:pt>
                <c:pt idx="344">
                  <c:v>1.6085563621267089</c:v>
                </c:pt>
                <c:pt idx="345">
                  <c:v>1.612779335099682</c:v>
                </c:pt>
                <c:pt idx="346">
                  <c:v>1.6170023080726552</c:v>
                </c:pt>
                <c:pt idx="347">
                  <c:v>1.621225281045628</c:v>
                </c:pt>
                <c:pt idx="348">
                  <c:v>1.6254482540186013</c:v>
                </c:pt>
                <c:pt idx="349">
                  <c:v>1.6296712269915741</c:v>
                </c:pt>
                <c:pt idx="350">
                  <c:v>1.6338941999645473</c:v>
                </c:pt>
                <c:pt idx="351">
                  <c:v>1.6381171729375201</c:v>
                </c:pt>
                <c:pt idx="352">
                  <c:v>1.6423401459104934</c:v>
                </c:pt>
                <c:pt idx="353">
                  <c:v>1.6465631188834662</c:v>
                </c:pt>
                <c:pt idx="354">
                  <c:v>1.650786091856439</c:v>
                </c:pt>
                <c:pt idx="355">
                  <c:v>1.6550090648294122</c:v>
                </c:pt>
                <c:pt idx="356">
                  <c:v>1.6592320378023853</c:v>
                </c:pt>
                <c:pt idx="357">
                  <c:v>1.6634550107753581</c:v>
                </c:pt>
                <c:pt idx="358">
                  <c:v>1.6676779837483309</c:v>
                </c:pt>
                <c:pt idx="359">
                  <c:v>1.6719009567213041</c:v>
                </c:pt>
                <c:pt idx="360">
                  <c:v>1.6761239296942774</c:v>
                </c:pt>
                <c:pt idx="361">
                  <c:v>1.6803469026672502</c:v>
                </c:pt>
                <c:pt idx="362">
                  <c:v>1.684569875640223</c:v>
                </c:pt>
                <c:pt idx="363">
                  <c:v>1.688792848613196</c:v>
                </c:pt>
                <c:pt idx="364">
                  <c:v>1.6930158215861695</c:v>
                </c:pt>
                <c:pt idx="365">
                  <c:v>1.6972387945591423</c:v>
                </c:pt>
                <c:pt idx="366">
                  <c:v>1.7014617675321155</c:v>
                </c:pt>
                <c:pt idx="367">
                  <c:v>1.7056847405050883</c:v>
                </c:pt>
                <c:pt idx="368">
                  <c:v>1.7099077134780616</c:v>
                </c:pt>
                <c:pt idx="369">
                  <c:v>1.7141306864510344</c:v>
                </c:pt>
                <c:pt idx="370">
                  <c:v>1.7183536594240074</c:v>
                </c:pt>
                <c:pt idx="371">
                  <c:v>1.7225766323969804</c:v>
                </c:pt>
                <c:pt idx="372">
                  <c:v>1.7267996053699535</c:v>
                </c:pt>
                <c:pt idx="373">
                  <c:v>1.7310225783429267</c:v>
                </c:pt>
                <c:pt idx="374">
                  <c:v>1.7352455513158995</c:v>
                </c:pt>
                <c:pt idx="375">
                  <c:v>1.7394685242888728</c:v>
                </c:pt>
                <c:pt idx="376">
                  <c:v>1.7436914972618456</c:v>
                </c:pt>
                <c:pt idx="377">
                  <c:v>1.7479144702348188</c:v>
                </c:pt>
                <c:pt idx="378">
                  <c:v>1.7521374432077916</c:v>
                </c:pt>
                <c:pt idx="379">
                  <c:v>1.7563604161807644</c:v>
                </c:pt>
                <c:pt idx="380">
                  <c:v>1.7605833891537377</c:v>
                </c:pt>
                <c:pt idx="381">
                  <c:v>1.7648063621267105</c:v>
                </c:pt>
                <c:pt idx="382">
                  <c:v>1.7690293350996835</c:v>
                </c:pt>
                <c:pt idx="383">
                  <c:v>1.7732523080726563</c:v>
                </c:pt>
                <c:pt idx="384">
                  <c:v>1.7774752810456296</c:v>
                </c:pt>
                <c:pt idx="385">
                  <c:v>1.7816982540186028</c:v>
                </c:pt>
                <c:pt idx="386">
                  <c:v>1.7859212269915756</c:v>
                </c:pt>
                <c:pt idx="387">
                  <c:v>1.7901441999645484</c:v>
                </c:pt>
                <c:pt idx="388">
                  <c:v>1.7943671729375215</c:v>
                </c:pt>
                <c:pt idx="389">
                  <c:v>1.7985901459104949</c:v>
                </c:pt>
                <c:pt idx="390">
                  <c:v>1.8028131188834677</c:v>
                </c:pt>
                <c:pt idx="391">
                  <c:v>1.807036091856441</c:v>
                </c:pt>
                <c:pt idx="392">
                  <c:v>1.8112590648294138</c:v>
                </c:pt>
                <c:pt idx="393">
                  <c:v>1.8154820378023873</c:v>
                </c:pt>
                <c:pt idx="394">
                  <c:v>1.8197050107753603</c:v>
                </c:pt>
                <c:pt idx="395">
                  <c:v>1.8239279837483333</c:v>
                </c:pt>
                <c:pt idx="396">
                  <c:v>1.8281509567213063</c:v>
                </c:pt>
                <c:pt idx="397">
                  <c:v>1.8323739296942796</c:v>
                </c:pt>
                <c:pt idx="398">
                  <c:v>1.8365969026672524</c:v>
                </c:pt>
                <c:pt idx="399">
                  <c:v>1.8408198756402252</c:v>
                </c:pt>
                <c:pt idx="400">
                  <c:v>1.8450428486131982</c:v>
                </c:pt>
                <c:pt idx="401">
                  <c:v>1.8492658215861717</c:v>
                </c:pt>
                <c:pt idx="402">
                  <c:v>1.8534887945591445</c:v>
                </c:pt>
                <c:pt idx="403">
                  <c:v>1.857711767532118</c:v>
                </c:pt>
                <c:pt idx="404">
                  <c:v>1.8619347405050908</c:v>
                </c:pt>
                <c:pt idx="405">
                  <c:v>1.8661577134780645</c:v>
                </c:pt>
                <c:pt idx="406">
                  <c:v>1.8703806864510373</c:v>
                </c:pt>
                <c:pt idx="407">
                  <c:v>1.8746036594240101</c:v>
                </c:pt>
                <c:pt idx="408">
                  <c:v>1.8788266323969836</c:v>
                </c:pt>
                <c:pt idx="409">
                  <c:v>1.8830496053699568</c:v>
                </c:pt>
                <c:pt idx="410">
                  <c:v>1.8872725783429298</c:v>
                </c:pt>
                <c:pt idx="411">
                  <c:v>1.8914955513159026</c:v>
                </c:pt>
                <c:pt idx="412">
                  <c:v>1.8957185242888752</c:v>
                </c:pt>
                <c:pt idx="413">
                  <c:v>1.899941497261848</c:v>
                </c:pt>
                <c:pt idx="414">
                  <c:v>1.9041644702348215</c:v>
                </c:pt>
                <c:pt idx="415">
                  <c:v>1.908387443207795</c:v>
                </c:pt>
                <c:pt idx="416">
                  <c:v>1.9126104161807675</c:v>
                </c:pt>
                <c:pt idx="417">
                  <c:v>1.9168333891537406</c:v>
                </c:pt>
                <c:pt idx="418">
                  <c:v>1.921056362126714</c:v>
                </c:pt>
                <c:pt idx="419">
                  <c:v>1.9252793350996869</c:v>
                </c:pt>
                <c:pt idx="420">
                  <c:v>1.9295023080726599</c:v>
                </c:pt>
                <c:pt idx="421">
                  <c:v>1.9337252810456327</c:v>
                </c:pt>
                <c:pt idx="422">
                  <c:v>1.9379482540186062</c:v>
                </c:pt>
                <c:pt idx="423">
                  <c:v>1.942171226991579</c:v>
                </c:pt>
                <c:pt idx="424">
                  <c:v>1.9463941999645515</c:v>
                </c:pt>
                <c:pt idx="425">
                  <c:v>1.9506171729375246</c:v>
                </c:pt>
                <c:pt idx="426">
                  <c:v>1.954840145910498</c:v>
                </c:pt>
                <c:pt idx="427">
                  <c:v>1.9590631188834708</c:v>
                </c:pt>
                <c:pt idx="428">
                  <c:v>1.9632860918564436</c:v>
                </c:pt>
                <c:pt idx="429">
                  <c:v>1.9675090648294167</c:v>
                </c:pt>
                <c:pt idx="430">
                  <c:v>1.9717320378023901</c:v>
                </c:pt>
                <c:pt idx="431">
                  <c:v>1.975955010775363</c:v>
                </c:pt>
                <c:pt idx="432">
                  <c:v>1.9801779837483355</c:v>
                </c:pt>
                <c:pt idx="433">
                  <c:v>1.984400956721309</c:v>
                </c:pt>
                <c:pt idx="434">
                  <c:v>1.9886239296942827</c:v>
                </c:pt>
                <c:pt idx="435">
                  <c:v>1.9928469026672555</c:v>
                </c:pt>
                <c:pt idx="436">
                  <c:v>1.9970698756402281</c:v>
                </c:pt>
                <c:pt idx="437">
                  <c:v>2.0012928486132009</c:v>
                </c:pt>
                <c:pt idx="438">
                  <c:v>2.0055158215861737</c:v>
                </c:pt>
                <c:pt idx="439">
                  <c:v>2.0097387945591474</c:v>
                </c:pt>
                <c:pt idx="440">
                  <c:v>2.0139617675321202</c:v>
                </c:pt>
                <c:pt idx="441">
                  <c:v>2.018184740505093</c:v>
                </c:pt>
                <c:pt idx="442">
                  <c:v>2.0224077134780658</c:v>
                </c:pt>
                <c:pt idx="443">
                  <c:v>2.0266306864510395</c:v>
                </c:pt>
                <c:pt idx="444">
                  <c:v>2.0308536594240119</c:v>
                </c:pt>
                <c:pt idx="445">
                  <c:v>2.0350766323969856</c:v>
                </c:pt>
                <c:pt idx="446">
                  <c:v>2.0392996053699584</c:v>
                </c:pt>
                <c:pt idx="447">
                  <c:v>2.0435225783429321</c:v>
                </c:pt>
                <c:pt idx="448">
                  <c:v>2.0477455513159049</c:v>
                </c:pt>
                <c:pt idx="449">
                  <c:v>2.0519685242888772</c:v>
                </c:pt>
                <c:pt idx="450">
                  <c:v>2.05619149726185</c:v>
                </c:pt>
                <c:pt idx="451">
                  <c:v>2.0604144702348237</c:v>
                </c:pt>
                <c:pt idx="452">
                  <c:v>2.0646374432077965</c:v>
                </c:pt>
                <c:pt idx="453">
                  <c:v>2.0688604161807693</c:v>
                </c:pt>
                <c:pt idx="454">
                  <c:v>2.0730833891537426</c:v>
                </c:pt>
                <c:pt idx="455">
                  <c:v>2.0773063621267158</c:v>
                </c:pt>
                <c:pt idx="456">
                  <c:v>2.0815293350996886</c:v>
                </c:pt>
                <c:pt idx="457">
                  <c:v>2.0857523080726614</c:v>
                </c:pt>
                <c:pt idx="458">
                  <c:v>2.0899752810456347</c:v>
                </c:pt>
                <c:pt idx="459">
                  <c:v>2.0941982540186084</c:v>
                </c:pt>
                <c:pt idx="460">
                  <c:v>2.0984212269915812</c:v>
                </c:pt>
                <c:pt idx="461">
                  <c:v>2.102644199964554</c:v>
                </c:pt>
                <c:pt idx="462">
                  <c:v>2.1068671729375268</c:v>
                </c:pt>
                <c:pt idx="463">
                  <c:v>2.1110901459104996</c:v>
                </c:pt>
                <c:pt idx="464">
                  <c:v>2.1153131188834728</c:v>
                </c:pt>
                <c:pt idx="465">
                  <c:v>2.1195360918564461</c:v>
                </c:pt>
                <c:pt idx="466">
                  <c:v>2.1237590648294189</c:v>
                </c:pt>
                <c:pt idx="467">
                  <c:v>2.1279820378023917</c:v>
                </c:pt>
                <c:pt idx="468">
                  <c:v>2.1322050107753654</c:v>
                </c:pt>
                <c:pt idx="469">
                  <c:v>2.1364279837483378</c:v>
                </c:pt>
                <c:pt idx="470">
                  <c:v>2.1406509567213114</c:v>
                </c:pt>
                <c:pt idx="471">
                  <c:v>2.1448739296942843</c:v>
                </c:pt>
                <c:pt idx="472">
                  <c:v>2.1490969026672575</c:v>
                </c:pt>
                <c:pt idx="473">
                  <c:v>2.1533198756402303</c:v>
                </c:pt>
                <c:pt idx="474">
                  <c:v>2.1575428486132031</c:v>
                </c:pt>
                <c:pt idx="475">
                  <c:v>2.1617658215861759</c:v>
                </c:pt>
                <c:pt idx="476">
                  <c:v>2.1659887945591496</c:v>
                </c:pt>
                <c:pt idx="477">
                  <c:v>2.170211767532122</c:v>
                </c:pt>
                <c:pt idx="478">
                  <c:v>2.1744347405050957</c:v>
                </c:pt>
                <c:pt idx="479">
                  <c:v>2.1786577134780685</c:v>
                </c:pt>
                <c:pt idx="480">
                  <c:v>2.1828806864510422</c:v>
                </c:pt>
                <c:pt idx="481">
                  <c:v>2.1871036594240145</c:v>
                </c:pt>
                <c:pt idx="482">
                  <c:v>2.1913266323969873</c:v>
                </c:pt>
                <c:pt idx="483">
                  <c:v>2.195549605369961</c:v>
                </c:pt>
                <c:pt idx="484">
                  <c:v>2.1997725783429343</c:v>
                </c:pt>
                <c:pt idx="485">
                  <c:v>2.2039955513159071</c:v>
                </c:pt>
                <c:pt idx="486">
                  <c:v>2.2082185242888799</c:v>
                </c:pt>
                <c:pt idx="487">
                  <c:v>2.2124414972618527</c:v>
                </c:pt>
                <c:pt idx="488">
                  <c:v>2.2166644702348255</c:v>
                </c:pt>
                <c:pt idx="489">
                  <c:v>2.2208874432077992</c:v>
                </c:pt>
                <c:pt idx="490">
                  <c:v>2.225110416180772</c:v>
                </c:pt>
                <c:pt idx="491">
                  <c:v>2.2293333891537448</c:v>
                </c:pt>
                <c:pt idx="492">
                  <c:v>2.2335563621267176</c:v>
                </c:pt>
                <c:pt idx="493">
                  <c:v>2.2377793350996913</c:v>
                </c:pt>
                <c:pt idx="494">
                  <c:v>2.2420023080726637</c:v>
                </c:pt>
                <c:pt idx="495">
                  <c:v>2.2462252810456373</c:v>
                </c:pt>
                <c:pt idx="496">
                  <c:v>2.2504482540186102</c:v>
                </c:pt>
                <c:pt idx="497">
                  <c:v>2.2546712269915838</c:v>
                </c:pt>
                <c:pt idx="498">
                  <c:v>2.2588941999645562</c:v>
                </c:pt>
                <c:pt idx="499">
                  <c:v>2.263117172937529</c:v>
                </c:pt>
                <c:pt idx="500">
                  <c:v>2.2673401459105027</c:v>
                </c:pt>
                <c:pt idx="501">
                  <c:v>2.2715631188834755</c:v>
                </c:pt>
                <c:pt idx="502">
                  <c:v>2.2757860918564483</c:v>
                </c:pt>
                <c:pt idx="503">
                  <c:v>2.2800090648294216</c:v>
                </c:pt>
                <c:pt idx="504">
                  <c:v>2.2842320378023944</c:v>
                </c:pt>
                <c:pt idx="505">
                  <c:v>2.2884550107753672</c:v>
                </c:pt>
                <c:pt idx="506">
                  <c:v>2.2926779837483404</c:v>
                </c:pt>
                <c:pt idx="507">
                  <c:v>2.2969009567213137</c:v>
                </c:pt>
                <c:pt idx="508">
                  <c:v>2.3011239296942865</c:v>
                </c:pt>
                <c:pt idx="509">
                  <c:v>2.3053469026672602</c:v>
                </c:pt>
                <c:pt idx="510">
                  <c:v>2.3095698756402325</c:v>
                </c:pt>
                <c:pt idx="511">
                  <c:v>2.3137928486132058</c:v>
                </c:pt>
                <c:pt idx="512">
                  <c:v>2.3180158215861786</c:v>
                </c:pt>
                <c:pt idx="513">
                  <c:v>2.3222387945591514</c:v>
                </c:pt>
                <c:pt idx="514">
                  <c:v>2.3264617675321242</c:v>
                </c:pt>
                <c:pt idx="515">
                  <c:v>2.330684740505097</c:v>
                </c:pt>
                <c:pt idx="516">
                  <c:v>2.3349077134780707</c:v>
                </c:pt>
                <c:pt idx="517">
                  <c:v>2.3391306864510439</c:v>
                </c:pt>
                <c:pt idx="518">
                  <c:v>2.3433536594240167</c:v>
                </c:pt>
                <c:pt idx="519">
                  <c:v>2.3475766323969895</c:v>
                </c:pt>
                <c:pt idx="520">
                  <c:v>2.3517996053699632</c:v>
                </c:pt>
                <c:pt idx="521">
                  <c:v>2.356022578342936</c:v>
                </c:pt>
                <c:pt idx="522">
                  <c:v>2.3602455513159084</c:v>
                </c:pt>
                <c:pt idx="523">
                  <c:v>2.3644685242888812</c:v>
                </c:pt>
                <c:pt idx="524">
                  <c:v>2.3686914972618553</c:v>
                </c:pt>
                <c:pt idx="525">
                  <c:v>2.3729144702348282</c:v>
                </c:pt>
                <c:pt idx="526">
                  <c:v>2.3771374432078005</c:v>
                </c:pt>
                <c:pt idx="527">
                  <c:v>2.3813604161807738</c:v>
                </c:pt>
                <c:pt idx="528">
                  <c:v>2.385583389153747</c:v>
                </c:pt>
                <c:pt idx="529">
                  <c:v>2.3898063621267198</c:v>
                </c:pt>
                <c:pt idx="530">
                  <c:v>2.3940293350996926</c:v>
                </c:pt>
                <c:pt idx="531">
                  <c:v>2.3982523080726659</c:v>
                </c:pt>
                <c:pt idx="532">
                  <c:v>2.4024752810456391</c:v>
                </c:pt>
                <c:pt idx="533">
                  <c:v>2.4066982540186119</c:v>
                </c:pt>
                <c:pt idx="534">
                  <c:v>2.4109212269915856</c:v>
                </c:pt>
                <c:pt idx="535">
                  <c:v>2.415144199964558</c:v>
                </c:pt>
                <c:pt idx="536">
                  <c:v>2.4193671729375312</c:v>
                </c:pt>
                <c:pt idx="537">
                  <c:v>2.423590145910504</c:v>
                </c:pt>
                <c:pt idx="538">
                  <c:v>2.4278131188834768</c:v>
                </c:pt>
                <c:pt idx="539">
                  <c:v>2.4320360918564496</c:v>
                </c:pt>
                <c:pt idx="540">
                  <c:v>2.4362590648294224</c:v>
                </c:pt>
                <c:pt idx="541">
                  <c:v>2.4404820378023961</c:v>
                </c:pt>
                <c:pt idx="542">
                  <c:v>2.4447050107753694</c:v>
                </c:pt>
                <c:pt idx="543">
                  <c:v>2.4489279837483422</c:v>
                </c:pt>
                <c:pt idx="544">
                  <c:v>2.453150956721315</c:v>
                </c:pt>
                <c:pt idx="545">
                  <c:v>2.4573739296942887</c:v>
                </c:pt>
                <c:pt idx="546">
                  <c:v>2.4615969026672615</c:v>
                </c:pt>
                <c:pt idx="547">
                  <c:v>2.4658198756402339</c:v>
                </c:pt>
                <c:pt idx="548">
                  <c:v>2.4700428486132067</c:v>
                </c:pt>
                <c:pt idx="549">
                  <c:v>2.4742658215861808</c:v>
                </c:pt>
                <c:pt idx="550">
                  <c:v>2.4784887945591536</c:v>
                </c:pt>
                <c:pt idx="551">
                  <c:v>2.482711767532126</c:v>
                </c:pt>
                <c:pt idx="552">
                  <c:v>2.4869347405050988</c:v>
                </c:pt>
                <c:pt idx="553">
                  <c:v>2.4911577134780725</c:v>
                </c:pt>
                <c:pt idx="554">
                  <c:v>2.4953806864510453</c:v>
                </c:pt>
                <c:pt idx="555">
                  <c:v>2.4996036594240181</c:v>
                </c:pt>
                <c:pt idx="556">
                  <c:v>2.5038266323969913</c:v>
                </c:pt>
                <c:pt idx="557">
                  <c:v>2.508049605369965</c:v>
                </c:pt>
                <c:pt idx="558">
                  <c:v>2.5122725783429378</c:v>
                </c:pt>
                <c:pt idx="559">
                  <c:v>2.5164955513159106</c:v>
                </c:pt>
                <c:pt idx="560">
                  <c:v>2.5207185242888834</c:v>
                </c:pt>
                <c:pt idx="561">
                  <c:v>2.5249414972618567</c:v>
                </c:pt>
                <c:pt idx="562">
                  <c:v>2.5291644702348295</c:v>
                </c:pt>
                <c:pt idx="563">
                  <c:v>2.5333874432078023</c:v>
                </c:pt>
                <c:pt idx="564">
                  <c:v>2.5376104161807751</c:v>
                </c:pt>
                <c:pt idx="565">
                  <c:v>2.5418333891537479</c:v>
                </c:pt>
                <c:pt idx="566">
                  <c:v>2.5460563621267216</c:v>
                </c:pt>
                <c:pt idx="567">
                  <c:v>2.5502793350996944</c:v>
                </c:pt>
                <c:pt idx="568">
                  <c:v>2.5545023080726672</c:v>
                </c:pt>
                <c:pt idx="569">
                  <c:v>2.55872528104564</c:v>
                </c:pt>
                <c:pt idx="570">
                  <c:v>2.5629482540186137</c:v>
                </c:pt>
                <c:pt idx="571">
                  <c:v>2.5671712269915865</c:v>
                </c:pt>
                <c:pt idx="572">
                  <c:v>2.5713941999645589</c:v>
                </c:pt>
                <c:pt idx="573">
                  <c:v>2.5756171729375321</c:v>
                </c:pt>
                <c:pt idx="574">
                  <c:v>2.5798401459105058</c:v>
                </c:pt>
                <c:pt idx="575">
                  <c:v>2.5840631188834786</c:v>
                </c:pt>
                <c:pt idx="576">
                  <c:v>2.5882860918564514</c:v>
                </c:pt>
                <c:pt idx="577">
                  <c:v>2.5925090648294242</c:v>
                </c:pt>
                <c:pt idx="578">
                  <c:v>2.5967320378023975</c:v>
                </c:pt>
                <c:pt idx="579">
                  <c:v>2.6009550107753703</c:v>
                </c:pt>
                <c:pt idx="580">
                  <c:v>2.6051779837483431</c:v>
                </c:pt>
                <c:pt idx="581">
                  <c:v>2.6094009567213168</c:v>
                </c:pt>
                <c:pt idx="582">
                  <c:v>2.61362392969429</c:v>
                </c:pt>
                <c:pt idx="583">
                  <c:v>2.6178469026672628</c:v>
                </c:pt>
                <c:pt idx="584">
                  <c:v>2.6220698756402356</c:v>
                </c:pt>
                <c:pt idx="585">
                  <c:v>2.6262928486132089</c:v>
                </c:pt>
                <c:pt idx="586">
                  <c:v>2.6305158215861817</c:v>
                </c:pt>
                <c:pt idx="587">
                  <c:v>2.6347387945591545</c:v>
                </c:pt>
                <c:pt idx="588">
                  <c:v>2.6389617675321269</c:v>
                </c:pt>
                <c:pt idx="589">
                  <c:v>2.6431847405051005</c:v>
                </c:pt>
                <c:pt idx="590">
                  <c:v>2.6474077134780734</c:v>
                </c:pt>
                <c:pt idx="591">
                  <c:v>2.651630686451047</c:v>
                </c:pt>
                <c:pt idx="592">
                  <c:v>2.6558536594240199</c:v>
                </c:pt>
                <c:pt idx="593">
                  <c:v>2.6600766323969927</c:v>
                </c:pt>
                <c:pt idx="594">
                  <c:v>2.6642996053699655</c:v>
                </c:pt>
                <c:pt idx="595">
                  <c:v>2.6685225783429392</c:v>
                </c:pt>
                <c:pt idx="596">
                  <c:v>2.6727455513159115</c:v>
                </c:pt>
                <c:pt idx="597">
                  <c:v>2.6769685242888843</c:v>
                </c:pt>
                <c:pt idx="598">
                  <c:v>2.6811914972618576</c:v>
                </c:pt>
                <c:pt idx="599">
                  <c:v>2.6854144702348313</c:v>
                </c:pt>
                <c:pt idx="600">
                  <c:v>2.6896374432078036</c:v>
                </c:pt>
                <c:pt idx="601">
                  <c:v>2.6938604161807769</c:v>
                </c:pt>
                <c:pt idx="602">
                  <c:v>2.6980833891537497</c:v>
                </c:pt>
                <c:pt idx="603">
                  <c:v>2.7023063621267229</c:v>
                </c:pt>
                <c:pt idx="604">
                  <c:v>2.7065293350996957</c:v>
                </c:pt>
                <c:pt idx="605">
                  <c:v>2.7107523080726685</c:v>
                </c:pt>
                <c:pt idx="606">
                  <c:v>2.7149752810456418</c:v>
                </c:pt>
                <c:pt idx="607">
                  <c:v>2.7191982540186155</c:v>
                </c:pt>
                <c:pt idx="608">
                  <c:v>2.7234212269915883</c:v>
                </c:pt>
                <c:pt idx="609">
                  <c:v>2.7276441999645611</c:v>
                </c:pt>
                <c:pt idx="610">
                  <c:v>2.7318671729375343</c:v>
                </c:pt>
                <c:pt idx="611">
                  <c:v>2.7360902881561069</c:v>
                </c:pt>
                <c:pt idx="612">
                  <c:v>2.7403446299463425</c:v>
                </c:pt>
                <c:pt idx="613">
                  <c:v>2.7446304292038541</c:v>
                </c:pt>
                <c:pt idx="614">
                  <c:v>2.7489479185315449</c:v>
                </c:pt>
                <c:pt idx="615">
                  <c:v>2.7532973322522287</c:v>
                </c:pt>
                <c:pt idx="616">
                  <c:v>2.757678906421352</c:v>
                </c:pt>
                <c:pt idx="617">
                  <c:v>2.7620928788398023</c:v>
                </c:pt>
                <c:pt idx="618">
                  <c:v>2.7665394890668153</c:v>
                </c:pt>
                <c:pt idx="619">
                  <c:v>2.7710189784329771</c:v>
                </c:pt>
                <c:pt idx="620">
                  <c:v>2.77553159005332</c:v>
                </c:pt>
                <c:pt idx="621">
                  <c:v>2.7800775688405177</c:v>
                </c:pt>
                <c:pt idx="622">
                  <c:v>2.7846571615181808</c:v>
                </c:pt>
                <c:pt idx="623">
                  <c:v>2.7892706166342416</c:v>
                </c:pt>
                <c:pt idx="624">
                  <c:v>2.7939181845744483</c:v>
                </c:pt>
                <c:pt idx="625">
                  <c:v>2.798600117575949</c:v>
                </c:pt>
                <c:pt idx="626">
                  <c:v>2.8033166697409881</c:v>
                </c:pt>
                <c:pt idx="627">
                  <c:v>2.8080680970506919</c:v>
                </c:pt>
                <c:pt idx="628">
                  <c:v>2.8128546573789639</c:v>
                </c:pt>
                <c:pt idx="629">
                  <c:v>2.8176766105064779</c:v>
                </c:pt>
                <c:pt idx="630">
                  <c:v>2.8225342181347806</c:v>
                </c:pt>
                <c:pt idx="631">
                  <c:v>2.8274277439004933</c:v>
                </c:pt>
                <c:pt idx="632">
                  <c:v>2.8323574533896183</c:v>
                </c:pt>
                <c:pt idx="633">
                  <c:v>2.8373236141519551</c:v>
                </c:pt>
                <c:pt idx="634">
                  <c:v>2.8423264957156222</c:v>
                </c:pt>
                <c:pt idx="635">
                  <c:v>2.8473663696016818</c:v>
                </c:pt>
                <c:pt idx="636">
                  <c:v>2.8524435093388805</c:v>
                </c:pt>
                <c:pt idx="637">
                  <c:v>2.8575581904784886</c:v>
                </c:pt>
                <c:pt idx="638">
                  <c:v>2.8627106906092616</c:v>
                </c:pt>
                <c:pt idx="639">
                  <c:v>2.8679012893725022</c:v>
                </c:pt>
                <c:pt idx="640">
                  <c:v>2.8731302684772357</c:v>
                </c:pt>
                <c:pt idx="641">
                  <c:v>2.8783979117155019</c:v>
                </c:pt>
                <c:pt idx="642">
                  <c:v>2.8837045049777577</c:v>
                </c:pt>
                <c:pt idx="643">
                  <c:v>2.8890503362683919</c:v>
                </c:pt>
                <c:pt idx="644">
                  <c:v>2.8944356957213553</c:v>
                </c:pt>
                <c:pt idx="645">
                  <c:v>2.8998608756159086</c:v>
                </c:pt>
                <c:pt idx="646">
                  <c:v>2.9053261703924838</c:v>
                </c:pt>
                <c:pt idx="647">
                  <c:v>2.9108318766686678</c:v>
                </c:pt>
                <c:pt idx="648">
                  <c:v>2.9163782932552946</c:v>
                </c:pt>
                <c:pt idx="649">
                  <c:v>2.9219657211726702</c:v>
                </c:pt>
                <c:pt idx="650">
                  <c:v>2.9275944636669018</c:v>
                </c:pt>
                <c:pt idx="651">
                  <c:v>2.9332648262263636</c:v>
                </c:pt>
                <c:pt idx="652">
                  <c:v>2.9389771165982692</c:v>
                </c:pt>
                <c:pt idx="653">
                  <c:v>2.9447316448053824</c:v>
                </c:pt>
                <c:pt idx="654">
                  <c:v>2.9505287231628325</c:v>
                </c:pt>
                <c:pt idx="655">
                  <c:v>2.9563686662950746</c:v>
                </c:pt>
                <c:pt idx="656">
                  <c:v>2.9622517911529598</c:v>
                </c:pt>
                <c:pt idx="657">
                  <c:v>2.9681784170309378</c:v>
                </c:pt>
                <c:pt idx="658">
                  <c:v>2.974148865584386</c:v>
                </c:pt>
                <c:pt idx="659">
                  <c:v>2.9801634608470677</c:v>
                </c:pt>
                <c:pt idx="660">
                  <c:v>2.9862225292487174</c:v>
                </c:pt>
                <c:pt idx="661">
                  <c:v>2.9923263996327578</c:v>
                </c:pt>
                <c:pt idx="662">
                  <c:v>2.9984754032741452</c:v>
                </c:pt>
                <c:pt idx="663">
                  <c:v>3.0046698738973521</c:v>
                </c:pt>
                <c:pt idx="664">
                  <c:v>3.0109101476944757</c:v>
                </c:pt>
                <c:pt idx="665">
                  <c:v>3.0171965633434876</c:v>
                </c:pt>
                <c:pt idx="666">
                  <c:v>3.0235294620266133</c:v>
                </c:pt>
                <c:pt idx="667">
                  <c:v>3.0299091874488462</c:v>
                </c:pt>
                <c:pt idx="668">
                  <c:v>3.0363360858566062</c:v>
                </c:pt>
                <c:pt idx="669">
                  <c:v>3.0428105060565307</c:v>
                </c:pt>
                <c:pt idx="670">
                  <c:v>3.0493327994344015</c:v>
                </c:pt>
                <c:pt idx="671">
                  <c:v>3.0559033199742198</c:v>
                </c:pt>
                <c:pt idx="672">
                  <c:v>3.0625224242774176</c:v>
                </c:pt>
                <c:pt idx="673">
                  <c:v>3.0691904715822065</c:v>
                </c:pt>
                <c:pt idx="674">
                  <c:v>3.0759078237830835</c:v>
                </c:pt>
                <c:pt idx="675">
                  <c:v>3.0826748454504624</c:v>
                </c:pt>
                <c:pt idx="676">
                  <c:v>3.0894919038504685</c:v>
                </c:pt>
                <c:pt idx="677">
                  <c:v>3.0963593689648623</c:v>
                </c:pt>
                <c:pt idx="678">
                  <c:v>3.1032776135111324</c:v>
                </c:pt>
                <c:pt idx="679">
                  <c:v>3.1102470129627084</c:v>
                </c:pt>
                <c:pt idx="680">
                  <c:v>3.1172679455693508</c:v>
                </c:pt>
                <c:pt idx="681">
                  <c:v>3.1243407923776738</c:v>
                </c:pt>
                <c:pt idx="682">
                  <c:v>3.1314659372518312</c:v>
                </c:pt>
                <c:pt idx="683">
                  <c:v>3.138643766894341</c:v>
                </c:pt>
                <c:pt idx="684">
                  <c:v>3.1458746708670833</c:v>
                </c:pt>
                <c:pt idx="685">
                  <c:v>3.1531590416124344</c:v>
                </c:pt>
                <c:pt idx="686">
                  <c:v>3.1604972744745701</c:v>
                </c:pt>
                <c:pt idx="687">
                  <c:v>3.1678897677209217</c:v>
                </c:pt>
                <c:pt idx="688">
                  <c:v>3.1753369225637913</c:v>
                </c:pt>
                <c:pt idx="689">
                  <c:v>3.1828391431821248</c:v>
                </c:pt>
                <c:pt idx="690">
                  <c:v>3.1903968367434499</c:v>
                </c:pt>
                <c:pt idx="691">
                  <c:v>3.1980104134259757</c:v>
                </c:pt>
                <c:pt idx="692">
                  <c:v>3.205680286440848</c:v>
                </c:pt>
                <c:pt idx="693">
                  <c:v>3.213406872054585</c:v>
                </c:pt>
                <c:pt idx="694">
                  <c:v>3.2211905896116599</c:v>
                </c:pt>
                <c:pt idx="695">
                  <c:v>3.2290318615572642</c:v>
                </c:pt>
                <c:pt idx="696">
                  <c:v>3.2369311134602383</c:v>
                </c:pt>
                <c:pt idx="697">
                  <c:v>3.2448887740361627</c:v>
                </c:pt>
                <c:pt idx="698">
                  <c:v>3.2529052751706273</c:v>
                </c:pt>
                <c:pt idx="699">
                  <c:v>3.2609810519426738</c:v>
                </c:pt>
                <c:pt idx="700">
                  <c:v>3.2691165426484052</c:v>
                </c:pt>
                <c:pt idx="701">
                  <c:v>3.2773121888247765</c:v>
                </c:pt>
                <c:pt idx="702">
                  <c:v>3.2855684352735528</c:v>
                </c:pt>
                <c:pt idx="703">
                  <c:v>3.2938857300854596</c:v>
                </c:pt>
                <c:pt idx="704">
                  <c:v>3.3022645246644902</c:v>
                </c:pt>
                <c:pt idx="705">
                  <c:v>3.3107052737524163</c:v>
                </c:pt>
                <c:pt idx="706">
                  <c:v>3.3192084354534579</c:v>
                </c:pt>
                <c:pt idx="707">
                  <c:v>3.3277744712591542</c:v>
                </c:pt>
                <c:pt idx="708">
                  <c:v>3.3364038460734031</c:v>
                </c:pt>
                <c:pt idx="709">
                  <c:v>3.3450970282377015</c:v>
                </c:pt>
                <c:pt idx="710">
                  <c:v>3.3538544895565532</c:v>
                </c:pt>
                <c:pt idx="711">
                  <c:v>3.3626767053230826</c:v>
                </c:pt>
                <c:pt idx="712">
                  <c:v>3.3715641543448274</c:v>
                </c:pt>
                <c:pt idx="713">
                  <c:v>3.380517318969726</c:v>
                </c:pt>
                <c:pt idx="714">
                  <c:v>3.3895366851122959</c:v>
                </c:pt>
                <c:pt idx="715">
                  <c:v>3.3986227422800042</c:v>
                </c:pt>
                <c:pt idx="716">
                  <c:v>3.4077759835998371</c:v>
                </c:pt>
                <c:pt idx="717">
                  <c:v>3.4169969058450582</c:v>
                </c:pt>
                <c:pt idx="718">
                  <c:v>3.4262860094621796</c:v>
                </c:pt>
                <c:pt idx="719">
                  <c:v>3.4356437985981123</c:v>
                </c:pt>
                <c:pt idx="720">
                  <c:v>3.4450707811275314</c:v>
                </c:pt>
                <c:pt idx="721">
                  <c:v>3.4545674686804406</c:v>
                </c:pt>
                <c:pt idx="722">
                  <c:v>3.4641343766699451</c:v>
                </c:pt>
                <c:pt idx="723">
                  <c:v>3.4737720243202115</c:v>
                </c:pt>
                <c:pt idx="724">
                  <c:v>3.4834809346946618</c:v>
                </c:pt>
                <c:pt idx="725">
                  <c:v>3.4932616347243504</c:v>
                </c:pt>
                <c:pt idx="726">
                  <c:v>3.5031146552365704</c:v>
                </c:pt>
                <c:pt idx="727">
                  <c:v>3.5130405309836563</c:v>
                </c:pt>
                <c:pt idx="728">
                  <c:v>3.5230398006720165</c:v>
                </c:pt>
                <c:pt idx="729">
                  <c:v>3.5331130069913543</c:v>
                </c:pt>
                <c:pt idx="730">
                  <c:v>3.543260696644138</c:v>
                </c:pt>
                <c:pt idx="731">
                  <c:v>3.553483420375263</c:v>
                </c:pt>
                <c:pt idx="732">
                  <c:v>3.5637817330019459</c:v>
                </c:pt>
                <c:pt idx="733">
                  <c:v>3.5741561934438306</c:v>
                </c:pt>
                <c:pt idx="734">
                  <c:v>3.5846073647533303</c:v>
                </c:pt>
                <c:pt idx="735">
                  <c:v>3.5951358141461789</c:v>
                </c:pt>
                <c:pt idx="736">
                  <c:v>3.6057421130322225</c:v>
                </c:pt>
                <c:pt idx="737">
                  <c:v>3.6164268370464234</c:v>
                </c:pt>
                <c:pt idx="738">
                  <c:v>3.6271905660801091</c:v>
                </c:pt>
                <c:pt idx="739">
                  <c:v>3.638033884312438</c:v>
                </c:pt>
                <c:pt idx="740">
                  <c:v>3.6489573802421122</c:v>
                </c:pt>
                <c:pt idx="741">
                  <c:v>3.6599616467193106</c:v>
                </c:pt>
                <c:pt idx="742">
                  <c:v>3.6710472809778647</c:v>
                </c:pt>
                <c:pt idx="743">
                  <c:v>3.6822148846676779</c:v>
                </c:pt>
                <c:pt idx="744">
                  <c:v>3.6934650638873712</c:v>
                </c:pt>
                <c:pt idx="745">
                  <c:v>3.7047984292171856</c:v>
                </c:pt>
                <c:pt idx="746">
                  <c:v>3.7162155957521135</c:v>
                </c:pt>
                <c:pt idx="747">
                  <c:v>3.727717183135288</c:v>
                </c:pt>
                <c:pt idx="748">
                  <c:v>3.7393038155916041</c:v>
                </c:pt>
                <c:pt idx="749">
                  <c:v>3.7509761219616102</c:v>
                </c:pt>
                <c:pt idx="750">
                  <c:v>3.7627347357356209</c:v>
                </c:pt>
                <c:pt idx="751">
                  <c:v>3.7745802950881151</c:v>
                </c:pt>
                <c:pt idx="752">
                  <c:v>3.7865134429123533</c:v>
                </c:pt>
                <c:pt idx="753">
                  <c:v>3.7985348268552914</c:v>
                </c:pt>
                <c:pt idx="754">
                  <c:v>3.8106450993527079</c:v>
                </c:pt>
                <c:pt idx="755">
                  <c:v>3.8228449176646313</c:v>
                </c:pt>
                <c:pt idx="756">
                  <c:v>3.8351349439109987</c:v>
                </c:pt>
                <c:pt idx="757">
                  <c:v>3.8475158451076008</c:v>
                </c:pt>
                <c:pt idx="758">
                  <c:v>3.8599882932022758</c:v>
                </c:pt>
                <c:pt idx="759">
                  <c:v>3.8725529651113835</c:v>
                </c:pt>
                <c:pt idx="760">
                  <c:v>3.8852105427565378</c:v>
                </c:pt>
                <c:pt idx="761">
                  <c:v>3.8979617131016187</c:v>
                </c:pt>
                <c:pt idx="762">
                  <c:v>3.9108071681900607</c:v>
                </c:pt>
                <c:pt idx="763">
                  <c:v>3.9237476051824074</c:v>
                </c:pt>
                <c:pt idx="764">
                  <c:v>3.9367837263941441</c:v>
                </c:pt>
                <c:pt idx="765">
                  <c:v>3.9499162393338252</c:v>
                </c:pt>
                <c:pt idx="766">
                  <c:v>3.9631458567414639</c:v>
                </c:pt>
                <c:pt idx="767">
                  <c:v>3.9764732966272196</c:v>
                </c:pt>
                <c:pt idx="768">
                  <c:v>3.9898992823103643</c:v>
                </c:pt>
                <c:pt idx="769">
                  <c:v>4.0034245424585384</c:v>
                </c:pt>
                <c:pt idx="770">
                  <c:v>4.017049811127297</c:v>
                </c:pt>
                <c:pt idx="771">
                  <c:v>4.0307758277999568</c:v>
                </c:pt>
                <c:pt idx="772">
                  <c:v>4.0446033374277208</c:v>
                </c:pt>
                <c:pt idx="773">
                  <c:v>4.0585330904701102</c:v>
                </c:pt>
                <c:pt idx="774">
                  <c:v>4.0725658429357026</c:v>
                </c:pt>
                <c:pt idx="775">
                  <c:v>4.0867023564231486</c:v>
                </c:pt>
                <c:pt idx="776">
                  <c:v>4.1009433981625243</c:v>
                </c:pt>
                <c:pt idx="777">
                  <c:v>4.1152897410569471</c:v>
                </c:pt>
                <c:pt idx="778">
                  <c:v>4.1297421637245515</c:v>
                </c:pt>
                <c:pt idx="779">
                  <c:v>4.1443014505407199</c:v>
                </c:pt>
                <c:pt idx="780">
                  <c:v>4.158968391680677</c:v>
                </c:pt>
                <c:pt idx="781">
                  <c:v>4.1737437831623527</c:v>
                </c:pt>
                <c:pt idx="782">
                  <c:v>4.1886284268896059</c:v>
                </c:pt>
                <c:pt idx="783">
                  <c:v>4.2036231306957257</c:v>
                </c:pt>
                <c:pt idx="784">
                  <c:v>4.2187287083872897</c:v>
                </c:pt>
                <c:pt idx="785">
                  <c:v>4.233945979788329</c:v>
                </c:pt>
                <c:pt idx="786">
                  <c:v>4.2492757707848154</c:v>
                </c:pt>
                <c:pt idx="787">
                  <c:v>4.2647189133694887</c:v>
                </c:pt>
                <c:pt idx="788">
                  <c:v>4.2802762456870163</c:v>
                </c:pt>
                <c:pt idx="789">
                  <c:v>4.2959486120794752</c:v>
                </c:pt>
                <c:pt idx="790">
                  <c:v>4.3117368631321789</c:v>
                </c:pt>
                <c:pt idx="791">
                  <c:v>4.3276418557198442</c:v>
                </c:pt>
                <c:pt idx="792">
                  <c:v>4.3436644530530888</c:v>
                </c:pt>
                <c:pt idx="793">
                  <c:v>4.3598055247252878</c:v>
                </c:pt>
                <c:pt idx="794">
                  <c:v>4.3760659467597698</c:v>
                </c:pt>
                <c:pt idx="795">
                  <c:v>4.3924466016573502</c:v>
                </c:pt>
                <c:pt idx="796">
                  <c:v>4.4089483784442391</c:v>
                </c:pt>
                <c:pt idx="797">
                  <c:v>4.4255721727202877</c:v>
                </c:pt>
                <c:pt idx="798">
                  <c:v>4.4423188867075929</c:v>
                </c:pt>
                <c:pt idx="799">
                  <c:v>4.4591894292994665</c:v>
                </c:pt>
                <c:pt idx="800">
                  <c:v>4.476184716109759</c:v>
                </c:pt>
                <c:pt idx="801">
                  <c:v>4.4933056695225595</c:v>
                </c:pt>
                <c:pt idx="802">
                  <c:v>4.5105532187422464</c:v>
                </c:pt>
                <c:pt idx="803">
                  <c:v>4.5279282998439339</c:v>
                </c:pt>
                <c:pt idx="804">
                  <c:v>4.5454318558242575</c:v>
                </c:pt>
                <c:pt idx="805">
                  <c:v>4.563064836652563</c:v>
                </c:pt>
                <c:pt idx="806">
                  <c:v>4.580828199322462</c:v>
                </c:pt>
                <c:pt idx="807">
                  <c:v>4.5987229079037757</c:v>
                </c:pt>
                <c:pt idx="808">
                  <c:v>4.6167499335948445</c:v>
                </c:pt>
                <c:pt idx="809">
                  <c:v>4.6349102547752601</c:v>
                </c:pt>
                <c:pt idx="810">
                  <c:v>4.653204857058939</c:v>
                </c:pt>
                <c:pt idx="811">
                  <c:v>4.6716347333476334</c:v>
                </c:pt>
                <c:pt idx="812">
                  <c:v>4.690200883884807</c:v>
                </c:pt>
                <c:pt idx="813">
                  <c:v>4.7089043163099422</c:v>
                </c:pt>
                <c:pt idx="814">
                  <c:v>4.7277460457131877</c:v>
                </c:pt>
                <c:pt idx="815">
                  <c:v>4.7467270946904918</c:v>
                </c:pt>
                <c:pt idx="816">
                  <c:v>4.7658484933990923</c:v>
                </c:pt>
                <c:pt idx="817">
                  <c:v>4.7851112796133943</c:v>
                </c:pt>
                <c:pt idx="818">
                  <c:v>4.8045164987813411</c:v>
                </c:pt>
                <c:pt idx="819">
                  <c:v>4.8240652040811147</c:v>
                </c:pt>
                <c:pt idx="820">
                  <c:v>4.8437584564783212</c:v>
                </c:pt>
                <c:pt idx="821">
                  <c:v>4.8635973247835516</c:v>
                </c:pt>
                <c:pt idx="822">
                  <c:v>4.8835828857104122</c:v>
                </c:pt>
                <c:pt idx="823">
                  <c:v>4.9037162239339382</c:v>
                </c:pt>
                <c:pt idx="824">
                  <c:v>4.9239984321494745</c:v>
                </c:pt>
                <c:pt idx="825">
                  <c:v>4.9444306111319793</c:v>
                </c:pt>
                <c:pt idx="826">
                  <c:v>4.9650138697957598</c:v>
                </c:pt>
                <c:pt idx="827">
                  <c:v>4.985749325254667</c:v>
                </c:pt>
                <c:pt idx="828">
                  <c:v>5.0066381028827216</c:v>
                </c:pt>
                <c:pt idx="829">
                  <c:v>5.0276813363751769</c:v>
                </c:pt>
                <c:pt idx="830">
                  <c:v>5.0488801678100668</c:v>
                </c:pt>
                <c:pt idx="831">
                  <c:v>5.0702357477101794</c:v>
                </c:pt>
                <c:pt idx="832">
                  <c:v>5.0917492351055031</c:v>
                </c:pt>
                <c:pt idx="833">
                  <c:v>5.1134217975961258</c:v>
                </c:pt>
                <c:pt idx="834">
                  <c:v>5.1352546114156192</c:v>
                </c:pt>
                <c:pt idx="835">
                  <c:v>5.1572488614948488</c:v>
                </c:pt>
                <c:pt idx="836">
                  <c:v>5.1794057415263151</c:v>
                </c:pt>
                <c:pt idx="837">
                  <c:v>5.2017264540289077</c:v>
                </c:pt>
                <c:pt idx="838">
                  <c:v>5.2242122104132065</c:v>
                </c:pt>
                <c:pt idx="839">
                  <c:v>5.2468642310471774</c:v>
                </c:pt>
                <c:pt idx="840">
                  <c:v>5.2696837453224594</c:v>
                </c:pt>
                <c:pt idx="841">
                  <c:v>5.2926719917210638</c:v>
                </c:pt>
                <c:pt idx="842">
                  <c:v>5.3158302178825645</c:v>
                </c:pt>
                <c:pt idx="843">
                  <c:v>5.3391596806718633</c:v>
                </c:pt>
                <c:pt idx="844">
                  <c:v>5.362661646247358</c:v>
                </c:pt>
                <c:pt idx="845">
                  <c:v>5.3863373901296949</c:v>
                </c:pt>
                <c:pt idx="846">
                  <c:v>5.4101881972709611</c:v>
                </c:pt>
                <c:pt idx="847">
                  <c:v>5.4342153621244575</c:v>
                </c:pt>
                <c:pt idx="848">
                  <c:v>5.458420188714924</c:v>
                </c:pt>
                <c:pt idx="849">
                  <c:v>5.4828039907093267</c:v>
                </c:pt>
                <c:pt idx="850">
                  <c:v>5.5073680914881535</c:v>
                </c:pt>
                <c:pt idx="851">
                  <c:v>5.5321138242172356</c:v>
                </c:pt>
                <c:pt idx="852">
                  <c:v>5.5570425319201009</c:v>
                </c:pt>
                <c:pt idx="853">
                  <c:v>5.5821555675508705</c:v>
                </c:pt>
                <c:pt idx="854">
                  <c:v>5.607454294067689</c:v>
                </c:pt>
                <c:pt idx="855">
                  <c:v>5.632940084506675</c:v>
                </c:pt>
                <c:pt idx="856">
                  <c:v>5.6586143220564651</c:v>
                </c:pt>
                <c:pt idx="857">
                  <c:v>5.68447840013327</c:v>
                </c:pt>
                <c:pt idx="858">
                  <c:v>5.7105337224564998</c:v>
                </c:pt>
                <c:pt idx="859">
                  <c:v>5.7367817031249642</c:v>
                </c:pt>
                <c:pt idx="860">
                  <c:v>5.763223766693593</c:v>
                </c:pt>
                <c:pt idx="861">
                  <c:v>5.7898613482507653</c:v>
                </c:pt>
                <c:pt idx="862">
                  <c:v>5.8166958934962034</c:v>
                </c:pt>
                <c:pt idx="863">
                  <c:v>5.843728858819432</c:v>
                </c:pt>
                <c:pt idx="864">
                  <c:v>5.8709617113787882</c:v>
                </c:pt>
                <c:pt idx="865">
                  <c:v>5.8983959291811017</c:v>
                </c:pt>
                <c:pt idx="866">
                  <c:v>5.9260330011618896</c:v>
                </c:pt>
                <c:pt idx="867">
                  <c:v>5.9538744272661273</c:v>
                </c:pt>
                <c:pt idx="868">
                  <c:v>5.9819217185297235</c:v>
                </c:pt>
                <c:pt idx="869">
                  <c:v>6.0101763971614739</c:v>
                </c:pt>
                <c:pt idx="870">
                  <c:v>6.0386399966256947</c:v>
                </c:pt>
                <c:pt idx="871">
                  <c:v>6.0673140617254608</c:v>
                </c:pt>
                <c:pt idx="872">
                  <c:v>6.0962001486864326</c:v>
                </c:pt>
                <c:pt idx="873">
                  <c:v>6.1252998252413082</c:v>
                </c:pt>
                <c:pt idx="874">
                  <c:v>6.1546146707149276</c:v>
                </c:pt>
                <c:pt idx="875">
                  <c:v>6.1841462761099777</c:v>
                </c:pt>
                <c:pt idx="876">
                  <c:v>6.2138962441933412</c:v>
                </c:pt>
                <c:pt idx="877">
                  <c:v>6.2438661895830814</c:v>
                </c:pt>
                <c:pt idx="878">
                  <c:v>6.2740577388360927</c:v>
                </c:pt>
                <c:pt idx="879">
                  <c:v>6.3044725305363363</c:v>
                </c:pt>
                <c:pt idx="880">
                  <c:v>6.3351122153838197</c:v>
                </c:pt>
                <c:pt idx="881">
                  <c:v>6.3659784562841457</c:v>
                </c:pt>
                <c:pt idx="882">
                  <c:v>6.3970729284387842</c:v>
                </c:pt>
                <c:pt idx="883">
                  <c:v>6.4283973194359785</c:v>
                </c:pt>
                <c:pt idx="884">
                  <c:v>6.4599533293423583</c:v>
                </c:pt>
                <c:pt idx="885">
                  <c:v>6.4917426707951762</c:v>
                </c:pt>
                <c:pt idx="886">
                  <c:v>6.5237670690952783</c:v>
                </c:pt>
                <c:pt idx="887">
                  <c:v>6.5560282623007282</c:v>
                </c:pt>
                <c:pt idx="888">
                  <c:v>6.588528001321162</c:v>
                </c:pt>
                <c:pt idx="889">
                  <c:v>6.6212680500127732</c:v>
                </c:pt>
                <c:pt idx="890">
                  <c:v>6.6542501852740861</c:v>
                </c:pt>
                <c:pt idx="891">
                  <c:v>6.6874761971423773</c:v>
                </c:pt>
                <c:pt idx="892">
                  <c:v>6.7209478888907874</c:v>
                </c:pt>
                <c:pt idx="893">
                  <c:v>6.7546670771262667</c:v>
                </c:pt>
                <c:pt idx="894">
                  <c:v>6.7886355918881023</c:v>
                </c:pt>
                <c:pt idx="895">
                  <c:v>6.8228552767472701</c:v>
                </c:pt>
                <c:pt idx="896">
                  <c:v>6.8573279889064773</c:v>
                </c:pt>
                <c:pt idx="897">
                  <c:v>6.8920555993009769</c:v>
                </c:pt>
                <c:pt idx="898">
                  <c:v>6.9270399927000987</c:v>
                </c:pt>
                <c:pt idx="899">
                  <c:v>6.962283067809528</c:v>
                </c:pt>
                <c:pt idx="900">
                  <c:v>6.9977867373743683</c:v>
                </c:pt>
                <c:pt idx="901">
                  <c:v>7.033552928282953</c:v>
                </c:pt>
                <c:pt idx="902">
                  <c:v>7.0695835816714085</c:v>
                </c:pt>
                <c:pt idx="903">
                  <c:v>7.1058806530290397</c:v>
                </c:pt>
                <c:pt idx="904">
                  <c:v>7.1424461123044143</c:v>
                </c:pt>
                <c:pt idx="905">
                  <c:v>7.1792819440123061</c:v>
                </c:pt>
                <c:pt idx="906">
                  <c:v>7.2163901473413903</c:v>
                </c:pt>
                <c:pt idx="907">
                  <c:v>7.253772736262766</c:v>
                </c:pt>
                <c:pt idx="908">
                  <c:v>7.2914317396392194</c:v>
                </c:pt>
                <c:pt idx="909">
                  <c:v>7.3293692013353855</c:v>
                </c:pt>
                <c:pt idx="910">
                  <c:v>7.3675871803286288</c:v>
                </c:pt>
                <c:pt idx="911">
                  <c:v>7.40608775082082</c:v>
                </c:pt>
                <c:pt idx="912">
                  <c:v>7.4448730023508913</c:v>
                </c:pt>
                <c:pt idx="913">
                  <c:v>7.4839450399082761</c:v>
                </c:pt>
                <c:pt idx="914">
                  <c:v>7.5233059840470817</c:v>
                </c:pt>
                <c:pt idx="915">
                  <c:v>7.5629579710012562</c:v>
                </c:pt>
                <c:pt idx="916">
                  <c:v>7.6029031528005175</c:v>
                </c:pt>
                <c:pt idx="917">
                  <c:v>7.643143697387063</c:v>
                </c:pt>
                <c:pt idx="918">
                  <c:v>7.6836817887333533</c:v>
                </c:pt>
                <c:pt idx="919">
                  <c:v>7.7245196269605563</c:v>
                </c:pt>
                <c:pt idx="920">
                  <c:v>7.7656594284579903</c:v>
                </c:pt>
                <c:pt idx="921">
                  <c:v>7.8071034260033967</c:v>
                </c:pt>
                <c:pt idx="922">
                  <c:v>7.848853868884154</c:v>
                </c:pt>
                <c:pt idx="923">
                  <c:v>7.890913023019305</c:v>
                </c:pt>
                <c:pt idx="924">
                  <c:v>7.9332831710825573</c:v>
                </c:pt>
                <c:pt idx="925">
                  <c:v>7.9759666126261974</c:v>
                </c:pt>
                <c:pt idx="926">
                  <c:v>8.0189656642058402</c:v>
                </c:pt>
                <c:pt idx="927">
                  <c:v>8.0622826595061863</c:v>
                </c:pt>
                <c:pt idx="928">
                  <c:v>8.105919949467701</c:v>
                </c:pt>
                <c:pt idx="929">
                  <c:v>8.1498799024141508</c:v>
                </c:pt>
                <c:pt idx="930">
                  <c:v>8.1941649041811857</c:v>
                </c:pt>
                <c:pt idx="931">
                  <c:v>8.2387773582457999</c:v>
                </c:pt>
                <c:pt idx="932">
                  <c:v>8.2837196858567808</c:v>
                </c:pt>
                <c:pt idx="933">
                  <c:v>8.328994326166141</c:v>
                </c:pt>
                <c:pt idx="934">
                  <c:v>8.3746037363614718</c:v>
                </c:pt>
                <c:pt idx="935">
                  <c:v>8.4205503917992974</c:v>
                </c:pt>
                <c:pt idx="936">
                  <c:v>8.4668367861394351</c:v>
                </c:pt>
                <c:pt idx="937">
                  <c:v>8.5134654314803235</c:v>
                </c:pt>
                <c:pt idx="938">
                  <c:v>8.5604388584954023</c:v>
                </c:pt>
                <c:pt idx="939">
                  <c:v>8.6077596165703607</c:v>
                </c:pt>
                <c:pt idx="940">
                  <c:v>8.6554302739416205</c:v>
                </c:pt>
                <c:pt idx="941">
                  <c:v>8.7034534178356502</c:v>
                </c:pt>
                <c:pt idx="942">
                  <c:v>8.7518316546093775</c:v>
                </c:pt>
                <c:pt idx="943">
                  <c:v>8.8005676098916901</c:v>
                </c:pt>
                <c:pt idx="944">
                  <c:v>8.8496639287258869</c:v>
                </c:pt>
                <c:pt idx="945">
                  <c:v>8.8991232757132632</c:v>
                </c:pt>
                <c:pt idx="946">
                  <c:v>8.9489483351577075</c:v>
                </c:pt>
                <c:pt idx="947">
                  <c:v>8.9991418112114214</c:v>
                </c:pt>
                <c:pt idx="948">
                  <c:v>9.0497064280216364</c:v>
                </c:pt>
                <c:pt idx="949">
                  <c:v>9.1006449298784826</c:v>
                </c:pt>
                <c:pt idx="950">
                  <c:v>9.1519600813639261</c:v>
                </c:pt>
                <c:pt idx="951">
                  <c:v>9.2036546675018371</c:v>
                </c:pt>
                <c:pt idx="952">
                  <c:v>9.2557314939090833</c:v>
                </c:pt>
                <c:pt idx="953">
                  <c:v>9.3081933869478704</c:v>
                </c:pt>
                <c:pt idx="954">
                  <c:v>9.3610431938790697</c:v>
                </c:pt>
                <c:pt idx="955">
                  <c:v>9.4142837830167903</c:v>
                </c:pt>
                <c:pt idx="956">
                  <c:v>9.4679180438840369</c:v>
                </c:pt>
                <c:pt idx="957">
                  <c:v>9.5219488873695362</c:v>
                </c:pt>
                <c:pt idx="958">
                  <c:v>9.576379245885704</c:v>
                </c:pt>
                <c:pt idx="959">
                  <c:v>9.6312120735278288</c:v>
                </c:pt>
                <c:pt idx="960">
                  <c:v>9.6864503462343858</c:v>
                </c:pt>
                <c:pt idx="961">
                  <c:v>9.7420970619485168</c:v>
                </c:pt>
                <c:pt idx="962">
                  <c:v>9.7981552407807655</c:v>
                </c:pt>
                <c:pt idx="963">
                  <c:v>9.8546279251730304</c:v>
                </c:pt>
                <c:pt idx="964">
                  <c:v>9.9115181800635668</c:v>
                </c:pt>
                <c:pt idx="965">
                  <c:v>9.9688290930534738</c:v>
                </c:pt>
                <c:pt idx="966">
                  <c:v>10.026563774574194</c:v>
                </c:pt>
                <c:pt idx="967">
                  <c:v>10.084725358056273</c:v>
                </c:pt>
                <c:pt idx="968">
                  <c:v>10.143317000099541</c:v>
                </c:pt>
                <c:pt idx="969">
                  <c:v>10.202341880644356</c:v>
                </c:pt>
                <c:pt idx="970">
                  <c:v>10.261803203144181</c:v>
                </c:pt>
                <c:pt idx="971">
                  <c:v>10.321704194739464</c:v>
                </c:pt>
                <c:pt idx="972">
                  <c:v>10.382048106432817</c:v>
                </c:pt>
                <c:pt idx="973">
                  <c:v>10.442838213265397</c:v>
                </c:pt>
                <c:pt idx="974">
                  <c:v>10.504077814494684</c:v>
                </c:pt>
                <c:pt idx="975">
                  <c:v>10.565770233773543</c:v>
                </c:pt>
                <c:pt idx="976">
                  <c:v>10.627918819330606</c:v>
                </c:pt>
                <c:pt idx="977">
                  <c:v>10.690526944151955</c:v>
                </c:pt>
                <c:pt idx="978">
                  <c:v>10.753598006164294</c:v>
                </c:pt>
                <c:pt idx="979">
                  <c:v>10.817135428419213</c:v>
                </c:pt>
                <c:pt idx="980">
                  <c:v>10.881142659279071</c:v>
                </c:pt>
                <c:pt idx="981">
                  <c:v>10.945623172604108</c:v>
                </c:pt>
                <c:pt idx="982">
                  <c:v>11.010580467940999</c:v>
                </c:pt>
                <c:pt idx="983">
                  <c:v>11.076018070712767</c:v>
                </c:pt>
                <c:pt idx="984">
                  <c:v>11.141939532410159</c:v>
                </c:pt>
                <c:pt idx="985">
                  <c:v>11.208348430784335</c:v>
                </c:pt>
                <c:pt idx="986">
                  <c:v>11.275248370041073</c:v>
                </c:pt>
                <c:pt idx="987">
                  <c:v>11.342642981036402</c:v>
                </c:pt>
                <c:pt idx="988">
                  <c:v>11.410535921473652</c:v>
                </c:pt>
                <c:pt idx="989">
                  <c:v>11.478930876101883</c:v>
                </c:pt>
                <c:pt idx="990">
                  <c:v>11.547831556916009</c:v>
                </c:pt>
                <c:pt idx="991">
                  <c:v>11.617241703358186</c:v>
                </c:pt>
                <c:pt idx="992">
                  <c:v>11.687165082520695</c:v>
                </c:pt>
                <c:pt idx="993">
                  <c:v>11.757605489350549</c:v>
                </c:pt>
                <c:pt idx="994">
                  <c:v>11.828566746855316</c:v>
                </c:pt>
                <c:pt idx="995">
                  <c:v>11.900052706310664</c:v>
                </c:pt>
                <c:pt idx="996">
                  <c:v>11.972067247469399</c:v>
                </c:pt>
                <c:pt idx="997">
                  <c:v>12.044614278772</c:v>
                </c:pt>
                <c:pt idx="998">
                  <c:v>12.117697737558737</c:v>
                </c:pt>
                <c:pt idx="999">
                  <c:v>12.191321590283376</c:v>
                </c:pt>
                <c:pt idx="1000">
                  <c:v>12.26548983272845</c:v>
                </c:pt>
              </c:numCache>
            </c:numRef>
          </c:xVal>
          <c:yVal>
            <c:numRef>
              <c:f>Production_Forecast!$M$12:$M$1012</c:f>
              <c:numCache>
                <c:formatCode>0</c:formatCode>
                <c:ptCount val="1001"/>
                <c:pt idx="0">
                  <c:v>731.73</c:v>
                </c:pt>
                <c:pt idx="1">
                  <c:v>732.05642436722292</c:v>
                </c:pt>
                <c:pt idx="2">
                  <c:v>732.38299435218403</c:v>
                </c:pt>
                <c:pt idx="3">
                  <c:v>732.70971001984333</c:v>
                </c:pt>
                <c:pt idx="4">
                  <c:v>733.03657143518956</c:v>
                </c:pt>
                <c:pt idx="5">
                  <c:v>733.36357866324101</c:v>
                </c:pt>
                <c:pt idx="6">
                  <c:v>733.69073176904431</c:v>
                </c:pt>
                <c:pt idx="7">
                  <c:v>734.01803081767582</c:v>
                </c:pt>
                <c:pt idx="8">
                  <c:v>734.34547587424026</c:v>
                </c:pt>
                <c:pt idx="9">
                  <c:v>734.67306700387167</c:v>
                </c:pt>
                <c:pt idx="10">
                  <c:v>735.00080427173361</c:v>
                </c:pt>
                <c:pt idx="11">
                  <c:v>735.32868774301778</c:v>
                </c:pt>
                <c:pt idx="12">
                  <c:v>735.65671748294551</c:v>
                </c:pt>
                <c:pt idx="13">
                  <c:v>735.98489355676759</c:v>
                </c:pt>
                <c:pt idx="14">
                  <c:v>736.313216029763</c:v>
                </c:pt>
                <c:pt idx="15">
                  <c:v>736.64168496724051</c:v>
                </c:pt>
                <c:pt idx="16">
                  <c:v>736.97030043453776</c:v>
                </c:pt>
                <c:pt idx="17">
                  <c:v>737.29906249702185</c:v>
                </c:pt>
                <c:pt idx="18">
                  <c:v>737.62797122008874</c:v>
                </c:pt>
                <c:pt idx="19">
                  <c:v>737.9570266691635</c:v>
                </c:pt>
                <c:pt idx="20">
                  <c:v>738.28622890970053</c:v>
                </c:pt>
                <c:pt idx="21">
                  <c:v>738.61557800718356</c:v>
                </c:pt>
                <c:pt idx="22">
                  <c:v>738.94507402712554</c:v>
                </c:pt>
                <c:pt idx="23">
                  <c:v>739.27471703506808</c:v>
                </c:pt>
                <c:pt idx="24">
                  <c:v>739.60450709658278</c:v>
                </c:pt>
                <c:pt idx="25">
                  <c:v>739.93444427726979</c:v>
                </c:pt>
                <c:pt idx="26">
                  <c:v>740.2645286427595</c:v>
                </c:pt>
                <c:pt idx="27">
                  <c:v>740.59476025871061</c:v>
                </c:pt>
                <c:pt idx="28">
                  <c:v>740.92513919081125</c:v>
                </c:pt>
                <c:pt idx="29">
                  <c:v>741.25566550477947</c:v>
                </c:pt>
                <c:pt idx="30">
                  <c:v>741.58633926636207</c:v>
                </c:pt>
                <c:pt idx="31">
                  <c:v>741.91716054133542</c:v>
                </c:pt>
                <c:pt idx="32">
                  <c:v>742.24812939550498</c:v>
                </c:pt>
                <c:pt idx="33">
                  <c:v>742.57924589470599</c:v>
                </c:pt>
                <c:pt idx="34">
                  <c:v>742.91051010480282</c:v>
                </c:pt>
                <c:pt idx="35">
                  <c:v>743.24192209168905</c:v>
                </c:pt>
                <c:pt idx="36">
                  <c:v>743.57348192128779</c:v>
                </c:pt>
                <c:pt idx="37">
                  <c:v>743.90518965955198</c:v>
                </c:pt>
                <c:pt idx="38">
                  <c:v>744.23704537246317</c:v>
                </c:pt>
                <c:pt idx="39">
                  <c:v>744.56904912603284</c:v>
                </c:pt>
                <c:pt idx="40">
                  <c:v>744.901200986302</c:v>
                </c:pt>
                <c:pt idx="41">
                  <c:v>745.23350101934102</c:v>
                </c:pt>
                <c:pt idx="42">
                  <c:v>745.56594929124958</c:v>
                </c:pt>
                <c:pt idx="43">
                  <c:v>745.8985458681567</c:v>
                </c:pt>
                <c:pt idx="44">
                  <c:v>746.23129081622176</c:v>
                </c:pt>
                <c:pt idx="45">
                  <c:v>746.56418420163266</c:v>
                </c:pt>
                <c:pt idx="46">
                  <c:v>746.89722609060721</c:v>
                </c:pt>
                <c:pt idx="47">
                  <c:v>747.23041654939277</c:v>
                </c:pt>
                <c:pt idx="48">
                  <c:v>747.56375564426651</c:v>
                </c:pt>
                <c:pt idx="49">
                  <c:v>747.89724344153467</c:v>
                </c:pt>
                <c:pt idx="50">
                  <c:v>748.23088000753307</c:v>
                </c:pt>
                <c:pt idx="51">
                  <c:v>748.564665408628</c:v>
                </c:pt>
                <c:pt idx="52">
                  <c:v>748.89859971121427</c:v>
                </c:pt>
                <c:pt idx="53">
                  <c:v>749.23268298171706</c:v>
                </c:pt>
                <c:pt idx="54">
                  <c:v>749.56691528659053</c:v>
                </c:pt>
                <c:pt idx="55">
                  <c:v>749.90129669231908</c:v>
                </c:pt>
                <c:pt idx="56">
                  <c:v>750.23582726541622</c:v>
                </c:pt>
                <c:pt idx="57">
                  <c:v>750.57050707242581</c:v>
                </c:pt>
                <c:pt idx="58">
                  <c:v>750.90533617992094</c:v>
                </c:pt>
                <c:pt idx="59">
                  <c:v>751.24031465450423</c:v>
                </c:pt>
                <c:pt idx="60">
                  <c:v>751.57544256280835</c:v>
                </c:pt>
                <c:pt idx="61">
                  <c:v>751.91071997149606</c:v>
                </c:pt>
                <c:pt idx="62">
                  <c:v>752.24614694725881</c:v>
                </c:pt>
                <c:pt idx="63">
                  <c:v>752.58172355681847</c:v>
                </c:pt>
                <c:pt idx="64">
                  <c:v>752.91744986692686</c:v>
                </c:pt>
                <c:pt idx="65">
                  <c:v>753.2533259443652</c:v>
                </c:pt>
                <c:pt idx="66">
                  <c:v>753.58935185594464</c:v>
                </c:pt>
                <c:pt idx="67">
                  <c:v>753.92552766850611</c:v>
                </c:pt>
                <c:pt idx="68">
                  <c:v>754.26185344892019</c:v>
                </c:pt>
                <c:pt idx="69">
                  <c:v>754.59832926408762</c:v>
                </c:pt>
                <c:pt idx="70">
                  <c:v>754.93495518093891</c:v>
                </c:pt>
                <c:pt idx="71">
                  <c:v>755.27173126643413</c:v>
                </c:pt>
                <c:pt idx="72">
                  <c:v>755.60865758756358</c:v>
                </c:pt>
                <c:pt idx="73">
                  <c:v>755.94573421134714</c:v>
                </c:pt>
                <c:pt idx="74">
                  <c:v>756.28296120483503</c:v>
                </c:pt>
                <c:pt idx="75">
                  <c:v>756.6203386351068</c:v>
                </c:pt>
                <c:pt idx="76">
                  <c:v>756.95786656927237</c:v>
                </c:pt>
                <c:pt idx="77">
                  <c:v>757.29554507447153</c:v>
                </c:pt>
                <c:pt idx="78">
                  <c:v>757.63337421787367</c:v>
                </c:pt>
                <c:pt idx="79">
                  <c:v>757.9713540666786</c:v>
                </c:pt>
                <c:pt idx="80">
                  <c:v>758.30948468811607</c:v>
                </c:pt>
                <c:pt idx="81">
                  <c:v>758.64776614944526</c:v>
                </c:pt>
                <c:pt idx="82">
                  <c:v>758.98619851795627</c:v>
                </c:pt>
                <c:pt idx="83">
                  <c:v>759.3247818609683</c:v>
                </c:pt>
                <c:pt idx="84">
                  <c:v>759.66351624583103</c:v>
                </c:pt>
                <c:pt idx="85">
                  <c:v>760.00240173992449</c:v>
                </c:pt>
                <c:pt idx="86">
                  <c:v>760.34143841065804</c:v>
                </c:pt>
                <c:pt idx="87">
                  <c:v>760.68062632547174</c:v>
                </c:pt>
                <c:pt idx="88">
                  <c:v>761.01996555183541</c:v>
                </c:pt>
                <c:pt idx="89">
                  <c:v>761.35945615724881</c:v>
                </c:pt>
                <c:pt idx="90">
                  <c:v>761.69909820924261</c:v>
                </c:pt>
                <c:pt idx="91">
                  <c:v>762.03889177537678</c:v>
                </c:pt>
                <c:pt idx="92">
                  <c:v>762.37883692324147</c:v>
                </c:pt>
                <c:pt idx="93">
                  <c:v>762.71893372045736</c:v>
                </c:pt>
                <c:pt idx="94">
                  <c:v>763.0591822346754</c:v>
                </c:pt>
                <c:pt idx="95">
                  <c:v>763.39958253357599</c:v>
                </c:pt>
                <c:pt idx="96">
                  <c:v>763.74013468487067</c:v>
                </c:pt>
                <c:pt idx="97">
                  <c:v>764.08083875630041</c:v>
                </c:pt>
                <c:pt idx="98">
                  <c:v>764.42169481563678</c:v>
                </c:pt>
                <c:pt idx="99">
                  <c:v>764.7627029306816</c:v>
                </c:pt>
                <c:pt idx="100">
                  <c:v>765.10386316926667</c:v>
                </c:pt>
                <c:pt idx="101">
                  <c:v>765.4451755992543</c:v>
                </c:pt>
                <c:pt idx="102">
                  <c:v>765.78664028853711</c:v>
                </c:pt>
                <c:pt idx="103">
                  <c:v>766.12825730503778</c:v>
                </c:pt>
                <c:pt idx="104">
                  <c:v>766.4700267167093</c:v>
                </c:pt>
                <c:pt idx="105">
                  <c:v>766.81194859153527</c:v>
                </c:pt>
                <c:pt idx="106">
                  <c:v>767.15402299752918</c:v>
                </c:pt>
                <c:pt idx="107">
                  <c:v>767.49625000273545</c:v>
                </c:pt>
                <c:pt idx="108">
                  <c:v>767.83862967522816</c:v>
                </c:pt>
                <c:pt idx="109">
                  <c:v>768.18116208311233</c:v>
                </c:pt>
                <c:pt idx="110">
                  <c:v>768.52384729452319</c:v>
                </c:pt>
                <c:pt idx="111">
                  <c:v>768.86668537762614</c:v>
                </c:pt>
                <c:pt idx="112">
                  <c:v>769.20967640061701</c:v>
                </c:pt>
                <c:pt idx="113">
                  <c:v>769.55282043172258</c:v>
                </c:pt>
                <c:pt idx="114">
                  <c:v>769.89611753919951</c:v>
                </c:pt>
                <c:pt idx="115">
                  <c:v>770.23956779133505</c:v>
                </c:pt>
                <c:pt idx="116">
                  <c:v>770.58317125644703</c:v>
                </c:pt>
                <c:pt idx="117">
                  <c:v>770.92692800288364</c:v>
                </c:pt>
                <c:pt idx="118">
                  <c:v>771.27083809902354</c:v>
                </c:pt>
                <c:pt idx="119">
                  <c:v>771.61490161327606</c:v>
                </c:pt>
                <c:pt idx="120">
                  <c:v>771.95911861408081</c:v>
                </c:pt>
                <c:pt idx="121">
                  <c:v>772.3034891699084</c:v>
                </c:pt>
                <c:pt idx="122">
                  <c:v>772.64801334925926</c:v>
                </c:pt>
                <c:pt idx="123">
                  <c:v>772.99269122066471</c:v>
                </c:pt>
                <c:pt idx="124">
                  <c:v>773.33752285268713</c:v>
                </c:pt>
                <c:pt idx="125">
                  <c:v>773.68250831391856</c:v>
                </c:pt>
                <c:pt idx="126">
                  <c:v>774.02764767298265</c:v>
                </c:pt>
                <c:pt idx="127">
                  <c:v>774.37294099853261</c:v>
                </c:pt>
                <c:pt idx="128">
                  <c:v>774.71838835925314</c:v>
                </c:pt>
                <c:pt idx="129">
                  <c:v>775.06398982385917</c:v>
                </c:pt>
                <c:pt idx="130">
                  <c:v>775.40974546109635</c:v>
                </c:pt>
                <c:pt idx="131">
                  <c:v>775.755655339741</c:v>
                </c:pt>
                <c:pt idx="132">
                  <c:v>776.10171952860026</c:v>
                </c:pt>
                <c:pt idx="133">
                  <c:v>776.44793809651151</c:v>
                </c:pt>
                <c:pt idx="134">
                  <c:v>776.79431111234351</c:v>
                </c:pt>
                <c:pt idx="135">
                  <c:v>777.14083864499537</c:v>
                </c:pt>
                <c:pt idx="136">
                  <c:v>777.48752076339667</c:v>
                </c:pt>
                <c:pt idx="137">
                  <c:v>777.83435753650815</c:v>
                </c:pt>
                <c:pt idx="138">
                  <c:v>778.18134903332145</c:v>
                </c:pt>
                <c:pt idx="139">
                  <c:v>778.52849532285848</c:v>
                </c:pt>
                <c:pt idx="140">
                  <c:v>778.87579647417215</c:v>
                </c:pt>
                <c:pt idx="141">
                  <c:v>779.22325255634655</c:v>
                </c:pt>
                <c:pt idx="142">
                  <c:v>779.57086363849578</c:v>
                </c:pt>
                <c:pt idx="143">
                  <c:v>779.91862978976565</c:v>
                </c:pt>
                <c:pt idx="144">
                  <c:v>780.2665510793322</c:v>
                </c:pt>
                <c:pt idx="145">
                  <c:v>780.61462757640254</c:v>
                </c:pt>
                <c:pt idx="146">
                  <c:v>780.96285935021479</c:v>
                </c:pt>
                <c:pt idx="147">
                  <c:v>781.31124647003776</c:v>
                </c:pt>
                <c:pt idx="148">
                  <c:v>781.65978900517121</c:v>
                </c:pt>
                <c:pt idx="149">
                  <c:v>782.00848702494579</c:v>
                </c:pt>
                <c:pt idx="150">
                  <c:v>782.35734059872311</c:v>
                </c:pt>
                <c:pt idx="151">
                  <c:v>782.7063497958959</c:v>
                </c:pt>
                <c:pt idx="152">
                  <c:v>783.05551468588726</c:v>
                </c:pt>
                <c:pt idx="153">
                  <c:v>783.40483533815234</c:v>
                </c:pt>
                <c:pt idx="154">
                  <c:v>783.75431182217608</c:v>
                </c:pt>
                <c:pt idx="155">
                  <c:v>784.10394420747502</c:v>
                </c:pt>
                <c:pt idx="156">
                  <c:v>784.45373256359676</c:v>
                </c:pt>
                <c:pt idx="157">
                  <c:v>784.80367696011967</c:v>
                </c:pt>
                <c:pt idx="158">
                  <c:v>785.15377746665354</c:v>
                </c:pt>
                <c:pt idx="159">
                  <c:v>785.5040341528387</c:v>
                </c:pt>
                <c:pt idx="160">
                  <c:v>785.854447088347</c:v>
                </c:pt>
                <c:pt idx="161">
                  <c:v>786.20501634288087</c:v>
                </c:pt>
                <c:pt idx="162">
                  <c:v>786.55574198617467</c:v>
                </c:pt>
                <c:pt idx="163">
                  <c:v>786.90662408799267</c:v>
                </c:pt>
                <c:pt idx="164">
                  <c:v>787.25766271813166</c:v>
                </c:pt>
                <c:pt idx="165">
                  <c:v>787.6088579464182</c:v>
                </c:pt>
                <c:pt idx="166">
                  <c:v>787.96020984271104</c:v>
                </c:pt>
                <c:pt idx="167">
                  <c:v>788.31171847689973</c:v>
                </c:pt>
                <c:pt idx="168">
                  <c:v>788.66338391890451</c:v>
                </c:pt>
                <c:pt idx="169">
                  <c:v>789.01520623867782</c:v>
                </c:pt>
                <c:pt idx="170">
                  <c:v>789.36718550620242</c:v>
                </c:pt>
                <c:pt idx="171">
                  <c:v>789.71932179149258</c:v>
                </c:pt>
                <c:pt idx="172">
                  <c:v>790.07161516459428</c:v>
                </c:pt>
                <c:pt idx="173">
                  <c:v>790.42406569558364</c:v>
                </c:pt>
                <c:pt idx="174">
                  <c:v>790.77667345456928</c:v>
                </c:pt>
                <c:pt idx="175">
                  <c:v>791.12943851169007</c:v>
                </c:pt>
                <c:pt idx="176">
                  <c:v>791.48236093711694</c:v>
                </c:pt>
                <c:pt idx="177">
                  <c:v>791.83544080105196</c:v>
                </c:pt>
                <c:pt idx="178">
                  <c:v>792.18867817372779</c:v>
                </c:pt>
                <c:pt idx="179">
                  <c:v>792.54207312540962</c:v>
                </c:pt>
                <c:pt idx="180">
                  <c:v>792.89562572639295</c:v>
                </c:pt>
                <c:pt idx="181">
                  <c:v>793.24933604700516</c:v>
                </c:pt>
                <c:pt idx="182">
                  <c:v>793.60320415760509</c:v>
                </c:pt>
                <c:pt idx="183">
                  <c:v>793.9572301285823</c:v>
                </c:pt>
                <c:pt idx="184">
                  <c:v>794.31141403035883</c:v>
                </c:pt>
                <c:pt idx="185">
                  <c:v>794.665755933387</c:v>
                </c:pt>
                <c:pt idx="186">
                  <c:v>795.0202559081514</c:v>
                </c:pt>
                <c:pt idx="187">
                  <c:v>795.37491402516753</c:v>
                </c:pt>
                <c:pt idx="188">
                  <c:v>795.72973035498285</c:v>
                </c:pt>
                <c:pt idx="189">
                  <c:v>796.08470496817574</c:v>
                </c:pt>
                <c:pt idx="190">
                  <c:v>796.43983793535631</c:v>
                </c:pt>
                <c:pt idx="191">
                  <c:v>796.79512932716659</c:v>
                </c:pt>
                <c:pt idx="192">
                  <c:v>797.15057921427922</c:v>
                </c:pt>
                <c:pt idx="193">
                  <c:v>797.5061876673991</c:v>
                </c:pt>
                <c:pt idx="194">
                  <c:v>797.86195475726254</c:v>
                </c:pt>
                <c:pt idx="195">
                  <c:v>798.21788055463719</c:v>
                </c:pt>
                <c:pt idx="196">
                  <c:v>798.57396513032222</c:v>
                </c:pt>
                <c:pt idx="197">
                  <c:v>798.93020855514885</c:v>
                </c:pt>
                <c:pt idx="198">
                  <c:v>799.28661089997968</c:v>
                </c:pt>
                <c:pt idx="199">
                  <c:v>799.64317223570833</c:v>
                </c:pt>
                <c:pt idx="200">
                  <c:v>799.99989263326097</c:v>
                </c:pt>
                <c:pt idx="201">
                  <c:v>800.356772163595</c:v>
                </c:pt>
                <c:pt idx="202">
                  <c:v>800.7138108976992</c:v>
                </c:pt>
                <c:pt idx="203">
                  <c:v>801.07100890659467</c:v>
                </c:pt>
                <c:pt idx="204">
                  <c:v>801.42836626133339</c:v>
                </c:pt>
                <c:pt idx="205">
                  <c:v>801.78588303299978</c:v>
                </c:pt>
                <c:pt idx="206">
                  <c:v>802.14355929270937</c:v>
                </c:pt>
                <c:pt idx="207">
                  <c:v>802.5013951116099</c:v>
                </c:pt>
                <c:pt idx="208">
                  <c:v>802.85939056088068</c:v>
                </c:pt>
                <c:pt idx="209">
                  <c:v>803.21754571173267</c:v>
                </c:pt>
                <c:pt idx="210">
                  <c:v>803.57586063540839</c:v>
                </c:pt>
                <c:pt idx="211">
                  <c:v>803.9343354031829</c:v>
                </c:pt>
                <c:pt idx="212">
                  <c:v>804.29297008636217</c:v>
                </c:pt>
                <c:pt idx="213">
                  <c:v>804.65176475628459</c:v>
                </c:pt>
                <c:pt idx="214">
                  <c:v>805.01071948432013</c:v>
                </c:pt>
                <c:pt idx="215">
                  <c:v>805.36983434187061</c:v>
                </c:pt>
                <c:pt idx="216">
                  <c:v>805.72910940036968</c:v>
                </c:pt>
                <c:pt idx="217">
                  <c:v>806.08854473128292</c:v>
                </c:pt>
                <c:pt idx="218">
                  <c:v>806.44814040610777</c:v>
                </c:pt>
                <c:pt idx="219">
                  <c:v>806.80789649637347</c:v>
                </c:pt>
                <c:pt idx="220">
                  <c:v>807.16781307364158</c:v>
                </c:pt>
                <c:pt idx="221">
                  <c:v>807.52789020950502</c:v>
                </c:pt>
                <c:pt idx="222">
                  <c:v>807.88812797558876</c:v>
                </c:pt>
                <c:pt idx="223">
                  <c:v>808.24852644355019</c:v>
                </c:pt>
                <c:pt idx="224">
                  <c:v>808.60908568507807</c:v>
                </c:pt>
                <c:pt idx="225">
                  <c:v>808.96980577189368</c:v>
                </c:pt>
                <c:pt idx="226">
                  <c:v>809.33068677574954</c:v>
                </c:pt>
                <c:pt idx="227">
                  <c:v>809.69172876843129</c:v>
                </c:pt>
                <c:pt idx="228">
                  <c:v>810.05293182175546</c:v>
                </c:pt>
                <c:pt idx="229">
                  <c:v>810.41429600757135</c:v>
                </c:pt>
                <c:pt idx="230">
                  <c:v>810.77582139775996</c:v>
                </c:pt>
                <c:pt idx="231">
                  <c:v>811.13750806423457</c:v>
                </c:pt>
                <c:pt idx="232">
                  <c:v>811.49935607894042</c:v>
                </c:pt>
                <c:pt idx="233">
                  <c:v>811.86136551385482</c:v>
                </c:pt>
                <c:pt idx="234">
                  <c:v>812.22353644098735</c:v>
                </c:pt>
                <c:pt idx="235">
                  <c:v>812.58586893237941</c:v>
                </c:pt>
                <c:pt idx="236">
                  <c:v>812.94836306010484</c:v>
                </c:pt>
                <c:pt idx="237">
                  <c:v>813.31101889626962</c:v>
                </c:pt>
                <c:pt idx="238">
                  <c:v>813.67383651301168</c:v>
                </c:pt>
                <c:pt idx="239">
                  <c:v>814.03681598250137</c:v>
                </c:pt>
                <c:pt idx="240">
                  <c:v>814.39995737694096</c:v>
                </c:pt>
                <c:pt idx="241">
                  <c:v>814.76326076856515</c:v>
                </c:pt>
                <c:pt idx="242">
                  <c:v>815.12672622964089</c:v>
                </c:pt>
                <c:pt idx="243">
                  <c:v>815.49035383246712</c:v>
                </c:pt>
                <c:pt idx="244">
                  <c:v>815.85414364937526</c:v>
                </c:pt>
                <c:pt idx="245">
                  <c:v>816.21809575272891</c:v>
                </c:pt>
                <c:pt idx="246">
                  <c:v>816.58221021492398</c:v>
                </c:pt>
                <c:pt idx="247">
                  <c:v>816.94648710838885</c:v>
                </c:pt>
                <c:pt idx="248">
                  <c:v>817.31092650558367</c:v>
                </c:pt>
                <c:pt idx="249">
                  <c:v>817.67552847900151</c:v>
                </c:pt>
                <c:pt idx="250">
                  <c:v>818.04029310116732</c:v>
                </c:pt>
                <c:pt idx="251">
                  <c:v>818.40522044463887</c:v>
                </c:pt>
                <c:pt idx="252">
                  <c:v>818.770310582006</c:v>
                </c:pt>
                <c:pt idx="253">
                  <c:v>819.13556358589085</c:v>
                </c:pt>
                <c:pt idx="254">
                  <c:v>819.50097952894828</c:v>
                </c:pt>
                <c:pt idx="255">
                  <c:v>819.86655848386522</c:v>
                </c:pt>
                <c:pt idx="256">
                  <c:v>820.232300523361</c:v>
                </c:pt>
                <c:pt idx="257">
                  <c:v>820.59820572018805</c:v>
                </c:pt>
                <c:pt idx="258">
                  <c:v>820.96427414713037</c:v>
                </c:pt>
                <c:pt idx="259">
                  <c:v>821.33050587700507</c:v>
                </c:pt>
                <c:pt idx="260">
                  <c:v>821.69690098266119</c:v>
                </c:pt>
                <c:pt idx="261">
                  <c:v>822.06345953698087</c:v>
                </c:pt>
                <c:pt idx="262">
                  <c:v>822.43018161287853</c:v>
                </c:pt>
                <c:pt idx="263">
                  <c:v>822.79706728330075</c:v>
                </c:pt>
                <c:pt idx="264">
                  <c:v>823.16411662122698</c:v>
                </c:pt>
                <c:pt idx="265">
                  <c:v>823.53132969966964</c:v>
                </c:pt>
                <c:pt idx="266">
                  <c:v>823.89870659167286</c:v>
                </c:pt>
                <c:pt idx="267">
                  <c:v>824.26624737031386</c:v>
                </c:pt>
                <c:pt idx="268">
                  <c:v>824.6339521087026</c:v>
                </c:pt>
                <c:pt idx="269">
                  <c:v>825.00182087998098</c:v>
                </c:pt>
                <c:pt idx="270">
                  <c:v>825.36985375732456</c:v>
                </c:pt>
                <c:pt idx="271">
                  <c:v>825.7380508139405</c:v>
                </c:pt>
                <c:pt idx="272">
                  <c:v>826.10641212306962</c:v>
                </c:pt>
                <c:pt idx="273">
                  <c:v>826.47493775798421</c:v>
                </c:pt>
                <c:pt idx="274">
                  <c:v>826.84362779199023</c:v>
                </c:pt>
                <c:pt idx="275">
                  <c:v>827.21248229842615</c:v>
                </c:pt>
                <c:pt idx="276">
                  <c:v>827.58150135066296</c:v>
                </c:pt>
                <c:pt idx="277">
                  <c:v>827.95068502210438</c:v>
                </c:pt>
                <c:pt idx="278">
                  <c:v>828.32003338618699</c:v>
                </c:pt>
                <c:pt idx="279">
                  <c:v>828.68954651638012</c:v>
                </c:pt>
                <c:pt idx="280">
                  <c:v>829.05922448618571</c:v>
                </c:pt>
                <c:pt idx="281">
                  <c:v>829.42906736913881</c:v>
                </c:pt>
                <c:pt idx="282">
                  <c:v>829.79907523880718</c:v>
                </c:pt>
                <c:pt idx="283">
                  <c:v>830.16924816879089</c:v>
                </c:pt>
                <c:pt idx="284">
                  <c:v>830.53958623272354</c:v>
                </c:pt>
                <c:pt idx="285">
                  <c:v>830.91008950427135</c:v>
                </c:pt>
                <c:pt idx="286">
                  <c:v>831.2807580571332</c:v>
                </c:pt>
                <c:pt idx="287">
                  <c:v>831.65159196504101</c:v>
                </c:pt>
                <c:pt idx="288">
                  <c:v>832.0225913017598</c:v>
                </c:pt>
                <c:pt idx="289">
                  <c:v>832.3937561410869</c:v>
                </c:pt>
                <c:pt idx="290">
                  <c:v>832.76508655685336</c:v>
                </c:pt>
                <c:pt idx="291">
                  <c:v>833.13658262292233</c:v>
                </c:pt>
                <c:pt idx="292">
                  <c:v>833.50824441319071</c:v>
                </c:pt>
                <c:pt idx="293">
                  <c:v>833.88007200158768</c:v>
                </c:pt>
                <c:pt idx="294">
                  <c:v>834.25206546207573</c:v>
                </c:pt>
                <c:pt idx="295">
                  <c:v>834.62422486865046</c:v>
                </c:pt>
                <c:pt idx="296">
                  <c:v>834.99655029534028</c:v>
                </c:pt>
                <c:pt idx="297">
                  <c:v>835.36904181620662</c:v>
                </c:pt>
                <c:pt idx="298">
                  <c:v>835.74169950534406</c:v>
                </c:pt>
                <c:pt idx="299">
                  <c:v>836.11452343687995</c:v>
                </c:pt>
                <c:pt idx="300">
                  <c:v>836.4875136849754</c:v>
                </c:pt>
                <c:pt idx="301">
                  <c:v>836.8606703238238</c:v>
                </c:pt>
                <c:pt idx="302">
                  <c:v>837.23399342765208</c:v>
                </c:pt>
                <c:pt idx="303">
                  <c:v>837.60748307072004</c:v>
                </c:pt>
                <c:pt idx="304">
                  <c:v>837.98113932732099</c:v>
                </c:pt>
                <c:pt idx="305">
                  <c:v>838.35496227178112</c:v>
                </c:pt>
                <c:pt idx="306">
                  <c:v>838.72895197845946</c:v>
                </c:pt>
                <c:pt idx="307">
                  <c:v>839.10310852174882</c:v>
                </c:pt>
                <c:pt idx="308">
                  <c:v>839.47743197607497</c:v>
                </c:pt>
                <c:pt idx="309">
                  <c:v>839.85192241589675</c:v>
                </c:pt>
                <c:pt idx="310">
                  <c:v>840.22657991570622</c:v>
                </c:pt>
                <c:pt idx="311">
                  <c:v>840.60140455002886</c:v>
                </c:pt>
                <c:pt idx="312">
                  <c:v>840.97639639342333</c:v>
                </c:pt>
                <c:pt idx="313">
                  <c:v>841.35155552048127</c:v>
                </c:pt>
                <c:pt idx="314">
                  <c:v>841.72688200582809</c:v>
                </c:pt>
                <c:pt idx="315">
                  <c:v>842.10237592412216</c:v>
                </c:pt>
                <c:pt idx="316">
                  <c:v>842.47803735005527</c:v>
                </c:pt>
                <c:pt idx="317">
                  <c:v>842.85386635835232</c:v>
                </c:pt>
                <c:pt idx="318">
                  <c:v>843.22986302377205</c:v>
                </c:pt>
                <c:pt idx="319">
                  <c:v>843.60602742110575</c:v>
                </c:pt>
                <c:pt idx="320">
                  <c:v>843.9823596251789</c:v>
                </c:pt>
                <c:pt idx="321">
                  <c:v>844.35885971084974</c:v>
                </c:pt>
                <c:pt idx="322">
                  <c:v>844.7355277530105</c:v>
                </c:pt>
                <c:pt idx="323">
                  <c:v>845.11236382658615</c:v>
                </c:pt>
                <c:pt idx="324">
                  <c:v>845.48936800653576</c:v>
                </c:pt>
                <c:pt idx="325">
                  <c:v>845.86654036785092</c:v>
                </c:pt>
                <c:pt idx="326">
                  <c:v>846.24388098555789</c:v>
                </c:pt>
                <c:pt idx="327">
                  <c:v>846.62138993471547</c:v>
                </c:pt>
                <c:pt idx="328">
                  <c:v>846.99906729041618</c:v>
                </c:pt>
                <c:pt idx="329">
                  <c:v>847.37691312778611</c:v>
                </c:pt>
                <c:pt idx="330">
                  <c:v>847.75492752198488</c:v>
                </c:pt>
                <c:pt idx="331">
                  <c:v>848.13311054820565</c:v>
                </c:pt>
                <c:pt idx="332">
                  <c:v>848.51146228167511</c:v>
                </c:pt>
                <c:pt idx="333">
                  <c:v>848.88998279765337</c:v>
                </c:pt>
                <c:pt idx="334">
                  <c:v>849.2686721714341</c:v>
                </c:pt>
                <c:pt idx="335">
                  <c:v>849.64753047834483</c:v>
                </c:pt>
                <c:pt idx="336">
                  <c:v>850.02655779374686</c:v>
                </c:pt>
                <c:pt idx="337">
                  <c:v>850.40575419303411</c:v>
                </c:pt>
                <c:pt idx="338">
                  <c:v>850.78511975163531</c:v>
                </c:pt>
                <c:pt idx="339">
                  <c:v>851.16465454501213</c:v>
                </c:pt>
                <c:pt idx="340">
                  <c:v>851.54435864866014</c:v>
                </c:pt>
                <c:pt idx="341">
                  <c:v>851.92423213810878</c:v>
                </c:pt>
                <c:pt idx="342">
                  <c:v>852.30427508892069</c:v>
                </c:pt>
                <c:pt idx="343">
                  <c:v>852.68448757669262</c:v>
                </c:pt>
                <c:pt idx="344">
                  <c:v>853.06486967705484</c:v>
                </c:pt>
                <c:pt idx="345">
                  <c:v>853.44542146567164</c:v>
                </c:pt>
                <c:pt idx="346">
                  <c:v>853.82614301824049</c:v>
                </c:pt>
                <c:pt idx="347">
                  <c:v>854.20703441049341</c:v>
                </c:pt>
                <c:pt idx="348">
                  <c:v>854.5880957181954</c:v>
                </c:pt>
                <c:pt idx="349">
                  <c:v>854.96932701714593</c:v>
                </c:pt>
                <c:pt idx="350">
                  <c:v>855.35072838317808</c:v>
                </c:pt>
                <c:pt idx="351">
                  <c:v>855.73229989215827</c:v>
                </c:pt>
                <c:pt idx="352">
                  <c:v>856.11404161998769</c:v>
                </c:pt>
                <c:pt idx="353">
                  <c:v>856.49595364260051</c:v>
                </c:pt>
                <c:pt idx="354">
                  <c:v>856.87803603596535</c:v>
                </c:pt>
                <c:pt idx="355">
                  <c:v>857.26028887608436</c:v>
                </c:pt>
                <c:pt idx="356">
                  <c:v>857.64271223899391</c:v>
                </c:pt>
                <c:pt idx="357">
                  <c:v>858.02530620076402</c:v>
                </c:pt>
                <c:pt idx="358">
                  <c:v>858.40807083749871</c:v>
                </c:pt>
                <c:pt idx="359">
                  <c:v>858.7910062253361</c:v>
                </c:pt>
                <c:pt idx="360">
                  <c:v>859.17411244044808</c:v>
                </c:pt>
                <c:pt idx="361">
                  <c:v>859.55738955904053</c:v>
                </c:pt>
                <c:pt idx="362">
                  <c:v>859.94083765735365</c:v>
                </c:pt>
                <c:pt idx="363">
                  <c:v>860.32445681166121</c:v>
                </c:pt>
                <c:pt idx="364">
                  <c:v>860.70824709827127</c:v>
                </c:pt>
                <c:pt idx="365">
                  <c:v>861.09220859352581</c:v>
                </c:pt>
                <c:pt idx="366">
                  <c:v>861.47634137380112</c:v>
                </c:pt>
                <c:pt idx="367">
                  <c:v>861.86064551550703</c:v>
                </c:pt>
                <c:pt idx="368">
                  <c:v>862.24512109508805</c:v>
                </c:pt>
                <c:pt idx="369">
                  <c:v>862.62976818902246</c:v>
                </c:pt>
                <c:pt idx="370">
                  <c:v>863.01458687382251</c:v>
                </c:pt>
                <c:pt idx="371">
                  <c:v>863.39957722603515</c:v>
                </c:pt>
                <c:pt idx="372">
                  <c:v>863.78473932224085</c:v>
                </c:pt>
                <c:pt idx="373">
                  <c:v>864.17007323905455</c:v>
                </c:pt>
                <c:pt idx="374">
                  <c:v>864.55557905312526</c:v>
                </c:pt>
                <c:pt idx="375">
                  <c:v>864.94125684113681</c:v>
                </c:pt>
                <c:pt idx="376">
                  <c:v>865.32710667980609</c:v>
                </c:pt>
                <c:pt idx="377">
                  <c:v>865.71312864588481</c:v>
                </c:pt>
                <c:pt idx="378">
                  <c:v>866.09932281615909</c:v>
                </c:pt>
                <c:pt idx="379">
                  <c:v>866.48568926744917</c:v>
                </c:pt>
                <c:pt idx="380">
                  <c:v>866.87222807660953</c:v>
                </c:pt>
                <c:pt idx="381">
                  <c:v>867.25893932052884</c:v>
                </c:pt>
                <c:pt idx="382">
                  <c:v>867.64582307613023</c:v>
                </c:pt>
                <c:pt idx="383">
                  <c:v>868.03287942037093</c:v>
                </c:pt>
                <c:pt idx="384">
                  <c:v>868.42010843024275</c:v>
                </c:pt>
                <c:pt idx="385">
                  <c:v>868.80751018277181</c:v>
                </c:pt>
                <c:pt idx="386">
                  <c:v>869.19508475501823</c:v>
                </c:pt>
                <c:pt idx="387">
                  <c:v>869.58283222407726</c:v>
                </c:pt>
                <c:pt idx="388">
                  <c:v>869.97075266707782</c:v>
                </c:pt>
                <c:pt idx="389">
                  <c:v>870.35884616118335</c:v>
                </c:pt>
                <c:pt idx="390">
                  <c:v>870.74711278359189</c:v>
                </c:pt>
                <c:pt idx="391">
                  <c:v>871.13555261153613</c:v>
                </c:pt>
                <c:pt idx="392">
                  <c:v>871.52416572228287</c:v>
                </c:pt>
                <c:pt idx="393">
                  <c:v>871.91295219313326</c:v>
                </c:pt>
                <c:pt idx="394">
                  <c:v>872.30191210142345</c:v>
                </c:pt>
                <c:pt idx="395">
                  <c:v>872.6910455245237</c:v>
                </c:pt>
                <c:pt idx="396">
                  <c:v>873.0803525398386</c:v>
                </c:pt>
                <c:pt idx="397">
                  <c:v>873.46983322480799</c:v>
                </c:pt>
                <c:pt idx="398">
                  <c:v>873.85948765690557</c:v>
                </c:pt>
                <c:pt idx="399">
                  <c:v>874.24931591363986</c:v>
                </c:pt>
                <c:pt idx="400">
                  <c:v>874.63931807255415</c:v>
                </c:pt>
                <c:pt idx="401">
                  <c:v>875.02949421122571</c:v>
                </c:pt>
                <c:pt idx="402">
                  <c:v>875.41984440726696</c:v>
                </c:pt>
                <c:pt idx="403">
                  <c:v>875.81036873832511</c:v>
                </c:pt>
                <c:pt idx="404">
                  <c:v>876.20106728208123</c:v>
                </c:pt>
                <c:pt idx="405">
                  <c:v>876.59194011625175</c:v>
                </c:pt>
                <c:pt idx="406">
                  <c:v>876.98298731858767</c:v>
                </c:pt>
                <c:pt idx="407">
                  <c:v>877.37420896687445</c:v>
                </c:pt>
                <c:pt idx="408">
                  <c:v>877.76560513893196</c:v>
                </c:pt>
                <c:pt idx="409">
                  <c:v>878.15717591261568</c:v>
                </c:pt>
                <c:pt idx="410">
                  <c:v>878.54892136581509</c:v>
                </c:pt>
                <c:pt idx="411">
                  <c:v>878.94084157645466</c:v>
                </c:pt>
                <c:pt idx="412">
                  <c:v>879.33293662249343</c:v>
                </c:pt>
                <c:pt idx="413">
                  <c:v>879.72520658192582</c:v>
                </c:pt>
                <c:pt idx="414">
                  <c:v>880.11765153277997</c:v>
                </c:pt>
                <c:pt idx="415">
                  <c:v>880.51027155311988</c:v>
                </c:pt>
                <c:pt idx="416">
                  <c:v>880.90306672104407</c:v>
                </c:pt>
                <c:pt idx="417">
                  <c:v>881.29603711468542</c:v>
                </c:pt>
                <c:pt idx="418">
                  <c:v>881.68918281221215</c:v>
                </c:pt>
                <c:pt idx="419">
                  <c:v>882.08250389182729</c:v>
                </c:pt>
                <c:pt idx="420">
                  <c:v>882.47600043176885</c:v>
                </c:pt>
                <c:pt idx="421">
                  <c:v>882.86967251030921</c:v>
                </c:pt>
                <c:pt idx="422">
                  <c:v>883.26352020575644</c:v>
                </c:pt>
                <c:pt idx="423">
                  <c:v>883.6575435964528</c:v>
                </c:pt>
                <c:pt idx="424">
                  <c:v>884.05174276077616</c:v>
                </c:pt>
                <c:pt idx="425">
                  <c:v>884.44611777713874</c:v>
                </c:pt>
                <c:pt idx="426">
                  <c:v>884.8406687239883</c:v>
                </c:pt>
                <c:pt idx="427">
                  <c:v>885.23539567980731</c:v>
                </c:pt>
                <c:pt idx="428">
                  <c:v>885.63029872311301</c:v>
                </c:pt>
                <c:pt idx="429">
                  <c:v>886.02537793245824</c:v>
                </c:pt>
                <c:pt idx="430">
                  <c:v>886.42063338643061</c:v>
                </c:pt>
                <c:pt idx="431">
                  <c:v>886.81606516365241</c:v>
                </c:pt>
                <c:pt idx="432">
                  <c:v>887.21167334278164</c:v>
                </c:pt>
                <c:pt idx="433">
                  <c:v>887.60745800251084</c:v>
                </c:pt>
                <c:pt idx="434">
                  <c:v>888.00341922156838</c:v>
                </c:pt>
                <c:pt idx="435">
                  <c:v>888.39955707871673</c:v>
                </c:pt>
                <c:pt idx="436">
                  <c:v>888.79587165275439</c:v>
                </c:pt>
                <c:pt idx="437">
                  <c:v>889.19236302251466</c:v>
                </c:pt>
                <c:pt idx="438">
                  <c:v>889.58903126686596</c:v>
                </c:pt>
                <c:pt idx="439">
                  <c:v>889.98587646471185</c:v>
                </c:pt>
                <c:pt idx="440">
                  <c:v>890.38289869499124</c:v>
                </c:pt>
                <c:pt idx="441">
                  <c:v>890.7800980366784</c:v>
                </c:pt>
                <c:pt idx="442">
                  <c:v>891.17747456878226</c:v>
                </c:pt>
                <c:pt idx="443">
                  <c:v>891.57502837034781</c:v>
                </c:pt>
                <c:pt idx="444">
                  <c:v>891.97275952045447</c:v>
                </c:pt>
                <c:pt idx="445">
                  <c:v>892.37066809821761</c:v>
                </c:pt>
                <c:pt idx="446">
                  <c:v>892.76875418278746</c:v>
                </c:pt>
                <c:pt idx="447">
                  <c:v>893.16701785334976</c:v>
                </c:pt>
                <c:pt idx="448">
                  <c:v>893.56545918912559</c:v>
                </c:pt>
                <c:pt idx="449">
                  <c:v>893.96407826937104</c:v>
                </c:pt>
                <c:pt idx="450">
                  <c:v>894.36287517337826</c:v>
                </c:pt>
                <c:pt idx="451">
                  <c:v>894.76184998047404</c:v>
                </c:pt>
                <c:pt idx="452">
                  <c:v>895.16100277002101</c:v>
                </c:pt>
                <c:pt idx="453">
                  <c:v>895.56033362141682</c:v>
                </c:pt>
                <c:pt idx="454">
                  <c:v>895.95984261409501</c:v>
                </c:pt>
                <c:pt idx="455">
                  <c:v>896.35952982752406</c:v>
                </c:pt>
                <c:pt idx="456">
                  <c:v>896.75939534120846</c:v>
                </c:pt>
                <c:pt idx="457">
                  <c:v>897.15943923468751</c:v>
                </c:pt>
                <c:pt idx="458">
                  <c:v>897.55966158753677</c:v>
                </c:pt>
                <c:pt idx="459">
                  <c:v>897.96006247936657</c:v>
                </c:pt>
                <c:pt idx="460">
                  <c:v>898.36064198982297</c:v>
                </c:pt>
                <c:pt idx="461">
                  <c:v>898.76140019858769</c:v>
                </c:pt>
                <c:pt idx="462">
                  <c:v>899.16233718537842</c:v>
                </c:pt>
                <c:pt idx="463">
                  <c:v>899.5634530299476</c:v>
                </c:pt>
                <c:pt idx="464">
                  <c:v>899.96474781208315</c:v>
                </c:pt>
                <c:pt idx="465">
                  <c:v>900.36622161160972</c:v>
                </c:pt>
                <c:pt idx="466">
                  <c:v>900.76787450838663</c:v>
                </c:pt>
                <c:pt idx="467">
                  <c:v>901.16970658230889</c:v>
                </c:pt>
                <c:pt idx="468">
                  <c:v>901.57171791330745</c:v>
                </c:pt>
                <c:pt idx="469">
                  <c:v>901.97390858134895</c:v>
                </c:pt>
                <c:pt idx="470">
                  <c:v>902.3762786664355</c:v>
                </c:pt>
                <c:pt idx="471">
                  <c:v>902.77882824860478</c:v>
                </c:pt>
                <c:pt idx="472">
                  <c:v>903.18155740793031</c:v>
                </c:pt>
                <c:pt idx="473">
                  <c:v>903.58446622452175</c:v>
                </c:pt>
                <c:pt idx="474">
                  <c:v>903.98755477852353</c:v>
                </c:pt>
                <c:pt idx="475">
                  <c:v>904.39082315011694</c:v>
                </c:pt>
                <c:pt idx="476">
                  <c:v>904.7942714195184</c:v>
                </c:pt>
                <c:pt idx="477">
                  <c:v>905.19789966698011</c:v>
                </c:pt>
                <c:pt idx="478">
                  <c:v>905.60170797279</c:v>
                </c:pt>
                <c:pt idx="479">
                  <c:v>906.00569641727236</c:v>
                </c:pt>
                <c:pt idx="480">
                  <c:v>906.40986508078686</c:v>
                </c:pt>
                <c:pt idx="481">
                  <c:v>906.81421404372895</c:v>
                </c:pt>
                <c:pt idx="482">
                  <c:v>907.21874338653026</c:v>
                </c:pt>
                <c:pt idx="483">
                  <c:v>907.62345318965822</c:v>
                </c:pt>
                <c:pt idx="484">
                  <c:v>908.02834353361595</c:v>
                </c:pt>
                <c:pt idx="485">
                  <c:v>908.43341449894251</c:v>
                </c:pt>
                <c:pt idx="486">
                  <c:v>908.83866616621322</c:v>
                </c:pt>
                <c:pt idx="487">
                  <c:v>909.24409861603908</c:v>
                </c:pt>
                <c:pt idx="488">
                  <c:v>909.64971192906717</c:v>
                </c:pt>
                <c:pt idx="489">
                  <c:v>910.05550618598022</c:v>
                </c:pt>
                <c:pt idx="490">
                  <c:v>910.46148146749726</c:v>
                </c:pt>
                <c:pt idx="491">
                  <c:v>910.86763785437358</c:v>
                </c:pt>
                <c:pt idx="492">
                  <c:v>911.27397542739982</c:v>
                </c:pt>
                <c:pt idx="493">
                  <c:v>911.68049426740322</c:v>
                </c:pt>
                <c:pt idx="494">
                  <c:v>912.08719445524662</c:v>
                </c:pt>
                <c:pt idx="495">
                  <c:v>912.49407607182968</c:v>
                </c:pt>
                <c:pt idx="496">
                  <c:v>912.90113919808721</c:v>
                </c:pt>
                <c:pt idx="497">
                  <c:v>913.30838391499083</c:v>
                </c:pt>
                <c:pt idx="498">
                  <c:v>913.71581030354787</c:v>
                </c:pt>
                <c:pt idx="499">
                  <c:v>914.12341844480216</c:v>
                </c:pt>
                <c:pt idx="500">
                  <c:v>914.53120841983332</c:v>
                </c:pt>
                <c:pt idx="501">
                  <c:v>914.93918030975738</c:v>
                </c:pt>
                <c:pt idx="502">
                  <c:v>915.34733419572649</c:v>
                </c:pt>
                <c:pt idx="503">
                  <c:v>915.75567015892875</c:v>
                </c:pt>
                <c:pt idx="504">
                  <c:v>916.16418828058909</c:v>
                </c:pt>
                <c:pt idx="505">
                  <c:v>916.57288864196801</c:v>
                </c:pt>
                <c:pt idx="506">
                  <c:v>916.98177132436274</c:v>
                </c:pt>
                <c:pt idx="507">
                  <c:v>917.39083640910656</c:v>
                </c:pt>
                <c:pt idx="508">
                  <c:v>917.80008397756887</c:v>
                </c:pt>
                <c:pt idx="509">
                  <c:v>918.20951411115595</c:v>
                </c:pt>
                <c:pt idx="510">
                  <c:v>918.61912689130952</c:v>
                </c:pt>
                <c:pt idx="511">
                  <c:v>919.02892239950847</c:v>
                </c:pt>
                <c:pt idx="512">
                  <c:v>919.43890071726753</c:v>
                </c:pt>
                <c:pt idx="513">
                  <c:v>919.84906192613812</c:v>
                </c:pt>
                <c:pt idx="514">
                  <c:v>920.25940610770772</c:v>
                </c:pt>
                <c:pt idx="515">
                  <c:v>920.66993334360029</c:v>
                </c:pt>
                <c:pt idx="516">
                  <c:v>921.08064371547641</c:v>
                </c:pt>
                <c:pt idx="517">
                  <c:v>921.49153730503281</c:v>
                </c:pt>
                <c:pt idx="518">
                  <c:v>921.90261419400304</c:v>
                </c:pt>
                <c:pt idx="519">
                  <c:v>922.31387446415647</c:v>
                </c:pt>
                <c:pt idx="520">
                  <c:v>922.7253181973</c:v>
                </c:pt>
                <c:pt idx="521">
                  <c:v>923.13694547527564</c:v>
                </c:pt>
                <c:pt idx="522">
                  <c:v>923.54875637996292</c:v>
                </c:pt>
                <c:pt idx="523">
                  <c:v>923.96075099327788</c:v>
                </c:pt>
                <c:pt idx="524">
                  <c:v>924.37292939717258</c:v>
                </c:pt>
                <c:pt idx="525">
                  <c:v>924.78529167363592</c:v>
                </c:pt>
                <c:pt idx="526">
                  <c:v>925.1978379046933</c:v>
                </c:pt>
                <c:pt idx="527">
                  <c:v>925.61056817240706</c:v>
                </c:pt>
                <c:pt idx="528">
                  <c:v>926.02348255887557</c:v>
                </c:pt>
                <c:pt idx="529">
                  <c:v>926.43658114623406</c:v>
                </c:pt>
                <c:pt idx="530">
                  <c:v>926.84986401665469</c:v>
                </c:pt>
                <c:pt idx="531">
                  <c:v>927.26333125234589</c:v>
                </c:pt>
                <c:pt idx="532">
                  <c:v>927.67698293555304</c:v>
                </c:pt>
                <c:pt idx="533">
                  <c:v>928.0908191485579</c:v>
                </c:pt>
                <c:pt idx="534">
                  <c:v>928.50483997367917</c:v>
                </c:pt>
                <c:pt idx="535">
                  <c:v>928.91904549327228</c:v>
                </c:pt>
                <c:pt idx="536">
                  <c:v>929.33343578972938</c:v>
                </c:pt>
                <c:pt idx="537">
                  <c:v>929.74801094547922</c:v>
                </c:pt>
                <c:pt idx="538">
                  <c:v>930.16277104298729</c:v>
                </c:pt>
                <c:pt idx="539">
                  <c:v>930.57771616475645</c:v>
                </c:pt>
                <c:pt idx="540">
                  <c:v>930.99284639332564</c:v>
                </c:pt>
                <c:pt idx="541">
                  <c:v>931.40816181127082</c:v>
                </c:pt>
                <c:pt idx="542">
                  <c:v>931.82366250120492</c:v>
                </c:pt>
                <c:pt idx="543">
                  <c:v>932.23934854577794</c:v>
                </c:pt>
                <c:pt idx="544">
                  <c:v>932.65522002767625</c:v>
                </c:pt>
                <c:pt idx="545">
                  <c:v>933.07127702962339</c:v>
                </c:pt>
                <c:pt idx="546">
                  <c:v>933.48751963437962</c:v>
                </c:pt>
                <c:pt idx="547">
                  <c:v>933.9039479247424</c:v>
                </c:pt>
                <c:pt idx="548">
                  <c:v>934.32056198354599</c:v>
                </c:pt>
                <c:pt idx="549">
                  <c:v>934.73736189366161</c:v>
                </c:pt>
                <c:pt idx="550">
                  <c:v>935.15434773799745</c:v>
                </c:pt>
                <c:pt idx="551">
                  <c:v>935.57151959949863</c:v>
                </c:pt>
                <c:pt idx="552">
                  <c:v>935.98887756114698</c:v>
                </c:pt>
                <c:pt idx="553">
                  <c:v>936.40642170596232</c:v>
                </c:pt>
                <c:pt idx="554">
                  <c:v>936.82415211700038</c:v>
                </c:pt>
                <c:pt idx="555">
                  <c:v>937.24206887735477</c:v>
                </c:pt>
                <c:pt idx="556">
                  <c:v>937.66017207015534</c:v>
                </c:pt>
                <c:pt idx="557">
                  <c:v>938.07846177856993</c:v>
                </c:pt>
                <c:pt idx="558">
                  <c:v>938.49693808580287</c:v>
                </c:pt>
                <c:pt idx="559">
                  <c:v>938.91560107509576</c:v>
                </c:pt>
                <c:pt idx="560">
                  <c:v>939.33445082972753</c:v>
                </c:pt>
                <c:pt idx="561">
                  <c:v>939.75348743301413</c:v>
                </c:pt>
                <c:pt idx="562">
                  <c:v>940.17271096830848</c:v>
                </c:pt>
                <c:pt idx="563">
                  <c:v>940.5921215190009</c:v>
                </c:pt>
                <c:pt idx="564">
                  <c:v>941.01171916851877</c:v>
                </c:pt>
                <c:pt idx="565">
                  <c:v>941.43150400032687</c:v>
                </c:pt>
                <c:pt idx="566">
                  <c:v>941.85147609792728</c:v>
                </c:pt>
                <c:pt idx="567">
                  <c:v>942.27163554485878</c:v>
                </c:pt>
                <c:pt idx="568">
                  <c:v>942.69198242469815</c:v>
                </c:pt>
                <c:pt idx="569">
                  <c:v>943.11251682105922</c:v>
                </c:pt>
                <c:pt idx="570">
                  <c:v>943.53323881759252</c:v>
                </c:pt>
                <c:pt idx="571">
                  <c:v>943.95414849798692</c:v>
                </c:pt>
                <c:pt idx="572">
                  <c:v>944.37524594596766</c:v>
                </c:pt>
                <c:pt idx="573">
                  <c:v>944.79653124529784</c:v>
                </c:pt>
                <c:pt idx="574">
                  <c:v>945.21800447977807</c:v>
                </c:pt>
                <c:pt idx="575">
                  <c:v>945.63966573324603</c:v>
                </c:pt>
                <c:pt idx="576">
                  <c:v>946.0615150895768</c:v>
                </c:pt>
                <c:pt idx="577">
                  <c:v>946.48355263268297</c:v>
                </c:pt>
                <c:pt idx="578">
                  <c:v>946.90577844651455</c:v>
                </c:pt>
                <c:pt idx="579">
                  <c:v>947.32819261505938</c:v>
                </c:pt>
                <c:pt idx="580">
                  <c:v>947.75079522234194</c:v>
                </c:pt>
                <c:pt idx="581">
                  <c:v>948.17358635242488</c:v>
                </c:pt>
                <c:pt idx="582">
                  <c:v>948.59656608940793</c:v>
                </c:pt>
                <c:pt idx="583">
                  <c:v>949.01973451742856</c:v>
                </c:pt>
                <c:pt idx="584">
                  <c:v>949.44309172066198</c:v>
                </c:pt>
                <c:pt idx="585">
                  <c:v>949.86663778332058</c:v>
                </c:pt>
                <c:pt idx="586">
                  <c:v>950.29037278965438</c:v>
                </c:pt>
                <c:pt idx="587">
                  <c:v>950.71429682395103</c:v>
                </c:pt>
                <c:pt idx="588">
                  <c:v>951.13840997053603</c:v>
                </c:pt>
                <c:pt idx="589">
                  <c:v>951.56271231377207</c:v>
                </c:pt>
                <c:pt idx="590">
                  <c:v>951.98720393805979</c:v>
                </c:pt>
                <c:pt idx="591">
                  <c:v>952.41188492783715</c:v>
                </c:pt>
                <c:pt idx="592">
                  <c:v>952.83675536758028</c:v>
                </c:pt>
                <c:pt idx="593">
                  <c:v>953.26181534180262</c:v>
                </c:pt>
                <c:pt idx="594">
                  <c:v>953.68706493505522</c:v>
                </c:pt>
                <c:pt idx="595">
                  <c:v>954.11250423192723</c:v>
                </c:pt>
                <c:pt idx="596">
                  <c:v>954.53813331704532</c:v>
                </c:pt>
                <c:pt idx="597">
                  <c:v>954.96395227507378</c:v>
                </c:pt>
                <c:pt idx="598">
                  <c:v>955.3899611907151</c:v>
                </c:pt>
                <c:pt idx="599">
                  <c:v>955.81616014870883</c:v>
                </c:pt>
                <c:pt idx="600">
                  <c:v>956.24254923383319</c:v>
                </c:pt>
                <c:pt idx="601">
                  <c:v>956.66912853090355</c:v>
                </c:pt>
                <c:pt idx="602">
                  <c:v>957.09589812477373</c:v>
                </c:pt>
                <c:pt idx="603">
                  <c:v>957.52285810033436</c:v>
                </c:pt>
                <c:pt idx="604">
                  <c:v>957.95000854251509</c:v>
                </c:pt>
                <c:pt idx="605">
                  <c:v>958.37734953628308</c:v>
                </c:pt>
                <c:pt idx="606">
                  <c:v>958.80488116664276</c:v>
                </c:pt>
                <c:pt idx="607">
                  <c:v>959.23260351863757</c:v>
                </c:pt>
                <c:pt idx="608">
                  <c:v>959.66051667734814</c:v>
                </c:pt>
                <c:pt idx="609">
                  <c:v>960.08862072789316</c:v>
                </c:pt>
                <c:pt idx="610">
                  <c:v>960.5169157554293</c:v>
                </c:pt>
                <c:pt idx="611">
                  <c:v>960.94540184515142</c:v>
                </c:pt>
                <c:pt idx="612">
                  <c:v>961.37407908229238</c:v>
                </c:pt>
                <c:pt idx="613">
                  <c:v>961.80294755212276</c:v>
                </c:pt>
                <c:pt idx="614">
                  <c:v>962.23200733995156</c:v>
                </c:pt>
                <c:pt idx="615">
                  <c:v>962.66125853112544</c:v>
                </c:pt>
                <c:pt idx="616">
                  <c:v>963.09070121102923</c:v>
                </c:pt>
                <c:pt idx="617">
                  <c:v>963.5203354650863</c:v>
                </c:pt>
                <c:pt idx="618">
                  <c:v>963.95016137875757</c:v>
                </c:pt>
                <c:pt idx="619">
                  <c:v>964.38017903754223</c:v>
                </c:pt>
                <c:pt idx="620">
                  <c:v>964.81038852697782</c:v>
                </c:pt>
                <c:pt idx="621">
                  <c:v>965.24078993263993</c:v>
                </c:pt>
                <c:pt idx="622">
                  <c:v>965.67138334014214</c:v>
                </c:pt>
                <c:pt idx="623">
                  <c:v>966.10216883513624</c:v>
                </c:pt>
                <c:pt idx="624">
                  <c:v>966.53314650331276</c:v>
                </c:pt>
                <c:pt idx="625">
                  <c:v>966.96431643039978</c:v>
                </c:pt>
                <c:pt idx="626">
                  <c:v>967.39567870216376</c:v>
                </c:pt>
                <c:pt idx="627">
                  <c:v>967.82723340440998</c:v>
                </c:pt>
                <c:pt idx="628">
                  <c:v>968.25898062298143</c:v>
                </c:pt>
                <c:pt idx="629">
                  <c:v>968.69092044375941</c:v>
                </c:pt>
                <c:pt idx="630">
                  <c:v>969.12305295266367</c:v>
                </c:pt>
                <c:pt idx="631">
                  <c:v>969.55537823565226</c:v>
                </c:pt>
                <c:pt idx="632">
                  <c:v>969.98789637872176</c:v>
                </c:pt>
                <c:pt idx="633">
                  <c:v>970.42060746790673</c:v>
                </c:pt>
                <c:pt idx="634">
                  <c:v>970.85351158928052</c:v>
                </c:pt>
                <c:pt idx="635">
                  <c:v>971.28660882895451</c:v>
                </c:pt>
                <c:pt idx="636">
                  <c:v>971.71989927307902</c:v>
                </c:pt>
                <c:pt idx="637">
                  <c:v>972.15338300784219</c:v>
                </c:pt>
                <c:pt idx="638">
                  <c:v>972.58706011947061</c:v>
                </c:pt>
                <c:pt idx="639">
                  <c:v>973.02093069423029</c:v>
                </c:pt>
                <c:pt idx="640">
                  <c:v>973.45499481842432</c:v>
                </c:pt>
                <c:pt idx="641">
                  <c:v>973.88925257839537</c:v>
                </c:pt>
                <c:pt idx="642">
                  <c:v>974.32370406052416</c:v>
                </c:pt>
                <c:pt idx="643">
                  <c:v>974.75834935123021</c:v>
                </c:pt>
                <c:pt idx="644">
                  <c:v>975.19318853697121</c:v>
                </c:pt>
                <c:pt idx="645">
                  <c:v>975.62822170424363</c:v>
                </c:pt>
                <c:pt idx="646">
                  <c:v>976.06344893958271</c:v>
                </c:pt>
                <c:pt idx="647">
                  <c:v>976.49887032956212</c:v>
                </c:pt>
                <c:pt idx="648">
                  <c:v>976.93448596079395</c:v>
                </c:pt>
                <c:pt idx="649">
                  <c:v>977.37029591992905</c:v>
                </c:pt>
                <c:pt idx="650">
                  <c:v>977.80630029365739</c:v>
                </c:pt>
                <c:pt idx="651">
                  <c:v>978.24249916870701</c:v>
                </c:pt>
                <c:pt idx="652">
                  <c:v>978.67889263184463</c:v>
                </c:pt>
                <c:pt idx="653">
                  <c:v>979.11548076987606</c:v>
                </c:pt>
                <c:pt idx="654">
                  <c:v>979.55226366964587</c:v>
                </c:pt>
                <c:pt idx="655">
                  <c:v>979.98924141803695</c:v>
                </c:pt>
                <c:pt idx="656">
                  <c:v>980.42641410197109</c:v>
                </c:pt>
                <c:pt idx="657">
                  <c:v>980.86378180840916</c:v>
                </c:pt>
                <c:pt idx="658">
                  <c:v>981.30134462435046</c:v>
                </c:pt>
                <c:pt idx="659">
                  <c:v>981.73910263683331</c:v>
                </c:pt>
                <c:pt idx="660">
                  <c:v>982.17705593293465</c:v>
                </c:pt>
                <c:pt idx="661">
                  <c:v>982.61520459977044</c:v>
                </c:pt>
                <c:pt idx="662">
                  <c:v>983.05354872449573</c:v>
                </c:pt>
                <c:pt idx="663">
                  <c:v>983.49208839430366</c:v>
                </c:pt>
                <c:pt idx="664">
                  <c:v>983.93082369642741</c:v>
                </c:pt>
                <c:pt idx="665">
                  <c:v>984.36975471813776</c:v>
                </c:pt>
                <c:pt idx="666">
                  <c:v>984.80888154674585</c:v>
                </c:pt>
                <c:pt idx="667">
                  <c:v>985.24820426960036</c:v>
                </c:pt>
                <c:pt idx="668">
                  <c:v>985.68772297409009</c:v>
                </c:pt>
                <c:pt idx="669">
                  <c:v>986.12743774764238</c:v>
                </c:pt>
                <c:pt idx="670">
                  <c:v>986.56734867772298</c:v>
                </c:pt>
                <c:pt idx="671">
                  <c:v>987.00745585183768</c:v>
                </c:pt>
                <c:pt idx="672">
                  <c:v>987.44775935753069</c:v>
                </c:pt>
                <c:pt idx="673">
                  <c:v>987.88825928238555</c:v>
                </c:pt>
                <c:pt idx="674">
                  <c:v>988.32895571402457</c:v>
                </c:pt>
                <c:pt idx="675">
                  <c:v>988.76984874010941</c:v>
                </c:pt>
                <c:pt idx="676">
                  <c:v>989.2109384483407</c:v>
                </c:pt>
                <c:pt idx="677">
                  <c:v>989.65222492645842</c:v>
                </c:pt>
                <c:pt idx="678">
                  <c:v>990.09370826224131</c:v>
                </c:pt>
                <c:pt idx="679">
                  <c:v>990.53538854350757</c:v>
                </c:pt>
                <c:pt idx="680">
                  <c:v>990.97726585811427</c:v>
                </c:pt>
                <c:pt idx="681">
                  <c:v>991.41934029395827</c:v>
                </c:pt>
                <c:pt idx="682">
                  <c:v>991.86161193897487</c:v>
                </c:pt>
                <c:pt idx="683">
                  <c:v>992.30408088113916</c:v>
                </c:pt>
                <c:pt idx="684">
                  <c:v>992.74674720846542</c:v>
                </c:pt>
                <c:pt idx="685">
                  <c:v>993.18961100900685</c:v>
                </c:pt>
                <c:pt idx="686">
                  <c:v>993.6326723708562</c:v>
                </c:pt>
                <c:pt idx="687">
                  <c:v>994.07593138214554</c:v>
                </c:pt>
                <c:pt idx="688">
                  <c:v>994.51938813104596</c:v>
                </c:pt>
                <c:pt idx="689">
                  <c:v>994.96304270576843</c:v>
                </c:pt>
                <c:pt idx="690">
                  <c:v>995.40689519456282</c:v>
                </c:pt>
                <c:pt idx="691">
                  <c:v>995.85094568571833</c:v>
                </c:pt>
                <c:pt idx="692">
                  <c:v>996.29519426756394</c:v>
                </c:pt>
                <c:pt idx="693">
                  <c:v>996.73964102846742</c:v>
                </c:pt>
                <c:pt idx="694">
                  <c:v>997.18428605683698</c:v>
                </c:pt>
                <c:pt idx="695">
                  <c:v>997.62912944111906</c:v>
                </c:pt>
                <c:pt idx="696">
                  <c:v>998.07417126980033</c:v>
                </c:pt>
                <c:pt idx="697">
                  <c:v>998.51941163140691</c:v>
                </c:pt>
                <c:pt idx="698">
                  <c:v>998.96485061450403</c:v>
                </c:pt>
                <c:pt idx="699">
                  <c:v>999.41048830769648</c:v>
                </c:pt>
                <c:pt idx="700">
                  <c:v>999.85632479962919</c:v>
                </c:pt>
                <c:pt idx="701">
                  <c:v>1000.3023601789857</c:v>
                </c:pt>
                <c:pt idx="702">
                  <c:v>1000.7485945344898</c:v>
                </c:pt>
                <c:pt idx="703">
                  <c:v>1001.1950279549046</c:v>
                </c:pt>
                <c:pt idx="704">
                  <c:v>1001.6416605290331</c:v>
                </c:pt>
                <c:pt idx="705">
                  <c:v>1002.0884923457174</c:v>
                </c:pt>
                <c:pt idx="706">
                  <c:v>1002.5355234938396</c:v>
                </c:pt>
                <c:pt idx="707">
                  <c:v>1002.9827540623209</c:v>
                </c:pt>
                <c:pt idx="708">
                  <c:v>1003.4301841401234</c:v>
                </c:pt>
                <c:pt idx="709">
                  <c:v>1003.8778138162477</c:v>
                </c:pt>
                <c:pt idx="710">
                  <c:v>1004.325643179734</c:v>
                </c:pt>
                <c:pt idx="711">
                  <c:v>1004.7736723196639</c:v>
                </c:pt>
                <c:pt idx="712">
                  <c:v>1005.2219013251566</c:v>
                </c:pt>
                <c:pt idx="713">
                  <c:v>1005.6703302853724</c:v>
                </c:pt>
                <c:pt idx="714">
                  <c:v>1006.1189592895111</c:v>
                </c:pt>
                <c:pt idx="715">
                  <c:v>1006.5677884268118</c:v>
                </c:pt>
                <c:pt idx="716">
                  <c:v>1007.0168177865542</c:v>
                </c:pt>
                <c:pt idx="717">
                  <c:v>1007.466047458057</c:v>
                </c:pt>
                <c:pt idx="718">
                  <c:v>1007.9154775306796</c:v>
                </c:pt>
                <c:pt idx="719">
                  <c:v>1008.3651080938207</c:v>
                </c:pt>
                <c:pt idx="720">
                  <c:v>1008.8149392369188</c:v>
                </c:pt>
                <c:pt idx="721">
                  <c:v>1009.2649710494528</c:v>
                </c:pt>
                <c:pt idx="722">
                  <c:v>1009.7152036209409</c:v>
                </c:pt>
                <c:pt idx="723">
                  <c:v>1010.165637040942</c:v>
                </c:pt>
                <c:pt idx="724">
                  <c:v>1010.6162713990543</c:v>
                </c:pt>
                <c:pt idx="725">
                  <c:v>1011.0671067849159</c:v>
                </c:pt>
                <c:pt idx="726">
                  <c:v>1011.5181432882059</c:v>
                </c:pt>
                <c:pt idx="727">
                  <c:v>1011.9693809986419</c:v>
                </c:pt>
                <c:pt idx="728">
                  <c:v>1012.4208200059826</c:v>
                </c:pt>
                <c:pt idx="729">
                  <c:v>1012.8724604000267</c:v>
                </c:pt>
                <c:pt idx="730">
                  <c:v>1013.3243022706122</c:v>
                </c:pt>
                <c:pt idx="731">
                  <c:v>1013.7763457076184</c:v>
                </c:pt>
                <c:pt idx="732">
                  <c:v>1014.2285908009629</c:v>
                </c:pt>
                <c:pt idx="733">
                  <c:v>1014.6810376406057</c:v>
                </c:pt>
                <c:pt idx="734">
                  <c:v>1015.1336863165448</c:v>
                </c:pt>
                <c:pt idx="735">
                  <c:v>1015.5865369188195</c:v>
                </c:pt>
                <c:pt idx="736">
                  <c:v>1016.0395895375094</c:v>
                </c:pt>
                <c:pt idx="737">
                  <c:v>1016.4928442627335</c:v>
                </c:pt>
                <c:pt idx="738">
                  <c:v>1016.9463011846516</c:v>
                </c:pt>
                <c:pt idx="739">
                  <c:v>1017.3999603934634</c:v>
                </c:pt>
                <c:pt idx="740">
                  <c:v>1017.8538219794093</c:v>
                </c:pt>
                <c:pt idx="741">
                  <c:v>1018.3078860327693</c:v>
                </c:pt>
                <c:pt idx="742">
                  <c:v>1018.7621526438639</c:v>
                </c:pt>
                <c:pt idx="743">
                  <c:v>1019.2166219030545</c:v>
                </c:pt>
                <c:pt idx="744">
                  <c:v>1019.6712939007419</c:v>
                </c:pt>
                <c:pt idx="745">
                  <c:v>1020.1261687273679</c:v>
                </c:pt>
                <c:pt idx="746">
                  <c:v>1020.5812464734139</c:v>
                </c:pt>
                <c:pt idx="747">
                  <c:v>1021.0365272294029</c:v>
                </c:pt>
                <c:pt idx="748">
                  <c:v>1021.4920110858969</c:v>
                </c:pt>
                <c:pt idx="749">
                  <c:v>1021.9476981334992</c:v>
                </c:pt>
                <c:pt idx="750">
                  <c:v>1022.403588462853</c:v>
                </c:pt>
                <c:pt idx="751">
                  <c:v>1022.8596821646428</c:v>
                </c:pt>
                <c:pt idx="752">
                  <c:v>1023.3159793295921</c:v>
                </c:pt>
                <c:pt idx="753">
                  <c:v>1023.7724800484663</c:v>
                </c:pt>
                <c:pt idx="754">
                  <c:v>1024.2291844120703</c:v>
                </c:pt>
                <c:pt idx="755">
                  <c:v>1024.6860925112505</c:v>
                </c:pt>
                <c:pt idx="756">
                  <c:v>1025.1432044368926</c:v>
                </c:pt>
                <c:pt idx="757">
                  <c:v>1025.6005202799238</c:v>
                </c:pt>
                <c:pt idx="758">
                  <c:v>1026.0580401313116</c:v>
                </c:pt>
                <c:pt idx="759">
                  <c:v>1026.5157640820637</c:v>
                </c:pt>
                <c:pt idx="760">
                  <c:v>1026.9736922232291</c:v>
                </c:pt>
                <c:pt idx="761">
                  <c:v>1027.4318246458968</c:v>
                </c:pt>
                <c:pt idx="762">
                  <c:v>1027.8901614411966</c:v>
                </c:pt>
                <c:pt idx="763">
                  <c:v>1028.3487027002991</c:v>
                </c:pt>
                <c:pt idx="764">
                  <c:v>1028.8074485144157</c:v>
                </c:pt>
                <c:pt idx="765">
                  <c:v>1029.266398974798</c:v>
                </c:pt>
                <c:pt idx="766">
                  <c:v>1029.7255541727388</c:v>
                </c:pt>
                <c:pt idx="767">
                  <c:v>1030.184914199571</c:v>
                </c:pt>
                <c:pt idx="768">
                  <c:v>1030.6444791466695</c:v>
                </c:pt>
                <c:pt idx="769">
                  <c:v>1031.1042491054486</c:v>
                </c:pt>
                <c:pt idx="770">
                  <c:v>1031.5642241673638</c:v>
                </c:pt>
                <c:pt idx="771">
                  <c:v>1032.0244044239114</c:v>
                </c:pt>
                <c:pt idx="772">
                  <c:v>1032.4847899666288</c:v>
                </c:pt>
                <c:pt idx="773">
                  <c:v>1032.9453808870944</c:v>
                </c:pt>
                <c:pt idx="774">
                  <c:v>1033.4061772769264</c:v>
                </c:pt>
                <c:pt idx="775">
                  <c:v>1033.8671792277853</c:v>
                </c:pt>
                <c:pt idx="776">
                  <c:v>1034.3283868313713</c:v>
                </c:pt>
                <c:pt idx="777">
                  <c:v>1034.7898001794263</c:v>
                </c:pt>
                <c:pt idx="778">
                  <c:v>1035.2514193637323</c:v>
                </c:pt>
                <c:pt idx="779">
                  <c:v>1035.7132444761132</c:v>
                </c:pt>
                <c:pt idx="780">
                  <c:v>1036.1752756084334</c:v>
                </c:pt>
                <c:pt idx="781">
                  <c:v>1036.6375128525979</c:v>
                </c:pt>
                <c:pt idx="782">
                  <c:v>1037.0999563005535</c:v>
                </c:pt>
                <c:pt idx="783">
                  <c:v>1037.5626060442873</c:v>
                </c:pt>
                <c:pt idx="784">
                  <c:v>1038.0254621758279</c:v>
                </c:pt>
                <c:pt idx="785">
                  <c:v>1038.4885247872446</c:v>
                </c:pt>
                <c:pt idx="786">
                  <c:v>1038.9517939706484</c:v>
                </c:pt>
                <c:pt idx="787">
                  <c:v>1039.4152698181904</c:v>
                </c:pt>
                <c:pt idx="788">
                  <c:v>1039.878952422064</c:v>
                </c:pt>
                <c:pt idx="789">
                  <c:v>1040.3428418745025</c:v>
                </c:pt>
                <c:pt idx="790">
                  <c:v>1040.8069382677811</c:v>
                </c:pt>
                <c:pt idx="791">
                  <c:v>1041.2712416942163</c:v>
                </c:pt>
                <c:pt idx="792">
                  <c:v>1041.735752246165</c:v>
                </c:pt>
                <c:pt idx="793">
                  <c:v>1042.2004700160262</c:v>
                </c:pt>
                <c:pt idx="794">
                  <c:v>1042.6653950962393</c:v>
                </c:pt>
                <c:pt idx="795">
                  <c:v>1043.1305275792856</c:v>
                </c:pt>
                <c:pt idx="796">
                  <c:v>1043.5958675576878</c:v>
                </c:pt>
                <c:pt idx="797">
                  <c:v>1044.0614151240086</c:v>
                </c:pt>
                <c:pt idx="798">
                  <c:v>1044.5271703708534</c:v>
                </c:pt>
                <c:pt idx="799">
                  <c:v>1044.9931333908683</c:v>
                </c:pt>
                <c:pt idx="800">
                  <c:v>1045.4593042767406</c:v>
                </c:pt>
                <c:pt idx="801">
                  <c:v>1045.9256831211997</c:v>
                </c:pt>
                <c:pt idx="802">
                  <c:v>1046.3922700170149</c:v>
                </c:pt>
                <c:pt idx="803">
                  <c:v>1046.8590650569988</c:v>
                </c:pt>
                <c:pt idx="804">
                  <c:v>1047.3260683340038</c:v>
                </c:pt>
                <c:pt idx="805">
                  <c:v>1047.7932799409243</c:v>
                </c:pt>
                <c:pt idx="806">
                  <c:v>1048.2606999706966</c:v>
                </c:pt>
                <c:pt idx="807">
                  <c:v>1048.7283285162976</c:v>
                </c:pt>
                <c:pt idx="808">
                  <c:v>1049.1961656707463</c:v>
                </c:pt>
                <c:pt idx="809">
                  <c:v>1049.6642115271029</c:v>
                </c:pt>
                <c:pt idx="810">
                  <c:v>1050.1324661784693</c:v>
                </c:pt>
                <c:pt idx="811">
                  <c:v>1050.6009297179887</c:v>
                </c:pt>
                <c:pt idx="812">
                  <c:v>1051.0696022388461</c:v>
                </c:pt>
                <c:pt idx="813">
                  <c:v>1051.5384838342682</c:v>
                </c:pt>
                <c:pt idx="814">
                  <c:v>1052.0075745975225</c:v>
                </c:pt>
                <c:pt idx="815">
                  <c:v>1052.476874621919</c:v>
                </c:pt>
                <c:pt idx="816">
                  <c:v>1052.9463840008093</c:v>
                </c:pt>
                <c:pt idx="817">
                  <c:v>1053.4161028275857</c:v>
                </c:pt>
                <c:pt idx="818">
                  <c:v>1053.8860311956832</c:v>
                </c:pt>
                <c:pt idx="819">
                  <c:v>1054.3561691985778</c:v>
                </c:pt>
                <c:pt idx="820">
                  <c:v>1054.8265169297879</c:v>
                </c:pt>
                <c:pt idx="821">
                  <c:v>1055.2970744828726</c:v>
                </c:pt>
                <c:pt idx="822">
                  <c:v>1055.7678419514341</c:v>
                </c:pt>
                <c:pt idx="823">
                  <c:v>1056.2388194291148</c:v>
                </c:pt>
                <c:pt idx="824">
                  <c:v>1056.7100070096001</c:v>
                </c:pt>
                <c:pt idx="825">
                  <c:v>1057.1814047866164</c:v>
                </c:pt>
                <c:pt idx="826">
                  <c:v>1057.6530128539328</c:v>
                </c:pt>
                <c:pt idx="827">
                  <c:v>1058.1248313053593</c:v>
                </c:pt>
                <c:pt idx="828">
                  <c:v>1058.5968602347482</c:v>
                </c:pt>
                <c:pt idx="829">
                  <c:v>1059.0690997359936</c:v>
                </c:pt>
                <c:pt idx="830">
                  <c:v>1059.5415499030316</c:v>
                </c:pt>
                <c:pt idx="831">
                  <c:v>1060.0142108298401</c:v>
                </c:pt>
                <c:pt idx="832">
                  <c:v>1060.4870826104388</c:v>
                </c:pt>
                <c:pt idx="833">
                  <c:v>1060.9601653388893</c:v>
                </c:pt>
                <c:pt idx="834">
                  <c:v>1061.4334591092957</c:v>
                </c:pt>
                <c:pt idx="835">
                  <c:v>1061.9069640158036</c:v>
                </c:pt>
                <c:pt idx="836">
                  <c:v>1062.3806801526007</c:v>
                </c:pt>
                <c:pt idx="837">
                  <c:v>1062.8546076139166</c:v>
                </c:pt>
                <c:pt idx="838">
                  <c:v>1063.3287464940233</c:v>
                </c:pt>
                <c:pt idx="839">
                  <c:v>1063.8030968872342</c:v>
                </c:pt>
                <c:pt idx="840">
                  <c:v>1064.2776588879058</c:v>
                </c:pt>
                <c:pt idx="841">
                  <c:v>1064.7524325904351</c:v>
                </c:pt>
                <c:pt idx="842">
                  <c:v>1065.2274180892634</c:v>
                </c:pt>
                <c:pt idx="843">
                  <c:v>1065.7026154788721</c:v>
                </c:pt>
                <c:pt idx="844">
                  <c:v>1066.1780248537855</c:v>
                </c:pt>
                <c:pt idx="845">
                  <c:v>1066.6536463085708</c:v>
                </c:pt>
                <c:pt idx="846">
                  <c:v>1067.1294799378359</c:v>
                </c:pt>
                <c:pt idx="847">
                  <c:v>1067.6055258362326</c:v>
                </c:pt>
                <c:pt idx="848">
                  <c:v>1068.0817840984532</c:v>
                </c:pt>
                <c:pt idx="849">
                  <c:v>1068.5582548192338</c:v>
                </c:pt>
                <c:pt idx="850">
                  <c:v>1069.0349380933515</c:v>
                </c:pt>
                <c:pt idx="851">
                  <c:v>1069.5118340156266</c:v>
                </c:pt>
                <c:pt idx="852">
                  <c:v>1069.9889426809214</c:v>
                </c:pt>
                <c:pt idx="853">
                  <c:v>1070.4662641841401</c:v>
                </c:pt>
                <c:pt idx="854">
                  <c:v>1070.9437986202295</c:v>
                </c:pt>
                <c:pt idx="855">
                  <c:v>1071.4215460841792</c:v>
                </c:pt>
                <c:pt idx="856">
                  <c:v>1071.8995066710208</c:v>
                </c:pt>
                <c:pt idx="857">
                  <c:v>1072.3776804758284</c:v>
                </c:pt>
                <c:pt idx="858">
                  <c:v>1072.8560675937179</c:v>
                </c:pt>
                <c:pt idx="859">
                  <c:v>1073.3346681198484</c:v>
                </c:pt>
                <c:pt idx="860">
                  <c:v>1073.8134821494214</c:v>
                </c:pt>
                <c:pt idx="861">
                  <c:v>1074.2925097776806</c:v>
                </c:pt>
                <c:pt idx="862">
                  <c:v>1074.7717510999121</c:v>
                </c:pt>
                <c:pt idx="863">
                  <c:v>1075.2512062114449</c:v>
                </c:pt>
                <c:pt idx="864">
                  <c:v>1075.7308752076501</c:v>
                </c:pt>
                <c:pt idx="865">
                  <c:v>1076.2107581839421</c:v>
                </c:pt>
                <c:pt idx="866">
                  <c:v>1076.6908552357761</c:v>
                </c:pt>
                <c:pt idx="867">
                  <c:v>1077.1711664586524</c:v>
                </c:pt>
                <c:pt idx="868">
                  <c:v>1077.6516919481114</c:v>
                </c:pt>
                <c:pt idx="869">
                  <c:v>1078.1324317997385</c:v>
                </c:pt>
                <c:pt idx="870">
                  <c:v>1078.6133861091596</c:v>
                </c:pt>
                <c:pt idx="871">
                  <c:v>1079.0945549720448</c:v>
                </c:pt>
                <c:pt idx="872">
                  <c:v>1079.5759384841058</c:v>
                </c:pt>
                <c:pt idx="873">
                  <c:v>1080.0575367410979</c:v>
                </c:pt>
                <c:pt idx="874">
                  <c:v>1080.5393498388185</c:v>
                </c:pt>
                <c:pt idx="875">
                  <c:v>1081.0213778731079</c:v>
                </c:pt>
                <c:pt idx="876">
                  <c:v>1081.5036209398495</c:v>
                </c:pt>
                <c:pt idx="877">
                  <c:v>1081.9860791349686</c:v>
                </c:pt>
                <c:pt idx="878">
                  <c:v>1082.4687525544343</c:v>
                </c:pt>
                <c:pt idx="879">
                  <c:v>1082.951641294258</c:v>
                </c:pt>
                <c:pt idx="880">
                  <c:v>1083.4347454504941</c:v>
                </c:pt>
                <c:pt idx="881">
                  <c:v>1083.9180651192396</c:v>
                </c:pt>
                <c:pt idx="882">
                  <c:v>1084.4016003966342</c:v>
                </c:pt>
                <c:pt idx="883">
                  <c:v>1084.8853513788615</c:v>
                </c:pt>
                <c:pt idx="884">
                  <c:v>1085.3693181621466</c:v>
                </c:pt>
                <c:pt idx="885">
                  <c:v>1085.8535008427586</c:v>
                </c:pt>
                <c:pt idx="886">
                  <c:v>1086.3378995170092</c:v>
                </c:pt>
                <c:pt idx="887">
                  <c:v>1086.822514281253</c:v>
                </c:pt>
                <c:pt idx="888">
                  <c:v>1087.3073452318877</c:v>
                </c:pt>
                <c:pt idx="889">
                  <c:v>1087.7923924653539</c:v>
                </c:pt>
                <c:pt idx="890">
                  <c:v>1088.2776560781351</c:v>
                </c:pt>
                <c:pt idx="891">
                  <c:v>1088.7631361667582</c:v>
                </c:pt>
                <c:pt idx="892">
                  <c:v>1089.2488328277932</c:v>
                </c:pt>
                <c:pt idx="893">
                  <c:v>1089.7347461578522</c:v>
                </c:pt>
                <c:pt idx="894">
                  <c:v>1090.2208762535915</c:v>
                </c:pt>
                <c:pt idx="895">
                  <c:v>1090.7072232117105</c:v>
                </c:pt>
                <c:pt idx="896">
                  <c:v>1091.193787128951</c:v>
                </c:pt>
                <c:pt idx="897">
                  <c:v>1091.6805681020985</c:v>
                </c:pt>
                <c:pt idx="898">
                  <c:v>1092.1675662279813</c:v>
                </c:pt>
                <c:pt idx="899">
                  <c:v>1092.6547816034713</c:v>
                </c:pt>
                <c:pt idx="900">
                  <c:v>1093.1422143254836</c:v>
                </c:pt>
                <c:pt idx="901">
                  <c:v>1093.6298644909764</c:v>
                </c:pt>
                <c:pt idx="902">
                  <c:v>1094.1177321969506</c:v>
                </c:pt>
                <c:pt idx="903">
                  <c:v>1094.6058175404514</c:v>
                </c:pt>
                <c:pt idx="904">
                  <c:v>1095.0941206185664</c:v>
                </c:pt>
                <c:pt idx="905">
                  <c:v>1095.5826415284273</c:v>
                </c:pt>
                <c:pt idx="906">
                  <c:v>1096.0713803672086</c:v>
                </c:pt>
                <c:pt idx="907">
                  <c:v>1096.5603372321279</c:v>
                </c:pt>
                <c:pt idx="908">
                  <c:v>1097.0495122204472</c:v>
                </c:pt>
                <c:pt idx="909">
                  <c:v>1097.5389054294708</c:v>
                </c:pt>
                <c:pt idx="910">
                  <c:v>1098.0285169565468</c:v>
                </c:pt>
                <c:pt idx="911">
                  <c:v>1098.5183468990672</c:v>
                </c:pt>
                <c:pt idx="912">
                  <c:v>1099.0083953544665</c:v>
                </c:pt>
                <c:pt idx="913">
                  <c:v>1099.4986624202234</c:v>
                </c:pt>
                <c:pt idx="914">
                  <c:v>1099.9891481938598</c:v>
                </c:pt>
                <c:pt idx="915">
                  <c:v>1100.4798527729413</c:v>
                </c:pt>
                <c:pt idx="916">
                  <c:v>1100.970776255077</c:v>
                </c:pt>
                <c:pt idx="917">
                  <c:v>1101.4619187379189</c:v>
                </c:pt>
                <c:pt idx="918">
                  <c:v>1101.9532803191637</c:v>
                </c:pt>
                <c:pt idx="919">
                  <c:v>1102.4448610965508</c:v>
                </c:pt>
                <c:pt idx="920">
                  <c:v>1102.9366611678636</c:v>
                </c:pt>
                <c:pt idx="921">
                  <c:v>1103.4286806309285</c:v>
                </c:pt>
                <c:pt idx="922">
                  <c:v>1103.920919583617</c:v>
                </c:pt>
                <c:pt idx="923">
                  <c:v>1104.4133781238424</c:v>
                </c:pt>
                <c:pt idx="924">
                  <c:v>1104.9060563495634</c:v>
                </c:pt>
                <c:pt idx="925">
                  <c:v>1105.3989543587809</c:v>
                </c:pt>
                <c:pt idx="926">
                  <c:v>1105.8920722495404</c:v>
                </c:pt>
                <c:pt idx="927">
                  <c:v>1106.3854101199308</c:v>
                </c:pt>
                <c:pt idx="928">
                  <c:v>1106.8789680680852</c:v>
                </c:pt>
                <c:pt idx="929">
                  <c:v>1107.3727461921803</c:v>
                </c:pt>
                <c:pt idx="930">
                  <c:v>1107.8667445904362</c:v>
                </c:pt>
                <c:pt idx="931">
                  <c:v>1108.360963361117</c:v>
                </c:pt>
                <c:pt idx="932">
                  <c:v>1108.8554026025308</c:v>
                </c:pt>
                <c:pt idx="933">
                  <c:v>1109.3500624130297</c:v>
                </c:pt>
                <c:pt idx="934">
                  <c:v>1109.8449428910092</c:v>
                </c:pt>
                <c:pt idx="935">
                  <c:v>1110.340044134909</c:v>
                </c:pt>
                <c:pt idx="936">
                  <c:v>1110.8353662432128</c:v>
                </c:pt>
                <c:pt idx="937">
                  <c:v>1111.3309093144476</c:v>
                </c:pt>
                <c:pt idx="938">
                  <c:v>1111.8266734471856</c:v>
                </c:pt>
                <c:pt idx="939">
                  <c:v>1112.3226587400416</c:v>
                </c:pt>
                <c:pt idx="940">
                  <c:v>1112.8188652916754</c:v>
                </c:pt>
                <c:pt idx="941">
                  <c:v>1113.3152932007904</c:v>
                </c:pt>
                <c:pt idx="942">
                  <c:v>1113.8119425661337</c:v>
                </c:pt>
                <c:pt idx="943">
                  <c:v>1114.308813486497</c:v>
                </c:pt>
                <c:pt idx="944">
                  <c:v>1114.8059060607161</c:v>
                </c:pt>
                <c:pt idx="945">
                  <c:v>1115.3032203876705</c:v>
                </c:pt>
                <c:pt idx="946">
                  <c:v>1115.8007565662838</c:v>
                </c:pt>
                <c:pt idx="947">
                  <c:v>1116.2985146955243</c:v>
                </c:pt>
                <c:pt idx="948">
                  <c:v>1116.7964948744034</c:v>
                </c:pt>
                <c:pt idx="949">
                  <c:v>1117.2946972019781</c:v>
                </c:pt>
                <c:pt idx="950">
                  <c:v>1117.7931217773485</c:v>
                </c:pt>
                <c:pt idx="951">
                  <c:v>1118.2917686996591</c:v>
                </c:pt>
                <c:pt idx="952">
                  <c:v>1118.6849999999999</c:v>
                </c:pt>
                <c:pt idx="953">
                  <c:v>1118.6849999999999</c:v>
                </c:pt>
                <c:pt idx="954">
                  <c:v>1118.6849999999999</c:v>
                </c:pt>
                <c:pt idx="955">
                  <c:v>1118.6849999999999</c:v>
                </c:pt>
                <c:pt idx="956">
                  <c:v>1118.6849999999999</c:v>
                </c:pt>
                <c:pt idx="957">
                  <c:v>1118.6849999999999</c:v>
                </c:pt>
                <c:pt idx="958">
                  <c:v>1118.6849999999999</c:v>
                </c:pt>
                <c:pt idx="959">
                  <c:v>1118.6849999999999</c:v>
                </c:pt>
                <c:pt idx="960">
                  <c:v>1118.6849999999999</c:v>
                </c:pt>
                <c:pt idx="961">
                  <c:v>1118.6849999999999</c:v>
                </c:pt>
                <c:pt idx="962">
                  <c:v>1118.6849999999999</c:v>
                </c:pt>
                <c:pt idx="963">
                  <c:v>1118.6849999999999</c:v>
                </c:pt>
                <c:pt idx="964">
                  <c:v>1118.6849999999999</c:v>
                </c:pt>
                <c:pt idx="965">
                  <c:v>1118.6849999999999</c:v>
                </c:pt>
                <c:pt idx="966">
                  <c:v>1118.6849999999999</c:v>
                </c:pt>
                <c:pt idx="967">
                  <c:v>1118.6849999999999</c:v>
                </c:pt>
                <c:pt idx="968">
                  <c:v>1118.6849999999999</c:v>
                </c:pt>
                <c:pt idx="969">
                  <c:v>1118.6849999999999</c:v>
                </c:pt>
                <c:pt idx="970">
                  <c:v>1118.6849999999999</c:v>
                </c:pt>
                <c:pt idx="971">
                  <c:v>1118.6849999999999</c:v>
                </c:pt>
                <c:pt idx="972">
                  <c:v>1118.6849999999999</c:v>
                </c:pt>
                <c:pt idx="973">
                  <c:v>1118.6849999999999</c:v>
                </c:pt>
                <c:pt idx="974">
                  <c:v>1118.6849999999999</c:v>
                </c:pt>
                <c:pt idx="975">
                  <c:v>1118.6849999999999</c:v>
                </c:pt>
                <c:pt idx="976">
                  <c:v>1118.6849999999999</c:v>
                </c:pt>
                <c:pt idx="977">
                  <c:v>1118.6849999999999</c:v>
                </c:pt>
                <c:pt idx="978">
                  <c:v>1118.6849999999999</c:v>
                </c:pt>
                <c:pt idx="979">
                  <c:v>1118.6849999999999</c:v>
                </c:pt>
                <c:pt idx="980">
                  <c:v>1118.6849999999999</c:v>
                </c:pt>
                <c:pt idx="981">
                  <c:v>1118.6849999999999</c:v>
                </c:pt>
                <c:pt idx="982">
                  <c:v>1118.6849999999999</c:v>
                </c:pt>
                <c:pt idx="983">
                  <c:v>1118.6849999999999</c:v>
                </c:pt>
                <c:pt idx="984">
                  <c:v>1118.6849999999999</c:v>
                </c:pt>
                <c:pt idx="985">
                  <c:v>1118.6849999999999</c:v>
                </c:pt>
                <c:pt idx="986">
                  <c:v>1118.6849999999999</c:v>
                </c:pt>
                <c:pt idx="987">
                  <c:v>1118.6849999999999</c:v>
                </c:pt>
                <c:pt idx="988">
                  <c:v>1118.6849999999999</c:v>
                </c:pt>
                <c:pt idx="989">
                  <c:v>1118.6849999999999</c:v>
                </c:pt>
                <c:pt idx="990">
                  <c:v>1118.6849999999999</c:v>
                </c:pt>
                <c:pt idx="991">
                  <c:v>1118.6849999999999</c:v>
                </c:pt>
                <c:pt idx="992">
                  <c:v>1118.6849999999999</c:v>
                </c:pt>
                <c:pt idx="993">
                  <c:v>1118.6849999999999</c:v>
                </c:pt>
                <c:pt idx="994">
                  <c:v>1118.6849999999999</c:v>
                </c:pt>
                <c:pt idx="995">
                  <c:v>1118.6849999999999</c:v>
                </c:pt>
                <c:pt idx="996">
                  <c:v>1118.6849999999999</c:v>
                </c:pt>
                <c:pt idx="997">
                  <c:v>1118.6849999999999</c:v>
                </c:pt>
                <c:pt idx="998">
                  <c:v>1118.6849999999999</c:v>
                </c:pt>
                <c:pt idx="999">
                  <c:v>1118.6849999999999</c:v>
                </c:pt>
                <c:pt idx="1000">
                  <c:v>1118.6849999999999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43A-4B30-9A72-F0FFE746C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150864"/>
        <c:axId val="1518147600"/>
      </c:scatterChart>
      <c:valAx>
        <c:axId val="1518149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46512"/>
        <c:crosses val="autoZero"/>
        <c:crossBetween val="midCat"/>
      </c:valAx>
      <c:valAx>
        <c:axId val="151814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Gas Rate (MMSCF/d)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49232"/>
        <c:crosses val="autoZero"/>
        <c:crossBetween val="midCat"/>
      </c:valAx>
      <c:valAx>
        <c:axId val="151814760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GOR (SCF/STB)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50864"/>
        <c:crosses val="max"/>
        <c:crossBetween val="midCat"/>
      </c:valAx>
      <c:valAx>
        <c:axId val="151815086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518147600"/>
        <c:crosses val="autoZero"/>
        <c:crossBetween val="midCat"/>
      </c:valAx>
      <c:spPr>
        <a:gradFill>
          <a:gsLst>
            <a:gs pos="0">
              <a:srgbClr val="FFCCCC"/>
            </a:gs>
            <a:gs pos="74000">
              <a:schemeClr val="accent3">
                <a:lumMod val="45000"/>
                <a:lumOff val="55000"/>
              </a:schemeClr>
            </a:gs>
            <a:gs pos="83000">
              <a:schemeClr val="accent3">
                <a:lumMod val="45000"/>
                <a:lumOff val="55000"/>
              </a:schemeClr>
            </a:gs>
            <a:gs pos="100000">
              <a:schemeClr val="accent3">
                <a:lumMod val="30000"/>
                <a:lumOff val="70000"/>
              </a:schemeClr>
            </a:gs>
          </a:gsLst>
          <a:lin ang="5400000" scaled="1"/>
        </a:gradFill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rgbClr val="FFCCCC"/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254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cap="all" baseline="0">
                <a:solidFill>
                  <a:schemeClr val="tx1"/>
                </a:solidFill>
              </a:rPr>
              <a:t>Water Prod Rate &amp; WCUT vs Time</a:t>
            </a:r>
          </a:p>
        </c:rich>
      </c:tx>
      <c:layout>
        <c:manualLayout>
          <c:xMode val="edge"/>
          <c:yMode val="edge"/>
          <c:x val="0.10659573280097016"/>
          <c:y val="3.446896543942894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5"/>
          <c:order val="2"/>
          <c:tx>
            <c:v>Qw</c:v>
          </c:tx>
          <c:spPr>
            <a:ln w="508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Production_Forecast!$K$12:$K$1012</c:f>
              <c:numCache>
                <c:formatCode>0.00</c:formatCode>
                <c:ptCount val="1001"/>
                <c:pt idx="0">
                  <c:v>0</c:v>
                </c:pt>
                <c:pt idx="1">
                  <c:v>2.990366109806172E-2</c:v>
                </c:pt>
                <c:pt idx="2">
                  <c:v>5.6372837931266531E-2</c:v>
                </c:pt>
                <c:pt idx="3">
                  <c:v>7.9801986620785331E-2</c:v>
                </c:pt>
                <c:pt idx="4">
                  <c:v>0.10054025935871833</c:v>
                </c:pt>
                <c:pt idx="5">
                  <c:v>0.11889670763826224</c:v>
                </c:pt>
                <c:pt idx="6">
                  <c:v>0.1351448878844034</c:v>
                </c:pt>
                <c:pt idx="7">
                  <c:v>0.14952693812041182</c:v>
                </c:pt>
                <c:pt idx="8">
                  <c:v>0.16225718642253756</c:v>
                </c:pt>
                <c:pt idx="9">
                  <c:v>0.17352534493779748</c:v>
                </c:pt>
                <c:pt idx="10">
                  <c:v>0.18349933706360874</c:v>
                </c:pt>
                <c:pt idx="11">
                  <c:v>0.19232779992122867</c:v>
                </c:pt>
                <c:pt idx="12">
                  <c:v>0.20014229941603701</c:v>
                </c:pt>
                <c:pt idx="13">
                  <c:v>0.20705929089453118</c:v>
                </c:pt>
                <c:pt idx="14">
                  <c:v>0.21318185461666689</c:v>
                </c:pt>
                <c:pt idx="15">
                  <c:v>0.21860123190636871</c:v>
                </c:pt>
                <c:pt idx="16">
                  <c:v>0.22339818487264843</c:v>
                </c:pt>
                <c:pt idx="17">
                  <c:v>0.22764419996453475</c:v>
                </c:pt>
                <c:pt idx="18">
                  <c:v>0.23186717293750775</c:v>
                </c:pt>
                <c:pt idx="19">
                  <c:v>0.23609014591048072</c:v>
                </c:pt>
                <c:pt idx="20">
                  <c:v>0.24031311888345366</c:v>
                </c:pt>
                <c:pt idx="21">
                  <c:v>0.24453609185642666</c:v>
                </c:pt>
                <c:pt idx="22">
                  <c:v>0.24875906482939963</c:v>
                </c:pt>
                <c:pt idx="23">
                  <c:v>0.25298203780237261</c:v>
                </c:pt>
                <c:pt idx="24">
                  <c:v>0.25720501077534558</c:v>
                </c:pt>
                <c:pt idx="25">
                  <c:v>0.26142798374831855</c:v>
                </c:pt>
                <c:pt idx="26">
                  <c:v>0.26565095672129152</c:v>
                </c:pt>
                <c:pt idx="27">
                  <c:v>0.26987392969426449</c:v>
                </c:pt>
                <c:pt idx="28">
                  <c:v>0.27409690266723746</c:v>
                </c:pt>
                <c:pt idx="29">
                  <c:v>0.27831987564021043</c:v>
                </c:pt>
                <c:pt idx="30">
                  <c:v>0.28254284861318341</c:v>
                </c:pt>
                <c:pt idx="31">
                  <c:v>0.28676582158615638</c:v>
                </c:pt>
                <c:pt idx="32">
                  <c:v>0.29098879455912929</c:v>
                </c:pt>
                <c:pt idx="33">
                  <c:v>0.29521176753210226</c:v>
                </c:pt>
                <c:pt idx="34">
                  <c:v>0.29943474050507524</c:v>
                </c:pt>
                <c:pt idx="35">
                  <c:v>0.30365771347804821</c:v>
                </c:pt>
                <c:pt idx="36">
                  <c:v>0.30788068645102118</c:v>
                </c:pt>
                <c:pt idx="37">
                  <c:v>0.31210365942399415</c:v>
                </c:pt>
                <c:pt idx="38">
                  <c:v>0.31632663239696712</c:v>
                </c:pt>
                <c:pt idx="39">
                  <c:v>0.32054960536994009</c:v>
                </c:pt>
                <c:pt idx="40">
                  <c:v>0.32477257834291301</c:v>
                </c:pt>
                <c:pt idx="41">
                  <c:v>0.32899555131588593</c:v>
                </c:pt>
                <c:pt idx="42">
                  <c:v>0.3332185242888589</c:v>
                </c:pt>
                <c:pt idx="43">
                  <c:v>0.33744149726183187</c:v>
                </c:pt>
                <c:pt idx="44">
                  <c:v>0.34166447023480484</c:v>
                </c:pt>
                <c:pt idx="45">
                  <c:v>0.34588744320777776</c:v>
                </c:pt>
                <c:pt idx="46">
                  <c:v>0.35011041618075067</c:v>
                </c:pt>
                <c:pt idx="47">
                  <c:v>0.3543333891537237</c:v>
                </c:pt>
                <c:pt idx="48">
                  <c:v>0.35855636212669667</c:v>
                </c:pt>
                <c:pt idx="49">
                  <c:v>0.36277933509966959</c:v>
                </c:pt>
                <c:pt idx="50">
                  <c:v>0.36700230807264256</c:v>
                </c:pt>
                <c:pt idx="51">
                  <c:v>0.37122528104561553</c:v>
                </c:pt>
                <c:pt idx="52">
                  <c:v>0.3754482540185885</c:v>
                </c:pt>
                <c:pt idx="53">
                  <c:v>0.37967122699156142</c:v>
                </c:pt>
                <c:pt idx="54">
                  <c:v>0.38389419996453439</c:v>
                </c:pt>
                <c:pt idx="55">
                  <c:v>0.38811717293750736</c:v>
                </c:pt>
                <c:pt idx="56">
                  <c:v>0.39234014591048039</c:v>
                </c:pt>
                <c:pt idx="57">
                  <c:v>0.39656311888345336</c:v>
                </c:pt>
                <c:pt idx="58">
                  <c:v>0.40078609185642633</c:v>
                </c:pt>
                <c:pt idx="59">
                  <c:v>0.40500906482939925</c:v>
                </c:pt>
                <c:pt idx="60">
                  <c:v>0.40923203780237222</c:v>
                </c:pt>
                <c:pt idx="61">
                  <c:v>0.41345501077534519</c:v>
                </c:pt>
                <c:pt idx="62">
                  <c:v>0.41767798374831816</c:v>
                </c:pt>
                <c:pt idx="63">
                  <c:v>0.42190095672129113</c:v>
                </c:pt>
                <c:pt idx="64">
                  <c:v>0.42612392969426405</c:v>
                </c:pt>
                <c:pt idx="65">
                  <c:v>0.43034690266723702</c:v>
                </c:pt>
                <c:pt idx="66">
                  <c:v>0.43456987564020999</c:v>
                </c:pt>
                <c:pt idx="67">
                  <c:v>0.43879284861318302</c:v>
                </c:pt>
                <c:pt idx="68">
                  <c:v>0.44301582158615599</c:v>
                </c:pt>
                <c:pt idx="69">
                  <c:v>0.44723879455912885</c:v>
                </c:pt>
                <c:pt idx="70">
                  <c:v>0.45146176753210182</c:v>
                </c:pt>
                <c:pt idx="71">
                  <c:v>0.45568474050507479</c:v>
                </c:pt>
                <c:pt idx="72">
                  <c:v>0.45990771347804771</c:v>
                </c:pt>
                <c:pt idx="73">
                  <c:v>0.46413068645102068</c:v>
                </c:pt>
                <c:pt idx="74">
                  <c:v>0.46835365942399365</c:v>
                </c:pt>
                <c:pt idx="75">
                  <c:v>0.47257663239696662</c:v>
                </c:pt>
                <c:pt idx="76">
                  <c:v>0.47679960536993954</c:v>
                </c:pt>
                <c:pt idx="77">
                  <c:v>0.48102257834291251</c:v>
                </c:pt>
                <c:pt idx="78">
                  <c:v>0.48524555131588548</c:v>
                </c:pt>
                <c:pt idx="79">
                  <c:v>0.48946852428885845</c:v>
                </c:pt>
                <c:pt idx="80">
                  <c:v>0.49369149726183137</c:v>
                </c:pt>
                <c:pt idx="81">
                  <c:v>0.49791447023480434</c:v>
                </c:pt>
                <c:pt idx="82">
                  <c:v>0.50213744320777731</c:v>
                </c:pt>
                <c:pt idx="83">
                  <c:v>0.50636041618075023</c:v>
                </c:pt>
                <c:pt idx="84">
                  <c:v>0.51058338915372325</c:v>
                </c:pt>
                <c:pt idx="85">
                  <c:v>0.51480636212669617</c:v>
                </c:pt>
                <c:pt idx="86">
                  <c:v>0.5190293350996692</c:v>
                </c:pt>
                <c:pt idx="87">
                  <c:v>0.52325230807264211</c:v>
                </c:pt>
                <c:pt idx="88">
                  <c:v>0.52747528104561503</c:v>
                </c:pt>
                <c:pt idx="89">
                  <c:v>0.53169825401858806</c:v>
                </c:pt>
                <c:pt idx="90">
                  <c:v>0.53592122699156108</c:v>
                </c:pt>
                <c:pt idx="91">
                  <c:v>0.540144199964534</c:v>
                </c:pt>
                <c:pt idx="92">
                  <c:v>0.54436717293750703</c:v>
                </c:pt>
                <c:pt idx="93">
                  <c:v>0.54859014591047994</c:v>
                </c:pt>
                <c:pt idx="94">
                  <c:v>0.55281311888345286</c:v>
                </c:pt>
                <c:pt idx="95">
                  <c:v>0.55703609185642577</c:v>
                </c:pt>
                <c:pt idx="96">
                  <c:v>0.56125906482939869</c:v>
                </c:pt>
                <c:pt idx="97">
                  <c:v>0.56548203780237172</c:v>
                </c:pt>
                <c:pt idx="98">
                  <c:v>0.56970501077534463</c:v>
                </c:pt>
                <c:pt idx="99">
                  <c:v>0.57392798374831755</c:v>
                </c:pt>
                <c:pt idx="100">
                  <c:v>0.57815095672129058</c:v>
                </c:pt>
                <c:pt idx="101">
                  <c:v>0.58237392969426349</c:v>
                </c:pt>
                <c:pt idx="102">
                  <c:v>0.58659690266723652</c:v>
                </c:pt>
                <c:pt idx="103">
                  <c:v>0.59081987564020955</c:v>
                </c:pt>
                <c:pt idx="104">
                  <c:v>0.59504284861318235</c:v>
                </c:pt>
                <c:pt idx="105">
                  <c:v>0.59926582158615538</c:v>
                </c:pt>
                <c:pt idx="106">
                  <c:v>0.60348879455912829</c:v>
                </c:pt>
                <c:pt idx="107">
                  <c:v>0.60771176753210132</c:v>
                </c:pt>
                <c:pt idx="108">
                  <c:v>0.61193474050507435</c:v>
                </c:pt>
                <c:pt idx="109">
                  <c:v>0.61615771347804726</c:v>
                </c:pt>
                <c:pt idx="110">
                  <c:v>0.62038068645102018</c:v>
                </c:pt>
                <c:pt idx="111">
                  <c:v>0.6246036594239931</c:v>
                </c:pt>
                <c:pt idx="112">
                  <c:v>0.62882663239696601</c:v>
                </c:pt>
                <c:pt idx="113">
                  <c:v>0.63304960536993893</c:v>
                </c:pt>
                <c:pt idx="114">
                  <c:v>0.63727257834291184</c:v>
                </c:pt>
                <c:pt idx="115">
                  <c:v>0.64149555131588487</c:v>
                </c:pt>
                <c:pt idx="116">
                  <c:v>0.64571852428885779</c:v>
                </c:pt>
                <c:pt idx="117">
                  <c:v>0.64994149726183081</c:v>
                </c:pt>
                <c:pt idx="118">
                  <c:v>0.65416447023480373</c:v>
                </c:pt>
                <c:pt idx="119">
                  <c:v>0.65838744320777665</c:v>
                </c:pt>
                <c:pt idx="120">
                  <c:v>0.66261041618074956</c:v>
                </c:pt>
                <c:pt idx="121">
                  <c:v>0.66683338915372248</c:v>
                </c:pt>
                <c:pt idx="122">
                  <c:v>0.67105636212669539</c:v>
                </c:pt>
                <c:pt idx="123">
                  <c:v>0.67527933509966842</c:v>
                </c:pt>
                <c:pt idx="124">
                  <c:v>0.67950230807264134</c:v>
                </c:pt>
                <c:pt idx="125">
                  <c:v>0.68372528104561436</c:v>
                </c:pt>
                <c:pt idx="126">
                  <c:v>0.68794825401858728</c:v>
                </c:pt>
                <c:pt idx="127">
                  <c:v>0.69217122699156008</c:v>
                </c:pt>
                <c:pt idx="128">
                  <c:v>0.69639419996453311</c:v>
                </c:pt>
                <c:pt idx="129">
                  <c:v>0.70061717293750603</c:v>
                </c:pt>
                <c:pt idx="130">
                  <c:v>0.70484014591047917</c:v>
                </c:pt>
                <c:pt idx="131">
                  <c:v>0.70906311888345219</c:v>
                </c:pt>
                <c:pt idx="132">
                  <c:v>0.71328609185642522</c:v>
                </c:pt>
                <c:pt idx="133">
                  <c:v>0.71750906482939814</c:v>
                </c:pt>
                <c:pt idx="134">
                  <c:v>0.72173203780237116</c:v>
                </c:pt>
                <c:pt idx="135">
                  <c:v>0.72595501077534419</c:v>
                </c:pt>
                <c:pt idx="136">
                  <c:v>0.73017798374831722</c:v>
                </c:pt>
                <c:pt idx="137">
                  <c:v>0.73440095672129024</c:v>
                </c:pt>
                <c:pt idx="138">
                  <c:v>0.73862392969426327</c:v>
                </c:pt>
                <c:pt idx="139">
                  <c:v>0.7428469026672363</c:v>
                </c:pt>
                <c:pt idx="140">
                  <c:v>0.74706987564020921</c:v>
                </c:pt>
                <c:pt idx="141">
                  <c:v>0.75129284861318224</c:v>
                </c:pt>
                <c:pt idx="142">
                  <c:v>0.75551582158615527</c:v>
                </c:pt>
                <c:pt idx="143">
                  <c:v>0.75973879455912829</c:v>
                </c:pt>
                <c:pt idx="144">
                  <c:v>0.76396176753210132</c:v>
                </c:pt>
                <c:pt idx="145">
                  <c:v>0.76818474050507435</c:v>
                </c:pt>
                <c:pt idx="146">
                  <c:v>0.77240771347804726</c:v>
                </c:pt>
                <c:pt idx="147">
                  <c:v>0.77663068645102018</c:v>
                </c:pt>
                <c:pt idx="148">
                  <c:v>0.78085365942399321</c:v>
                </c:pt>
                <c:pt idx="149">
                  <c:v>0.78507663239696601</c:v>
                </c:pt>
                <c:pt idx="150">
                  <c:v>0.78929960536993904</c:v>
                </c:pt>
                <c:pt idx="151">
                  <c:v>0.79352257834291196</c:v>
                </c:pt>
                <c:pt idx="152">
                  <c:v>0.79774555131588487</c:v>
                </c:pt>
                <c:pt idx="153">
                  <c:v>0.8019685242888579</c:v>
                </c:pt>
                <c:pt idx="154">
                  <c:v>0.80619149726183092</c:v>
                </c:pt>
                <c:pt idx="155">
                  <c:v>0.81041447023480395</c:v>
                </c:pt>
                <c:pt idx="156">
                  <c:v>0.81463744320777698</c:v>
                </c:pt>
                <c:pt idx="157">
                  <c:v>0.81886041618075001</c:v>
                </c:pt>
                <c:pt idx="158">
                  <c:v>0.82308338915372292</c:v>
                </c:pt>
                <c:pt idx="159">
                  <c:v>0.82730636212669595</c:v>
                </c:pt>
                <c:pt idx="160">
                  <c:v>0.83152933509966898</c:v>
                </c:pt>
                <c:pt idx="161">
                  <c:v>0.835752308072642</c:v>
                </c:pt>
                <c:pt idx="162">
                  <c:v>0.83997528104561503</c:v>
                </c:pt>
                <c:pt idx="163">
                  <c:v>0.84419825401858806</c:v>
                </c:pt>
                <c:pt idx="164">
                  <c:v>0.84842122699156108</c:v>
                </c:pt>
                <c:pt idx="165">
                  <c:v>0.85264419996453422</c:v>
                </c:pt>
                <c:pt idx="166">
                  <c:v>0.85686717293750725</c:v>
                </c:pt>
                <c:pt idx="167">
                  <c:v>0.86109014591048028</c:v>
                </c:pt>
                <c:pt idx="168">
                  <c:v>0.8653131188834533</c:v>
                </c:pt>
                <c:pt idx="169">
                  <c:v>0.86953609185642633</c:v>
                </c:pt>
                <c:pt idx="170">
                  <c:v>0.87375906482939936</c:v>
                </c:pt>
                <c:pt idx="171">
                  <c:v>0.87798203780237238</c:v>
                </c:pt>
                <c:pt idx="172">
                  <c:v>0.88220501077534541</c:v>
                </c:pt>
                <c:pt idx="173">
                  <c:v>0.88642798374831866</c:v>
                </c:pt>
                <c:pt idx="174">
                  <c:v>0.89065095672129146</c:v>
                </c:pt>
                <c:pt idx="175">
                  <c:v>0.89487392969426471</c:v>
                </c:pt>
                <c:pt idx="176">
                  <c:v>0.89909690266723774</c:v>
                </c:pt>
                <c:pt idx="177">
                  <c:v>0.90331987564021077</c:v>
                </c:pt>
                <c:pt idx="178">
                  <c:v>0.90754284861318379</c:v>
                </c:pt>
                <c:pt idx="179">
                  <c:v>0.91176582158615682</c:v>
                </c:pt>
                <c:pt idx="180">
                  <c:v>0.91598879455912985</c:v>
                </c:pt>
                <c:pt idx="181">
                  <c:v>0.92021176753210288</c:v>
                </c:pt>
                <c:pt idx="182">
                  <c:v>0.9244347405050759</c:v>
                </c:pt>
                <c:pt idx="183">
                  <c:v>0.92865771347804893</c:v>
                </c:pt>
                <c:pt idx="184">
                  <c:v>0.93288068645102196</c:v>
                </c:pt>
                <c:pt idx="185">
                  <c:v>0.93710365942399509</c:v>
                </c:pt>
                <c:pt idx="186">
                  <c:v>0.94132663239696812</c:v>
                </c:pt>
                <c:pt idx="187">
                  <c:v>0.94554960536994115</c:v>
                </c:pt>
                <c:pt idx="188">
                  <c:v>0.94977257834291418</c:v>
                </c:pt>
                <c:pt idx="189">
                  <c:v>0.9539955513158872</c:v>
                </c:pt>
                <c:pt idx="190">
                  <c:v>0.95821852428886023</c:v>
                </c:pt>
                <c:pt idx="191">
                  <c:v>0.96244149726183326</c:v>
                </c:pt>
                <c:pt idx="192">
                  <c:v>0.96666447023480628</c:v>
                </c:pt>
                <c:pt idx="193">
                  <c:v>0.97088744320777931</c:v>
                </c:pt>
                <c:pt idx="194">
                  <c:v>0.97511041618075234</c:v>
                </c:pt>
                <c:pt idx="195">
                  <c:v>0.97933338915372536</c:v>
                </c:pt>
                <c:pt idx="196">
                  <c:v>0.98355636212669839</c:v>
                </c:pt>
                <c:pt idx="197">
                  <c:v>0.98777933509967153</c:v>
                </c:pt>
                <c:pt idx="198">
                  <c:v>0.99200230807264467</c:v>
                </c:pt>
                <c:pt idx="199">
                  <c:v>0.99622528104561758</c:v>
                </c:pt>
                <c:pt idx="200">
                  <c:v>1.0004482540185906</c:v>
                </c:pt>
                <c:pt idx="201">
                  <c:v>1.0046712269915636</c:v>
                </c:pt>
                <c:pt idx="202">
                  <c:v>1.0088941999645367</c:v>
                </c:pt>
                <c:pt idx="203">
                  <c:v>1.0131171729375097</c:v>
                </c:pt>
                <c:pt idx="204">
                  <c:v>1.0173401459104827</c:v>
                </c:pt>
                <c:pt idx="205">
                  <c:v>1.0215631188834555</c:v>
                </c:pt>
                <c:pt idx="206">
                  <c:v>1.0257860918564286</c:v>
                </c:pt>
                <c:pt idx="207">
                  <c:v>1.0300090648294018</c:v>
                </c:pt>
                <c:pt idx="208">
                  <c:v>1.0342320378023748</c:v>
                </c:pt>
                <c:pt idx="209">
                  <c:v>1.0384550107753479</c:v>
                </c:pt>
                <c:pt idx="210">
                  <c:v>1.0426779837483211</c:v>
                </c:pt>
                <c:pt idx="211">
                  <c:v>1.0469009567212941</c:v>
                </c:pt>
                <c:pt idx="212">
                  <c:v>1.0511239296942669</c:v>
                </c:pt>
                <c:pt idx="213">
                  <c:v>1.0553469026672402</c:v>
                </c:pt>
                <c:pt idx="214">
                  <c:v>1.059569875640213</c:v>
                </c:pt>
                <c:pt idx="215">
                  <c:v>1.0637928486131862</c:v>
                </c:pt>
                <c:pt idx="216">
                  <c:v>1.0680158215861593</c:v>
                </c:pt>
                <c:pt idx="217">
                  <c:v>1.0722387945591323</c:v>
                </c:pt>
                <c:pt idx="218">
                  <c:v>1.0764617675321051</c:v>
                </c:pt>
                <c:pt idx="219">
                  <c:v>1.0806847405050783</c:v>
                </c:pt>
                <c:pt idx="220">
                  <c:v>1.0849077134780514</c:v>
                </c:pt>
                <c:pt idx="221">
                  <c:v>1.0891306864510244</c:v>
                </c:pt>
                <c:pt idx="222">
                  <c:v>1.0933536594239976</c:v>
                </c:pt>
                <c:pt idx="223">
                  <c:v>1.0975766323969707</c:v>
                </c:pt>
                <c:pt idx="224">
                  <c:v>1.1017996053699435</c:v>
                </c:pt>
                <c:pt idx="225">
                  <c:v>1.1060225783429167</c:v>
                </c:pt>
                <c:pt idx="226">
                  <c:v>1.1102455513158898</c:v>
                </c:pt>
                <c:pt idx="227">
                  <c:v>1.1144685242888628</c:v>
                </c:pt>
                <c:pt idx="228">
                  <c:v>1.1186914972618358</c:v>
                </c:pt>
                <c:pt idx="229">
                  <c:v>1.1229144702348091</c:v>
                </c:pt>
                <c:pt idx="230">
                  <c:v>1.1271374432077819</c:v>
                </c:pt>
                <c:pt idx="231">
                  <c:v>1.1313604161807551</c:v>
                </c:pt>
                <c:pt idx="232">
                  <c:v>1.1355833891537281</c:v>
                </c:pt>
                <c:pt idx="233">
                  <c:v>1.1398063621267012</c:v>
                </c:pt>
                <c:pt idx="234">
                  <c:v>1.144029335099674</c:v>
                </c:pt>
                <c:pt idx="235">
                  <c:v>1.1482523080726472</c:v>
                </c:pt>
                <c:pt idx="236">
                  <c:v>1.15247528104562</c:v>
                </c:pt>
                <c:pt idx="237">
                  <c:v>1.1566982540185931</c:v>
                </c:pt>
                <c:pt idx="238">
                  <c:v>1.1609212269915663</c:v>
                </c:pt>
                <c:pt idx="239">
                  <c:v>1.1651441999645393</c:v>
                </c:pt>
                <c:pt idx="240">
                  <c:v>1.1693671729375124</c:v>
                </c:pt>
                <c:pt idx="241">
                  <c:v>1.1735901459104856</c:v>
                </c:pt>
                <c:pt idx="242">
                  <c:v>1.1778131188834586</c:v>
                </c:pt>
                <c:pt idx="243">
                  <c:v>1.1820360918564317</c:v>
                </c:pt>
                <c:pt idx="244">
                  <c:v>1.1862590648294047</c:v>
                </c:pt>
                <c:pt idx="245">
                  <c:v>1.1904820378023779</c:v>
                </c:pt>
                <c:pt idx="246">
                  <c:v>1.194705010775351</c:v>
                </c:pt>
                <c:pt idx="247">
                  <c:v>1.198927983748324</c:v>
                </c:pt>
                <c:pt idx="248">
                  <c:v>1.2031509567212972</c:v>
                </c:pt>
                <c:pt idx="249">
                  <c:v>1.20737392969427</c:v>
                </c:pt>
                <c:pt idx="250">
                  <c:v>1.2115969026672431</c:v>
                </c:pt>
                <c:pt idx="251">
                  <c:v>1.2158198756402163</c:v>
                </c:pt>
                <c:pt idx="252">
                  <c:v>1.2200428486131893</c:v>
                </c:pt>
                <c:pt idx="253">
                  <c:v>1.2242658215861624</c:v>
                </c:pt>
                <c:pt idx="254">
                  <c:v>1.2284887945591354</c:v>
                </c:pt>
                <c:pt idx="255">
                  <c:v>1.2327117675321086</c:v>
                </c:pt>
                <c:pt idx="256">
                  <c:v>1.2369347405050817</c:v>
                </c:pt>
                <c:pt idx="257">
                  <c:v>1.2411577134780547</c:v>
                </c:pt>
                <c:pt idx="258">
                  <c:v>1.2453806864510277</c:v>
                </c:pt>
                <c:pt idx="259">
                  <c:v>1.249603659424001</c:v>
                </c:pt>
                <c:pt idx="260">
                  <c:v>1.2538266323969742</c:v>
                </c:pt>
                <c:pt idx="261">
                  <c:v>1.2580496053699468</c:v>
                </c:pt>
                <c:pt idx="262">
                  <c:v>1.2622725783429198</c:v>
                </c:pt>
                <c:pt idx="263">
                  <c:v>1.2664955513158929</c:v>
                </c:pt>
                <c:pt idx="264">
                  <c:v>1.2707185242888663</c:v>
                </c:pt>
                <c:pt idx="265">
                  <c:v>1.2749414972618389</c:v>
                </c:pt>
                <c:pt idx="266">
                  <c:v>1.2791644702348122</c:v>
                </c:pt>
                <c:pt idx="267">
                  <c:v>1.283387443207785</c:v>
                </c:pt>
                <c:pt idx="268">
                  <c:v>1.2876104161807582</c:v>
                </c:pt>
                <c:pt idx="269">
                  <c:v>1.291833389153731</c:v>
                </c:pt>
                <c:pt idx="270">
                  <c:v>1.2960563621267043</c:v>
                </c:pt>
                <c:pt idx="271">
                  <c:v>1.3002793350996773</c:v>
                </c:pt>
                <c:pt idx="272">
                  <c:v>1.3045023080726503</c:v>
                </c:pt>
                <c:pt idx="273">
                  <c:v>1.3087252810456236</c:v>
                </c:pt>
                <c:pt idx="274">
                  <c:v>1.3129482540185966</c:v>
                </c:pt>
                <c:pt idx="275">
                  <c:v>1.3171712269915696</c:v>
                </c:pt>
                <c:pt idx="276">
                  <c:v>1.3213941999645427</c:v>
                </c:pt>
                <c:pt idx="277">
                  <c:v>1.3256171729375157</c:v>
                </c:pt>
                <c:pt idx="278">
                  <c:v>1.3298401459104889</c:v>
                </c:pt>
                <c:pt idx="279">
                  <c:v>1.3340631188834617</c:v>
                </c:pt>
                <c:pt idx="280">
                  <c:v>1.338286091856435</c:v>
                </c:pt>
                <c:pt idx="281">
                  <c:v>1.3425090648294078</c:v>
                </c:pt>
                <c:pt idx="282">
                  <c:v>1.346732037802381</c:v>
                </c:pt>
                <c:pt idx="283">
                  <c:v>1.3509550107753536</c:v>
                </c:pt>
                <c:pt idx="284">
                  <c:v>1.3551779837483271</c:v>
                </c:pt>
                <c:pt idx="285">
                  <c:v>1.3594009567213001</c:v>
                </c:pt>
                <c:pt idx="286">
                  <c:v>1.3636239296942732</c:v>
                </c:pt>
                <c:pt idx="287">
                  <c:v>1.3678469026672462</c:v>
                </c:pt>
                <c:pt idx="288">
                  <c:v>1.3720698756402192</c:v>
                </c:pt>
                <c:pt idx="289">
                  <c:v>1.3762928486131925</c:v>
                </c:pt>
                <c:pt idx="290">
                  <c:v>1.3805158215861653</c:v>
                </c:pt>
                <c:pt idx="291">
                  <c:v>1.3847387945591385</c:v>
                </c:pt>
                <c:pt idx="292">
                  <c:v>1.3889617675321111</c:v>
                </c:pt>
                <c:pt idx="293">
                  <c:v>1.3931847405050846</c:v>
                </c:pt>
                <c:pt idx="294">
                  <c:v>1.3974077134780571</c:v>
                </c:pt>
                <c:pt idx="295">
                  <c:v>1.4016306864510304</c:v>
                </c:pt>
                <c:pt idx="296">
                  <c:v>1.4058536594240032</c:v>
                </c:pt>
                <c:pt idx="297">
                  <c:v>1.4100766323969764</c:v>
                </c:pt>
                <c:pt idx="298">
                  <c:v>1.4142996053699495</c:v>
                </c:pt>
                <c:pt idx="299">
                  <c:v>1.4185225783429223</c:v>
                </c:pt>
                <c:pt idx="300">
                  <c:v>1.4227455513158951</c:v>
                </c:pt>
                <c:pt idx="301">
                  <c:v>1.4269685242888683</c:v>
                </c:pt>
                <c:pt idx="302">
                  <c:v>1.4311914972618411</c:v>
                </c:pt>
                <c:pt idx="303">
                  <c:v>1.4354144702348144</c:v>
                </c:pt>
                <c:pt idx="304">
                  <c:v>1.4396374432077872</c:v>
                </c:pt>
                <c:pt idx="305">
                  <c:v>1.4438604161807609</c:v>
                </c:pt>
                <c:pt idx="306">
                  <c:v>1.4480833891537337</c:v>
                </c:pt>
                <c:pt idx="307">
                  <c:v>1.4523063621267069</c:v>
                </c:pt>
                <c:pt idx="308">
                  <c:v>1.4565293350996797</c:v>
                </c:pt>
                <c:pt idx="309">
                  <c:v>1.4607523080726532</c:v>
                </c:pt>
                <c:pt idx="310">
                  <c:v>1.464975281045626</c:v>
                </c:pt>
                <c:pt idx="311">
                  <c:v>1.469198254018599</c:v>
                </c:pt>
                <c:pt idx="312">
                  <c:v>1.4734212269915719</c:v>
                </c:pt>
                <c:pt idx="313">
                  <c:v>1.4776441999645451</c:v>
                </c:pt>
                <c:pt idx="314">
                  <c:v>1.4818671729375184</c:v>
                </c:pt>
                <c:pt idx="315">
                  <c:v>1.4860901459104912</c:v>
                </c:pt>
                <c:pt idx="316">
                  <c:v>1.490313118883464</c:v>
                </c:pt>
                <c:pt idx="317">
                  <c:v>1.494536091856437</c:v>
                </c:pt>
                <c:pt idx="318">
                  <c:v>1.49875906482941</c:v>
                </c:pt>
                <c:pt idx="319">
                  <c:v>1.502982037802383</c:v>
                </c:pt>
                <c:pt idx="320">
                  <c:v>1.5072050107753558</c:v>
                </c:pt>
                <c:pt idx="321">
                  <c:v>1.5114279837483291</c:v>
                </c:pt>
                <c:pt idx="322">
                  <c:v>1.5156509567213019</c:v>
                </c:pt>
                <c:pt idx="323">
                  <c:v>1.5198739296942751</c:v>
                </c:pt>
                <c:pt idx="324">
                  <c:v>1.524096902667248</c:v>
                </c:pt>
                <c:pt idx="325">
                  <c:v>1.5283198756402212</c:v>
                </c:pt>
                <c:pt idx="326">
                  <c:v>1.532542848613194</c:v>
                </c:pt>
                <c:pt idx="327">
                  <c:v>1.5367658215861673</c:v>
                </c:pt>
                <c:pt idx="328">
                  <c:v>1.5409887945591405</c:v>
                </c:pt>
                <c:pt idx="329">
                  <c:v>1.5452117675321133</c:v>
                </c:pt>
                <c:pt idx="330">
                  <c:v>1.5494347405050868</c:v>
                </c:pt>
                <c:pt idx="331">
                  <c:v>1.5536577134780598</c:v>
                </c:pt>
                <c:pt idx="332">
                  <c:v>1.5578806864510328</c:v>
                </c:pt>
                <c:pt idx="333">
                  <c:v>1.5621036594240059</c:v>
                </c:pt>
                <c:pt idx="334">
                  <c:v>1.5663266323969793</c:v>
                </c:pt>
                <c:pt idx="335">
                  <c:v>1.5705496053699521</c:v>
                </c:pt>
                <c:pt idx="336">
                  <c:v>1.5747725783429252</c:v>
                </c:pt>
                <c:pt idx="337">
                  <c:v>1.578995551315898</c:v>
                </c:pt>
                <c:pt idx="338">
                  <c:v>1.5832185242888712</c:v>
                </c:pt>
                <c:pt idx="339">
                  <c:v>1.5874414972618442</c:v>
                </c:pt>
                <c:pt idx="340">
                  <c:v>1.5916644702348173</c:v>
                </c:pt>
                <c:pt idx="341">
                  <c:v>1.5958874432077901</c:v>
                </c:pt>
                <c:pt idx="342">
                  <c:v>1.6001104161807629</c:v>
                </c:pt>
                <c:pt idx="343">
                  <c:v>1.6043333891537361</c:v>
                </c:pt>
                <c:pt idx="344">
                  <c:v>1.6085563621267089</c:v>
                </c:pt>
                <c:pt idx="345">
                  <c:v>1.612779335099682</c:v>
                </c:pt>
                <c:pt idx="346">
                  <c:v>1.6170023080726552</c:v>
                </c:pt>
                <c:pt idx="347">
                  <c:v>1.621225281045628</c:v>
                </c:pt>
                <c:pt idx="348">
                  <c:v>1.6254482540186013</c:v>
                </c:pt>
                <c:pt idx="349">
                  <c:v>1.6296712269915741</c:v>
                </c:pt>
                <c:pt idx="350">
                  <c:v>1.6338941999645473</c:v>
                </c:pt>
                <c:pt idx="351">
                  <c:v>1.6381171729375201</c:v>
                </c:pt>
                <c:pt idx="352">
                  <c:v>1.6423401459104934</c:v>
                </c:pt>
                <c:pt idx="353">
                  <c:v>1.6465631188834662</c:v>
                </c:pt>
                <c:pt idx="354">
                  <c:v>1.650786091856439</c:v>
                </c:pt>
                <c:pt idx="355">
                  <c:v>1.6550090648294122</c:v>
                </c:pt>
                <c:pt idx="356">
                  <c:v>1.6592320378023853</c:v>
                </c:pt>
                <c:pt idx="357">
                  <c:v>1.6634550107753581</c:v>
                </c:pt>
                <c:pt idx="358">
                  <c:v>1.6676779837483309</c:v>
                </c:pt>
                <c:pt idx="359">
                  <c:v>1.6719009567213041</c:v>
                </c:pt>
                <c:pt idx="360">
                  <c:v>1.6761239296942774</c:v>
                </c:pt>
                <c:pt idx="361">
                  <c:v>1.6803469026672502</c:v>
                </c:pt>
                <c:pt idx="362">
                  <c:v>1.684569875640223</c:v>
                </c:pt>
                <c:pt idx="363">
                  <c:v>1.688792848613196</c:v>
                </c:pt>
                <c:pt idx="364">
                  <c:v>1.6930158215861695</c:v>
                </c:pt>
                <c:pt idx="365">
                  <c:v>1.6972387945591423</c:v>
                </c:pt>
                <c:pt idx="366">
                  <c:v>1.7014617675321155</c:v>
                </c:pt>
                <c:pt idx="367">
                  <c:v>1.7056847405050883</c:v>
                </c:pt>
                <c:pt idx="368">
                  <c:v>1.7099077134780616</c:v>
                </c:pt>
                <c:pt idx="369">
                  <c:v>1.7141306864510344</c:v>
                </c:pt>
                <c:pt idx="370">
                  <c:v>1.7183536594240074</c:v>
                </c:pt>
                <c:pt idx="371">
                  <c:v>1.7225766323969804</c:v>
                </c:pt>
                <c:pt idx="372">
                  <c:v>1.7267996053699535</c:v>
                </c:pt>
                <c:pt idx="373">
                  <c:v>1.7310225783429267</c:v>
                </c:pt>
                <c:pt idx="374">
                  <c:v>1.7352455513158995</c:v>
                </c:pt>
                <c:pt idx="375">
                  <c:v>1.7394685242888728</c:v>
                </c:pt>
                <c:pt idx="376">
                  <c:v>1.7436914972618456</c:v>
                </c:pt>
                <c:pt idx="377">
                  <c:v>1.7479144702348188</c:v>
                </c:pt>
                <c:pt idx="378">
                  <c:v>1.7521374432077916</c:v>
                </c:pt>
                <c:pt idx="379">
                  <c:v>1.7563604161807644</c:v>
                </c:pt>
                <c:pt idx="380">
                  <c:v>1.7605833891537377</c:v>
                </c:pt>
                <c:pt idx="381">
                  <c:v>1.7648063621267105</c:v>
                </c:pt>
                <c:pt idx="382">
                  <c:v>1.7690293350996835</c:v>
                </c:pt>
                <c:pt idx="383">
                  <c:v>1.7732523080726563</c:v>
                </c:pt>
                <c:pt idx="384">
                  <c:v>1.7774752810456296</c:v>
                </c:pt>
                <c:pt idx="385">
                  <c:v>1.7816982540186028</c:v>
                </c:pt>
                <c:pt idx="386">
                  <c:v>1.7859212269915756</c:v>
                </c:pt>
                <c:pt idx="387">
                  <c:v>1.7901441999645484</c:v>
                </c:pt>
                <c:pt idx="388">
                  <c:v>1.7943671729375215</c:v>
                </c:pt>
                <c:pt idx="389">
                  <c:v>1.7985901459104949</c:v>
                </c:pt>
                <c:pt idx="390">
                  <c:v>1.8028131188834677</c:v>
                </c:pt>
                <c:pt idx="391">
                  <c:v>1.807036091856441</c:v>
                </c:pt>
                <c:pt idx="392">
                  <c:v>1.8112590648294138</c:v>
                </c:pt>
                <c:pt idx="393">
                  <c:v>1.8154820378023873</c:v>
                </c:pt>
                <c:pt idx="394">
                  <c:v>1.8197050107753603</c:v>
                </c:pt>
                <c:pt idx="395">
                  <c:v>1.8239279837483333</c:v>
                </c:pt>
                <c:pt idx="396">
                  <c:v>1.8281509567213063</c:v>
                </c:pt>
                <c:pt idx="397">
                  <c:v>1.8323739296942796</c:v>
                </c:pt>
                <c:pt idx="398">
                  <c:v>1.8365969026672524</c:v>
                </c:pt>
                <c:pt idx="399">
                  <c:v>1.8408198756402252</c:v>
                </c:pt>
                <c:pt idx="400">
                  <c:v>1.8450428486131982</c:v>
                </c:pt>
                <c:pt idx="401">
                  <c:v>1.8492658215861717</c:v>
                </c:pt>
                <c:pt idx="402">
                  <c:v>1.8534887945591445</c:v>
                </c:pt>
                <c:pt idx="403">
                  <c:v>1.857711767532118</c:v>
                </c:pt>
                <c:pt idx="404">
                  <c:v>1.8619347405050908</c:v>
                </c:pt>
                <c:pt idx="405">
                  <c:v>1.8661577134780645</c:v>
                </c:pt>
                <c:pt idx="406">
                  <c:v>1.8703806864510373</c:v>
                </c:pt>
                <c:pt idx="407">
                  <c:v>1.8746036594240101</c:v>
                </c:pt>
                <c:pt idx="408">
                  <c:v>1.8788266323969836</c:v>
                </c:pt>
                <c:pt idx="409">
                  <c:v>1.8830496053699568</c:v>
                </c:pt>
                <c:pt idx="410">
                  <c:v>1.8872725783429298</c:v>
                </c:pt>
                <c:pt idx="411">
                  <c:v>1.8914955513159026</c:v>
                </c:pt>
                <c:pt idx="412">
                  <c:v>1.8957185242888752</c:v>
                </c:pt>
                <c:pt idx="413">
                  <c:v>1.899941497261848</c:v>
                </c:pt>
                <c:pt idx="414">
                  <c:v>1.9041644702348215</c:v>
                </c:pt>
                <c:pt idx="415">
                  <c:v>1.908387443207795</c:v>
                </c:pt>
                <c:pt idx="416">
                  <c:v>1.9126104161807675</c:v>
                </c:pt>
                <c:pt idx="417">
                  <c:v>1.9168333891537406</c:v>
                </c:pt>
                <c:pt idx="418">
                  <c:v>1.921056362126714</c:v>
                </c:pt>
                <c:pt idx="419">
                  <c:v>1.9252793350996869</c:v>
                </c:pt>
                <c:pt idx="420">
                  <c:v>1.9295023080726599</c:v>
                </c:pt>
                <c:pt idx="421">
                  <c:v>1.9337252810456327</c:v>
                </c:pt>
                <c:pt idx="422">
                  <c:v>1.9379482540186062</c:v>
                </c:pt>
                <c:pt idx="423">
                  <c:v>1.942171226991579</c:v>
                </c:pt>
                <c:pt idx="424">
                  <c:v>1.9463941999645515</c:v>
                </c:pt>
                <c:pt idx="425">
                  <c:v>1.9506171729375246</c:v>
                </c:pt>
                <c:pt idx="426">
                  <c:v>1.954840145910498</c:v>
                </c:pt>
                <c:pt idx="427">
                  <c:v>1.9590631188834708</c:v>
                </c:pt>
                <c:pt idx="428">
                  <c:v>1.9632860918564436</c:v>
                </c:pt>
                <c:pt idx="429">
                  <c:v>1.9675090648294167</c:v>
                </c:pt>
                <c:pt idx="430">
                  <c:v>1.9717320378023901</c:v>
                </c:pt>
                <c:pt idx="431">
                  <c:v>1.975955010775363</c:v>
                </c:pt>
                <c:pt idx="432">
                  <c:v>1.9801779837483355</c:v>
                </c:pt>
                <c:pt idx="433">
                  <c:v>1.984400956721309</c:v>
                </c:pt>
                <c:pt idx="434">
                  <c:v>1.9886239296942827</c:v>
                </c:pt>
                <c:pt idx="435">
                  <c:v>1.9928469026672555</c:v>
                </c:pt>
                <c:pt idx="436">
                  <c:v>1.9970698756402281</c:v>
                </c:pt>
                <c:pt idx="437">
                  <c:v>2.0012928486132009</c:v>
                </c:pt>
                <c:pt idx="438">
                  <c:v>2.0055158215861737</c:v>
                </c:pt>
                <c:pt idx="439">
                  <c:v>2.0097387945591474</c:v>
                </c:pt>
                <c:pt idx="440">
                  <c:v>2.0139617675321202</c:v>
                </c:pt>
                <c:pt idx="441">
                  <c:v>2.018184740505093</c:v>
                </c:pt>
                <c:pt idx="442">
                  <c:v>2.0224077134780658</c:v>
                </c:pt>
                <c:pt idx="443">
                  <c:v>2.0266306864510395</c:v>
                </c:pt>
                <c:pt idx="444">
                  <c:v>2.0308536594240119</c:v>
                </c:pt>
                <c:pt idx="445">
                  <c:v>2.0350766323969856</c:v>
                </c:pt>
                <c:pt idx="446">
                  <c:v>2.0392996053699584</c:v>
                </c:pt>
                <c:pt idx="447">
                  <c:v>2.0435225783429321</c:v>
                </c:pt>
                <c:pt idx="448">
                  <c:v>2.0477455513159049</c:v>
                </c:pt>
                <c:pt idx="449">
                  <c:v>2.0519685242888772</c:v>
                </c:pt>
                <c:pt idx="450">
                  <c:v>2.05619149726185</c:v>
                </c:pt>
                <c:pt idx="451">
                  <c:v>2.0604144702348237</c:v>
                </c:pt>
                <c:pt idx="452">
                  <c:v>2.0646374432077965</c:v>
                </c:pt>
                <c:pt idx="453">
                  <c:v>2.0688604161807693</c:v>
                </c:pt>
                <c:pt idx="454">
                  <c:v>2.0730833891537426</c:v>
                </c:pt>
                <c:pt idx="455">
                  <c:v>2.0773063621267158</c:v>
                </c:pt>
                <c:pt idx="456">
                  <c:v>2.0815293350996886</c:v>
                </c:pt>
                <c:pt idx="457">
                  <c:v>2.0857523080726614</c:v>
                </c:pt>
                <c:pt idx="458">
                  <c:v>2.0899752810456347</c:v>
                </c:pt>
                <c:pt idx="459">
                  <c:v>2.0941982540186084</c:v>
                </c:pt>
                <c:pt idx="460">
                  <c:v>2.0984212269915812</c:v>
                </c:pt>
                <c:pt idx="461">
                  <c:v>2.102644199964554</c:v>
                </c:pt>
                <c:pt idx="462">
                  <c:v>2.1068671729375268</c:v>
                </c:pt>
                <c:pt idx="463">
                  <c:v>2.1110901459104996</c:v>
                </c:pt>
                <c:pt idx="464">
                  <c:v>2.1153131188834728</c:v>
                </c:pt>
                <c:pt idx="465">
                  <c:v>2.1195360918564461</c:v>
                </c:pt>
                <c:pt idx="466">
                  <c:v>2.1237590648294189</c:v>
                </c:pt>
                <c:pt idx="467">
                  <c:v>2.1279820378023917</c:v>
                </c:pt>
                <c:pt idx="468">
                  <c:v>2.1322050107753654</c:v>
                </c:pt>
                <c:pt idx="469">
                  <c:v>2.1364279837483378</c:v>
                </c:pt>
                <c:pt idx="470">
                  <c:v>2.1406509567213114</c:v>
                </c:pt>
                <c:pt idx="471">
                  <c:v>2.1448739296942843</c:v>
                </c:pt>
                <c:pt idx="472">
                  <c:v>2.1490969026672575</c:v>
                </c:pt>
                <c:pt idx="473">
                  <c:v>2.1533198756402303</c:v>
                </c:pt>
                <c:pt idx="474">
                  <c:v>2.1575428486132031</c:v>
                </c:pt>
                <c:pt idx="475">
                  <c:v>2.1617658215861759</c:v>
                </c:pt>
                <c:pt idx="476">
                  <c:v>2.1659887945591496</c:v>
                </c:pt>
                <c:pt idx="477">
                  <c:v>2.170211767532122</c:v>
                </c:pt>
                <c:pt idx="478">
                  <c:v>2.1744347405050957</c:v>
                </c:pt>
                <c:pt idx="479">
                  <c:v>2.1786577134780685</c:v>
                </c:pt>
                <c:pt idx="480">
                  <c:v>2.1828806864510422</c:v>
                </c:pt>
                <c:pt idx="481">
                  <c:v>2.1871036594240145</c:v>
                </c:pt>
                <c:pt idx="482">
                  <c:v>2.1913266323969873</c:v>
                </c:pt>
                <c:pt idx="483">
                  <c:v>2.195549605369961</c:v>
                </c:pt>
                <c:pt idx="484">
                  <c:v>2.1997725783429343</c:v>
                </c:pt>
                <c:pt idx="485">
                  <c:v>2.2039955513159071</c:v>
                </c:pt>
                <c:pt idx="486">
                  <c:v>2.2082185242888799</c:v>
                </c:pt>
                <c:pt idx="487">
                  <c:v>2.2124414972618527</c:v>
                </c:pt>
                <c:pt idx="488">
                  <c:v>2.2166644702348255</c:v>
                </c:pt>
                <c:pt idx="489">
                  <c:v>2.2208874432077992</c:v>
                </c:pt>
                <c:pt idx="490">
                  <c:v>2.225110416180772</c:v>
                </c:pt>
                <c:pt idx="491">
                  <c:v>2.2293333891537448</c:v>
                </c:pt>
                <c:pt idx="492">
                  <c:v>2.2335563621267176</c:v>
                </c:pt>
                <c:pt idx="493">
                  <c:v>2.2377793350996913</c:v>
                </c:pt>
                <c:pt idx="494">
                  <c:v>2.2420023080726637</c:v>
                </c:pt>
                <c:pt idx="495">
                  <c:v>2.2462252810456373</c:v>
                </c:pt>
                <c:pt idx="496">
                  <c:v>2.2504482540186102</c:v>
                </c:pt>
                <c:pt idx="497">
                  <c:v>2.2546712269915838</c:v>
                </c:pt>
                <c:pt idx="498">
                  <c:v>2.2588941999645562</c:v>
                </c:pt>
                <c:pt idx="499">
                  <c:v>2.263117172937529</c:v>
                </c:pt>
                <c:pt idx="500">
                  <c:v>2.2673401459105027</c:v>
                </c:pt>
                <c:pt idx="501">
                  <c:v>2.2715631188834755</c:v>
                </c:pt>
                <c:pt idx="502">
                  <c:v>2.2757860918564483</c:v>
                </c:pt>
                <c:pt idx="503">
                  <c:v>2.2800090648294216</c:v>
                </c:pt>
                <c:pt idx="504">
                  <c:v>2.2842320378023944</c:v>
                </c:pt>
                <c:pt idx="505">
                  <c:v>2.2884550107753672</c:v>
                </c:pt>
                <c:pt idx="506">
                  <c:v>2.2926779837483404</c:v>
                </c:pt>
                <c:pt idx="507">
                  <c:v>2.2969009567213137</c:v>
                </c:pt>
                <c:pt idx="508">
                  <c:v>2.3011239296942865</c:v>
                </c:pt>
                <c:pt idx="509">
                  <c:v>2.3053469026672602</c:v>
                </c:pt>
                <c:pt idx="510">
                  <c:v>2.3095698756402325</c:v>
                </c:pt>
                <c:pt idx="511">
                  <c:v>2.3137928486132058</c:v>
                </c:pt>
                <c:pt idx="512">
                  <c:v>2.3180158215861786</c:v>
                </c:pt>
                <c:pt idx="513">
                  <c:v>2.3222387945591514</c:v>
                </c:pt>
                <c:pt idx="514">
                  <c:v>2.3264617675321242</c:v>
                </c:pt>
                <c:pt idx="515">
                  <c:v>2.330684740505097</c:v>
                </c:pt>
                <c:pt idx="516">
                  <c:v>2.3349077134780707</c:v>
                </c:pt>
                <c:pt idx="517">
                  <c:v>2.3391306864510439</c:v>
                </c:pt>
                <c:pt idx="518">
                  <c:v>2.3433536594240167</c:v>
                </c:pt>
                <c:pt idx="519">
                  <c:v>2.3475766323969895</c:v>
                </c:pt>
                <c:pt idx="520">
                  <c:v>2.3517996053699632</c:v>
                </c:pt>
                <c:pt idx="521">
                  <c:v>2.356022578342936</c:v>
                </c:pt>
                <c:pt idx="522">
                  <c:v>2.3602455513159084</c:v>
                </c:pt>
                <c:pt idx="523">
                  <c:v>2.3644685242888812</c:v>
                </c:pt>
                <c:pt idx="524">
                  <c:v>2.3686914972618553</c:v>
                </c:pt>
                <c:pt idx="525">
                  <c:v>2.3729144702348282</c:v>
                </c:pt>
                <c:pt idx="526">
                  <c:v>2.3771374432078005</c:v>
                </c:pt>
                <c:pt idx="527">
                  <c:v>2.3813604161807738</c:v>
                </c:pt>
                <c:pt idx="528">
                  <c:v>2.385583389153747</c:v>
                </c:pt>
                <c:pt idx="529">
                  <c:v>2.3898063621267198</c:v>
                </c:pt>
                <c:pt idx="530">
                  <c:v>2.3940293350996926</c:v>
                </c:pt>
                <c:pt idx="531">
                  <c:v>2.3982523080726659</c:v>
                </c:pt>
                <c:pt idx="532">
                  <c:v>2.4024752810456391</c:v>
                </c:pt>
                <c:pt idx="533">
                  <c:v>2.4066982540186119</c:v>
                </c:pt>
                <c:pt idx="534">
                  <c:v>2.4109212269915856</c:v>
                </c:pt>
                <c:pt idx="535">
                  <c:v>2.415144199964558</c:v>
                </c:pt>
                <c:pt idx="536">
                  <c:v>2.4193671729375312</c:v>
                </c:pt>
                <c:pt idx="537">
                  <c:v>2.423590145910504</c:v>
                </c:pt>
                <c:pt idx="538">
                  <c:v>2.4278131188834768</c:v>
                </c:pt>
                <c:pt idx="539">
                  <c:v>2.4320360918564496</c:v>
                </c:pt>
                <c:pt idx="540">
                  <c:v>2.4362590648294224</c:v>
                </c:pt>
                <c:pt idx="541">
                  <c:v>2.4404820378023961</c:v>
                </c:pt>
                <c:pt idx="542">
                  <c:v>2.4447050107753694</c:v>
                </c:pt>
                <c:pt idx="543">
                  <c:v>2.4489279837483422</c:v>
                </c:pt>
                <c:pt idx="544">
                  <c:v>2.453150956721315</c:v>
                </c:pt>
                <c:pt idx="545">
                  <c:v>2.4573739296942887</c:v>
                </c:pt>
                <c:pt idx="546">
                  <c:v>2.4615969026672615</c:v>
                </c:pt>
                <c:pt idx="547">
                  <c:v>2.4658198756402339</c:v>
                </c:pt>
                <c:pt idx="548">
                  <c:v>2.4700428486132067</c:v>
                </c:pt>
                <c:pt idx="549">
                  <c:v>2.4742658215861808</c:v>
                </c:pt>
                <c:pt idx="550">
                  <c:v>2.4784887945591536</c:v>
                </c:pt>
                <c:pt idx="551">
                  <c:v>2.482711767532126</c:v>
                </c:pt>
                <c:pt idx="552">
                  <c:v>2.4869347405050988</c:v>
                </c:pt>
                <c:pt idx="553">
                  <c:v>2.4911577134780725</c:v>
                </c:pt>
                <c:pt idx="554">
                  <c:v>2.4953806864510453</c:v>
                </c:pt>
                <c:pt idx="555">
                  <c:v>2.4996036594240181</c:v>
                </c:pt>
                <c:pt idx="556">
                  <c:v>2.5038266323969913</c:v>
                </c:pt>
                <c:pt idx="557">
                  <c:v>2.508049605369965</c:v>
                </c:pt>
                <c:pt idx="558">
                  <c:v>2.5122725783429378</c:v>
                </c:pt>
                <c:pt idx="559">
                  <c:v>2.5164955513159106</c:v>
                </c:pt>
                <c:pt idx="560">
                  <c:v>2.5207185242888834</c:v>
                </c:pt>
                <c:pt idx="561">
                  <c:v>2.5249414972618567</c:v>
                </c:pt>
                <c:pt idx="562">
                  <c:v>2.5291644702348295</c:v>
                </c:pt>
                <c:pt idx="563">
                  <c:v>2.5333874432078023</c:v>
                </c:pt>
                <c:pt idx="564">
                  <c:v>2.5376104161807751</c:v>
                </c:pt>
                <c:pt idx="565">
                  <c:v>2.5418333891537479</c:v>
                </c:pt>
                <c:pt idx="566">
                  <c:v>2.5460563621267216</c:v>
                </c:pt>
                <c:pt idx="567">
                  <c:v>2.5502793350996944</c:v>
                </c:pt>
                <c:pt idx="568">
                  <c:v>2.5545023080726672</c:v>
                </c:pt>
                <c:pt idx="569">
                  <c:v>2.55872528104564</c:v>
                </c:pt>
                <c:pt idx="570">
                  <c:v>2.5629482540186137</c:v>
                </c:pt>
                <c:pt idx="571">
                  <c:v>2.5671712269915865</c:v>
                </c:pt>
                <c:pt idx="572">
                  <c:v>2.5713941999645589</c:v>
                </c:pt>
                <c:pt idx="573">
                  <c:v>2.5756171729375321</c:v>
                </c:pt>
                <c:pt idx="574">
                  <c:v>2.5798401459105058</c:v>
                </c:pt>
                <c:pt idx="575">
                  <c:v>2.5840631188834786</c:v>
                </c:pt>
                <c:pt idx="576">
                  <c:v>2.5882860918564514</c:v>
                </c:pt>
                <c:pt idx="577">
                  <c:v>2.5925090648294242</c:v>
                </c:pt>
                <c:pt idx="578">
                  <c:v>2.5967320378023975</c:v>
                </c:pt>
                <c:pt idx="579">
                  <c:v>2.6009550107753703</c:v>
                </c:pt>
                <c:pt idx="580">
                  <c:v>2.6051779837483431</c:v>
                </c:pt>
                <c:pt idx="581">
                  <c:v>2.6094009567213168</c:v>
                </c:pt>
                <c:pt idx="582">
                  <c:v>2.61362392969429</c:v>
                </c:pt>
                <c:pt idx="583">
                  <c:v>2.6178469026672628</c:v>
                </c:pt>
                <c:pt idx="584">
                  <c:v>2.6220698756402356</c:v>
                </c:pt>
                <c:pt idx="585">
                  <c:v>2.6262928486132089</c:v>
                </c:pt>
                <c:pt idx="586">
                  <c:v>2.6305158215861817</c:v>
                </c:pt>
                <c:pt idx="587">
                  <c:v>2.6347387945591545</c:v>
                </c:pt>
                <c:pt idx="588">
                  <c:v>2.6389617675321269</c:v>
                </c:pt>
                <c:pt idx="589">
                  <c:v>2.6431847405051005</c:v>
                </c:pt>
                <c:pt idx="590">
                  <c:v>2.6474077134780734</c:v>
                </c:pt>
                <c:pt idx="591">
                  <c:v>2.651630686451047</c:v>
                </c:pt>
                <c:pt idx="592">
                  <c:v>2.6558536594240199</c:v>
                </c:pt>
                <c:pt idx="593">
                  <c:v>2.6600766323969927</c:v>
                </c:pt>
                <c:pt idx="594">
                  <c:v>2.6642996053699655</c:v>
                </c:pt>
                <c:pt idx="595">
                  <c:v>2.6685225783429392</c:v>
                </c:pt>
                <c:pt idx="596">
                  <c:v>2.6727455513159115</c:v>
                </c:pt>
                <c:pt idx="597">
                  <c:v>2.6769685242888843</c:v>
                </c:pt>
                <c:pt idx="598">
                  <c:v>2.6811914972618576</c:v>
                </c:pt>
                <c:pt idx="599">
                  <c:v>2.6854144702348313</c:v>
                </c:pt>
                <c:pt idx="600">
                  <c:v>2.6896374432078036</c:v>
                </c:pt>
                <c:pt idx="601">
                  <c:v>2.6938604161807769</c:v>
                </c:pt>
                <c:pt idx="602">
                  <c:v>2.6980833891537497</c:v>
                </c:pt>
                <c:pt idx="603">
                  <c:v>2.7023063621267229</c:v>
                </c:pt>
                <c:pt idx="604">
                  <c:v>2.7065293350996957</c:v>
                </c:pt>
                <c:pt idx="605">
                  <c:v>2.7107523080726685</c:v>
                </c:pt>
                <c:pt idx="606">
                  <c:v>2.7149752810456418</c:v>
                </c:pt>
                <c:pt idx="607">
                  <c:v>2.7191982540186155</c:v>
                </c:pt>
                <c:pt idx="608">
                  <c:v>2.7234212269915883</c:v>
                </c:pt>
                <c:pt idx="609">
                  <c:v>2.7276441999645611</c:v>
                </c:pt>
                <c:pt idx="610">
                  <c:v>2.7318671729375343</c:v>
                </c:pt>
                <c:pt idx="611">
                  <c:v>2.7360902881561069</c:v>
                </c:pt>
                <c:pt idx="612">
                  <c:v>2.7403446299463425</c:v>
                </c:pt>
                <c:pt idx="613">
                  <c:v>2.7446304292038541</c:v>
                </c:pt>
                <c:pt idx="614">
                  <c:v>2.7489479185315449</c:v>
                </c:pt>
                <c:pt idx="615">
                  <c:v>2.7532973322522287</c:v>
                </c:pt>
                <c:pt idx="616">
                  <c:v>2.757678906421352</c:v>
                </c:pt>
                <c:pt idx="617">
                  <c:v>2.7620928788398023</c:v>
                </c:pt>
                <c:pt idx="618">
                  <c:v>2.7665394890668153</c:v>
                </c:pt>
                <c:pt idx="619">
                  <c:v>2.7710189784329771</c:v>
                </c:pt>
                <c:pt idx="620">
                  <c:v>2.77553159005332</c:v>
                </c:pt>
                <c:pt idx="621">
                  <c:v>2.7800775688405177</c:v>
                </c:pt>
                <c:pt idx="622">
                  <c:v>2.7846571615181808</c:v>
                </c:pt>
                <c:pt idx="623">
                  <c:v>2.7892706166342416</c:v>
                </c:pt>
                <c:pt idx="624">
                  <c:v>2.7939181845744483</c:v>
                </c:pt>
                <c:pt idx="625">
                  <c:v>2.798600117575949</c:v>
                </c:pt>
                <c:pt idx="626">
                  <c:v>2.8033166697409881</c:v>
                </c:pt>
                <c:pt idx="627">
                  <c:v>2.8080680970506919</c:v>
                </c:pt>
                <c:pt idx="628">
                  <c:v>2.8128546573789639</c:v>
                </c:pt>
                <c:pt idx="629">
                  <c:v>2.8176766105064779</c:v>
                </c:pt>
                <c:pt idx="630">
                  <c:v>2.8225342181347806</c:v>
                </c:pt>
                <c:pt idx="631">
                  <c:v>2.8274277439004933</c:v>
                </c:pt>
                <c:pt idx="632">
                  <c:v>2.8323574533896183</c:v>
                </c:pt>
                <c:pt idx="633">
                  <c:v>2.8373236141519551</c:v>
                </c:pt>
                <c:pt idx="634">
                  <c:v>2.8423264957156222</c:v>
                </c:pt>
                <c:pt idx="635">
                  <c:v>2.8473663696016818</c:v>
                </c:pt>
                <c:pt idx="636">
                  <c:v>2.8524435093388805</c:v>
                </c:pt>
                <c:pt idx="637">
                  <c:v>2.8575581904784886</c:v>
                </c:pt>
                <c:pt idx="638">
                  <c:v>2.8627106906092616</c:v>
                </c:pt>
                <c:pt idx="639">
                  <c:v>2.8679012893725022</c:v>
                </c:pt>
                <c:pt idx="640">
                  <c:v>2.8731302684772357</c:v>
                </c:pt>
                <c:pt idx="641">
                  <c:v>2.8783979117155019</c:v>
                </c:pt>
                <c:pt idx="642">
                  <c:v>2.8837045049777577</c:v>
                </c:pt>
                <c:pt idx="643">
                  <c:v>2.8890503362683919</c:v>
                </c:pt>
                <c:pt idx="644">
                  <c:v>2.8944356957213553</c:v>
                </c:pt>
                <c:pt idx="645">
                  <c:v>2.8998608756159086</c:v>
                </c:pt>
                <c:pt idx="646">
                  <c:v>2.9053261703924838</c:v>
                </c:pt>
                <c:pt idx="647">
                  <c:v>2.9108318766686678</c:v>
                </c:pt>
                <c:pt idx="648">
                  <c:v>2.9163782932552946</c:v>
                </c:pt>
                <c:pt idx="649">
                  <c:v>2.9219657211726702</c:v>
                </c:pt>
                <c:pt idx="650">
                  <c:v>2.9275944636669018</c:v>
                </c:pt>
                <c:pt idx="651">
                  <c:v>2.9332648262263636</c:v>
                </c:pt>
                <c:pt idx="652">
                  <c:v>2.9389771165982692</c:v>
                </c:pt>
                <c:pt idx="653">
                  <c:v>2.9447316448053824</c:v>
                </c:pt>
                <c:pt idx="654">
                  <c:v>2.9505287231628325</c:v>
                </c:pt>
                <c:pt idx="655">
                  <c:v>2.9563686662950746</c:v>
                </c:pt>
                <c:pt idx="656">
                  <c:v>2.9622517911529598</c:v>
                </c:pt>
                <c:pt idx="657">
                  <c:v>2.9681784170309378</c:v>
                </c:pt>
                <c:pt idx="658">
                  <c:v>2.974148865584386</c:v>
                </c:pt>
                <c:pt idx="659">
                  <c:v>2.9801634608470677</c:v>
                </c:pt>
                <c:pt idx="660">
                  <c:v>2.9862225292487174</c:v>
                </c:pt>
                <c:pt idx="661">
                  <c:v>2.9923263996327578</c:v>
                </c:pt>
                <c:pt idx="662">
                  <c:v>2.9984754032741452</c:v>
                </c:pt>
                <c:pt idx="663">
                  <c:v>3.0046698738973521</c:v>
                </c:pt>
                <c:pt idx="664">
                  <c:v>3.0109101476944757</c:v>
                </c:pt>
                <c:pt idx="665">
                  <c:v>3.0171965633434876</c:v>
                </c:pt>
                <c:pt idx="666">
                  <c:v>3.0235294620266133</c:v>
                </c:pt>
                <c:pt idx="667">
                  <c:v>3.0299091874488462</c:v>
                </c:pt>
                <c:pt idx="668">
                  <c:v>3.0363360858566062</c:v>
                </c:pt>
                <c:pt idx="669">
                  <c:v>3.0428105060565307</c:v>
                </c:pt>
                <c:pt idx="670">
                  <c:v>3.0493327994344015</c:v>
                </c:pt>
                <c:pt idx="671">
                  <c:v>3.0559033199742198</c:v>
                </c:pt>
                <c:pt idx="672">
                  <c:v>3.0625224242774176</c:v>
                </c:pt>
                <c:pt idx="673">
                  <c:v>3.0691904715822065</c:v>
                </c:pt>
                <c:pt idx="674">
                  <c:v>3.0759078237830835</c:v>
                </c:pt>
                <c:pt idx="675">
                  <c:v>3.0826748454504624</c:v>
                </c:pt>
                <c:pt idx="676">
                  <c:v>3.0894919038504685</c:v>
                </c:pt>
                <c:pt idx="677">
                  <c:v>3.0963593689648623</c:v>
                </c:pt>
                <c:pt idx="678">
                  <c:v>3.1032776135111324</c:v>
                </c:pt>
                <c:pt idx="679">
                  <c:v>3.1102470129627084</c:v>
                </c:pt>
                <c:pt idx="680">
                  <c:v>3.1172679455693508</c:v>
                </c:pt>
                <c:pt idx="681">
                  <c:v>3.1243407923776738</c:v>
                </c:pt>
                <c:pt idx="682">
                  <c:v>3.1314659372518312</c:v>
                </c:pt>
                <c:pt idx="683">
                  <c:v>3.138643766894341</c:v>
                </c:pt>
                <c:pt idx="684">
                  <c:v>3.1458746708670833</c:v>
                </c:pt>
                <c:pt idx="685">
                  <c:v>3.1531590416124344</c:v>
                </c:pt>
                <c:pt idx="686">
                  <c:v>3.1604972744745701</c:v>
                </c:pt>
                <c:pt idx="687">
                  <c:v>3.1678897677209217</c:v>
                </c:pt>
                <c:pt idx="688">
                  <c:v>3.1753369225637913</c:v>
                </c:pt>
                <c:pt idx="689">
                  <c:v>3.1828391431821248</c:v>
                </c:pt>
                <c:pt idx="690">
                  <c:v>3.1903968367434499</c:v>
                </c:pt>
                <c:pt idx="691">
                  <c:v>3.1980104134259757</c:v>
                </c:pt>
                <c:pt idx="692">
                  <c:v>3.205680286440848</c:v>
                </c:pt>
                <c:pt idx="693">
                  <c:v>3.213406872054585</c:v>
                </c:pt>
                <c:pt idx="694">
                  <c:v>3.2211905896116599</c:v>
                </c:pt>
                <c:pt idx="695">
                  <c:v>3.2290318615572642</c:v>
                </c:pt>
                <c:pt idx="696">
                  <c:v>3.2369311134602383</c:v>
                </c:pt>
                <c:pt idx="697">
                  <c:v>3.2448887740361627</c:v>
                </c:pt>
                <c:pt idx="698">
                  <c:v>3.2529052751706273</c:v>
                </c:pt>
                <c:pt idx="699">
                  <c:v>3.2609810519426738</c:v>
                </c:pt>
                <c:pt idx="700">
                  <c:v>3.2691165426484052</c:v>
                </c:pt>
                <c:pt idx="701">
                  <c:v>3.2773121888247765</c:v>
                </c:pt>
                <c:pt idx="702">
                  <c:v>3.2855684352735528</c:v>
                </c:pt>
                <c:pt idx="703">
                  <c:v>3.2938857300854596</c:v>
                </c:pt>
                <c:pt idx="704">
                  <c:v>3.3022645246644902</c:v>
                </c:pt>
                <c:pt idx="705">
                  <c:v>3.3107052737524163</c:v>
                </c:pt>
                <c:pt idx="706">
                  <c:v>3.3192084354534579</c:v>
                </c:pt>
                <c:pt idx="707">
                  <c:v>3.3277744712591542</c:v>
                </c:pt>
                <c:pt idx="708">
                  <c:v>3.3364038460734031</c:v>
                </c:pt>
                <c:pt idx="709">
                  <c:v>3.3450970282377015</c:v>
                </c:pt>
                <c:pt idx="710">
                  <c:v>3.3538544895565532</c:v>
                </c:pt>
                <c:pt idx="711">
                  <c:v>3.3626767053230826</c:v>
                </c:pt>
                <c:pt idx="712">
                  <c:v>3.3715641543448274</c:v>
                </c:pt>
                <c:pt idx="713">
                  <c:v>3.380517318969726</c:v>
                </c:pt>
                <c:pt idx="714">
                  <c:v>3.3895366851122959</c:v>
                </c:pt>
                <c:pt idx="715">
                  <c:v>3.3986227422800042</c:v>
                </c:pt>
                <c:pt idx="716">
                  <c:v>3.4077759835998371</c:v>
                </c:pt>
                <c:pt idx="717">
                  <c:v>3.4169969058450582</c:v>
                </c:pt>
                <c:pt idx="718">
                  <c:v>3.4262860094621796</c:v>
                </c:pt>
                <c:pt idx="719">
                  <c:v>3.4356437985981123</c:v>
                </c:pt>
                <c:pt idx="720">
                  <c:v>3.4450707811275314</c:v>
                </c:pt>
                <c:pt idx="721">
                  <c:v>3.4545674686804406</c:v>
                </c:pt>
                <c:pt idx="722">
                  <c:v>3.4641343766699451</c:v>
                </c:pt>
                <c:pt idx="723">
                  <c:v>3.4737720243202115</c:v>
                </c:pt>
                <c:pt idx="724">
                  <c:v>3.4834809346946618</c:v>
                </c:pt>
                <c:pt idx="725">
                  <c:v>3.4932616347243504</c:v>
                </c:pt>
                <c:pt idx="726">
                  <c:v>3.5031146552365704</c:v>
                </c:pt>
                <c:pt idx="727">
                  <c:v>3.5130405309836563</c:v>
                </c:pt>
                <c:pt idx="728">
                  <c:v>3.5230398006720165</c:v>
                </c:pt>
                <c:pt idx="729">
                  <c:v>3.5331130069913543</c:v>
                </c:pt>
                <c:pt idx="730">
                  <c:v>3.543260696644138</c:v>
                </c:pt>
                <c:pt idx="731">
                  <c:v>3.553483420375263</c:v>
                </c:pt>
                <c:pt idx="732">
                  <c:v>3.5637817330019459</c:v>
                </c:pt>
                <c:pt idx="733">
                  <c:v>3.5741561934438306</c:v>
                </c:pt>
                <c:pt idx="734">
                  <c:v>3.5846073647533303</c:v>
                </c:pt>
                <c:pt idx="735">
                  <c:v>3.5951358141461789</c:v>
                </c:pt>
                <c:pt idx="736">
                  <c:v>3.6057421130322225</c:v>
                </c:pt>
                <c:pt idx="737">
                  <c:v>3.6164268370464234</c:v>
                </c:pt>
                <c:pt idx="738">
                  <c:v>3.6271905660801091</c:v>
                </c:pt>
                <c:pt idx="739">
                  <c:v>3.638033884312438</c:v>
                </c:pt>
                <c:pt idx="740">
                  <c:v>3.6489573802421122</c:v>
                </c:pt>
                <c:pt idx="741">
                  <c:v>3.6599616467193106</c:v>
                </c:pt>
                <c:pt idx="742">
                  <c:v>3.6710472809778647</c:v>
                </c:pt>
                <c:pt idx="743">
                  <c:v>3.6822148846676779</c:v>
                </c:pt>
                <c:pt idx="744">
                  <c:v>3.6934650638873712</c:v>
                </c:pt>
                <c:pt idx="745">
                  <c:v>3.7047984292171856</c:v>
                </c:pt>
                <c:pt idx="746">
                  <c:v>3.7162155957521135</c:v>
                </c:pt>
                <c:pt idx="747">
                  <c:v>3.727717183135288</c:v>
                </c:pt>
                <c:pt idx="748">
                  <c:v>3.7393038155916041</c:v>
                </c:pt>
                <c:pt idx="749">
                  <c:v>3.7509761219616102</c:v>
                </c:pt>
                <c:pt idx="750">
                  <c:v>3.7627347357356209</c:v>
                </c:pt>
                <c:pt idx="751">
                  <c:v>3.7745802950881151</c:v>
                </c:pt>
                <c:pt idx="752">
                  <c:v>3.7865134429123533</c:v>
                </c:pt>
                <c:pt idx="753">
                  <c:v>3.7985348268552914</c:v>
                </c:pt>
                <c:pt idx="754">
                  <c:v>3.8106450993527079</c:v>
                </c:pt>
                <c:pt idx="755">
                  <c:v>3.8228449176646313</c:v>
                </c:pt>
                <c:pt idx="756">
                  <c:v>3.8351349439109987</c:v>
                </c:pt>
                <c:pt idx="757">
                  <c:v>3.8475158451076008</c:v>
                </c:pt>
                <c:pt idx="758">
                  <c:v>3.8599882932022758</c:v>
                </c:pt>
                <c:pt idx="759">
                  <c:v>3.8725529651113835</c:v>
                </c:pt>
                <c:pt idx="760">
                  <c:v>3.8852105427565378</c:v>
                </c:pt>
                <c:pt idx="761">
                  <c:v>3.8979617131016187</c:v>
                </c:pt>
                <c:pt idx="762">
                  <c:v>3.9108071681900607</c:v>
                </c:pt>
                <c:pt idx="763">
                  <c:v>3.9237476051824074</c:v>
                </c:pt>
                <c:pt idx="764">
                  <c:v>3.9367837263941441</c:v>
                </c:pt>
                <c:pt idx="765">
                  <c:v>3.9499162393338252</c:v>
                </c:pt>
                <c:pt idx="766">
                  <c:v>3.9631458567414639</c:v>
                </c:pt>
                <c:pt idx="767">
                  <c:v>3.9764732966272196</c:v>
                </c:pt>
                <c:pt idx="768">
                  <c:v>3.9898992823103643</c:v>
                </c:pt>
                <c:pt idx="769">
                  <c:v>4.0034245424585384</c:v>
                </c:pt>
                <c:pt idx="770">
                  <c:v>4.017049811127297</c:v>
                </c:pt>
                <c:pt idx="771">
                  <c:v>4.0307758277999568</c:v>
                </c:pt>
                <c:pt idx="772">
                  <c:v>4.0446033374277208</c:v>
                </c:pt>
                <c:pt idx="773">
                  <c:v>4.0585330904701102</c:v>
                </c:pt>
                <c:pt idx="774">
                  <c:v>4.0725658429357026</c:v>
                </c:pt>
                <c:pt idx="775">
                  <c:v>4.0867023564231486</c:v>
                </c:pt>
                <c:pt idx="776">
                  <c:v>4.1009433981625243</c:v>
                </c:pt>
                <c:pt idx="777">
                  <c:v>4.1152897410569471</c:v>
                </c:pt>
                <c:pt idx="778">
                  <c:v>4.1297421637245515</c:v>
                </c:pt>
                <c:pt idx="779">
                  <c:v>4.1443014505407199</c:v>
                </c:pt>
                <c:pt idx="780">
                  <c:v>4.158968391680677</c:v>
                </c:pt>
                <c:pt idx="781">
                  <c:v>4.1737437831623527</c:v>
                </c:pt>
                <c:pt idx="782">
                  <c:v>4.1886284268896059</c:v>
                </c:pt>
                <c:pt idx="783">
                  <c:v>4.2036231306957257</c:v>
                </c:pt>
                <c:pt idx="784">
                  <c:v>4.2187287083872897</c:v>
                </c:pt>
                <c:pt idx="785">
                  <c:v>4.233945979788329</c:v>
                </c:pt>
                <c:pt idx="786">
                  <c:v>4.2492757707848154</c:v>
                </c:pt>
                <c:pt idx="787">
                  <c:v>4.2647189133694887</c:v>
                </c:pt>
                <c:pt idx="788">
                  <c:v>4.2802762456870163</c:v>
                </c:pt>
                <c:pt idx="789">
                  <c:v>4.2959486120794752</c:v>
                </c:pt>
                <c:pt idx="790">
                  <c:v>4.3117368631321789</c:v>
                </c:pt>
                <c:pt idx="791">
                  <c:v>4.3276418557198442</c:v>
                </c:pt>
                <c:pt idx="792">
                  <c:v>4.3436644530530888</c:v>
                </c:pt>
                <c:pt idx="793">
                  <c:v>4.3598055247252878</c:v>
                </c:pt>
                <c:pt idx="794">
                  <c:v>4.3760659467597698</c:v>
                </c:pt>
                <c:pt idx="795">
                  <c:v>4.3924466016573502</c:v>
                </c:pt>
                <c:pt idx="796">
                  <c:v>4.4089483784442391</c:v>
                </c:pt>
                <c:pt idx="797">
                  <c:v>4.4255721727202877</c:v>
                </c:pt>
                <c:pt idx="798">
                  <c:v>4.4423188867075929</c:v>
                </c:pt>
                <c:pt idx="799">
                  <c:v>4.4591894292994665</c:v>
                </c:pt>
                <c:pt idx="800">
                  <c:v>4.476184716109759</c:v>
                </c:pt>
                <c:pt idx="801">
                  <c:v>4.4933056695225595</c:v>
                </c:pt>
                <c:pt idx="802">
                  <c:v>4.5105532187422464</c:v>
                </c:pt>
                <c:pt idx="803">
                  <c:v>4.5279282998439339</c:v>
                </c:pt>
                <c:pt idx="804">
                  <c:v>4.5454318558242575</c:v>
                </c:pt>
                <c:pt idx="805">
                  <c:v>4.563064836652563</c:v>
                </c:pt>
                <c:pt idx="806">
                  <c:v>4.580828199322462</c:v>
                </c:pt>
                <c:pt idx="807">
                  <c:v>4.5987229079037757</c:v>
                </c:pt>
                <c:pt idx="808">
                  <c:v>4.6167499335948445</c:v>
                </c:pt>
                <c:pt idx="809">
                  <c:v>4.6349102547752601</c:v>
                </c:pt>
                <c:pt idx="810">
                  <c:v>4.653204857058939</c:v>
                </c:pt>
                <c:pt idx="811">
                  <c:v>4.6716347333476334</c:v>
                </c:pt>
                <c:pt idx="812">
                  <c:v>4.690200883884807</c:v>
                </c:pt>
                <c:pt idx="813">
                  <c:v>4.7089043163099422</c:v>
                </c:pt>
                <c:pt idx="814">
                  <c:v>4.7277460457131877</c:v>
                </c:pt>
                <c:pt idx="815">
                  <c:v>4.7467270946904918</c:v>
                </c:pt>
                <c:pt idx="816">
                  <c:v>4.7658484933990923</c:v>
                </c:pt>
                <c:pt idx="817">
                  <c:v>4.7851112796133943</c:v>
                </c:pt>
                <c:pt idx="818">
                  <c:v>4.8045164987813411</c:v>
                </c:pt>
                <c:pt idx="819">
                  <c:v>4.8240652040811147</c:v>
                </c:pt>
                <c:pt idx="820">
                  <c:v>4.8437584564783212</c:v>
                </c:pt>
                <c:pt idx="821">
                  <c:v>4.8635973247835516</c:v>
                </c:pt>
                <c:pt idx="822">
                  <c:v>4.8835828857104122</c:v>
                </c:pt>
                <c:pt idx="823">
                  <c:v>4.9037162239339382</c:v>
                </c:pt>
                <c:pt idx="824">
                  <c:v>4.9239984321494745</c:v>
                </c:pt>
                <c:pt idx="825">
                  <c:v>4.9444306111319793</c:v>
                </c:pt>
                <c:pt idx="826">
                  <c:v>4.9650138697957598</c:v>
                </c:pt>
                <c:pt idx="827">
                  <c:v>4.985749325254667</c:v>
                </c:pt>
                <c:pt idx="828">
                  <c:v>5.0066381028827216</c:v>
                </c:pt>
                <c:pt idx="829">
                  <c:v>5.0276813363751769</c:v>
                </c:pt>
                <c:pt idx="830">
                  <c:v>5.0488801678100668</c:v>
                </c:pt>
                <c:pt idx="831">
                  <c:v>5.0702357477101794</c:v>
                </c:pt>
                <c:pt idx="832">
                  <c:v>5.0917492351055031</c:v>
                </c:pt>
                <c:pt idx="833">
                  <c:v>5.1134217975961258</c:v>
                </c:pt>
                <c:pt idx="834">
                  <c:v>5.1352546114156192</c:v>
                </c:pt>
                <c:pt idx="835">
                  <c:v>5.1572488614948488</c:v>
                </c:pt>
                <c:pt idx="836">
                  <c:v>5.1794057415263151</c:v>
                </c:pt>
                <c:pt idx="837">
                  <c:v>5.2017264540289077</c:v>
                </c:pt>
                <c:pt idx="838">
                  <c:v>5.2242122104132065</c:v>
                </c:pt>
                <c:pt idx="839">
                  <c:v>5.2468642310471774</c:v>
                </c:pt>
                <c:pt idx="840">
                  <c:v>5.2696837453224594</c:v>
                </c:pt>
                <c:pt idx="841">
                  <c:v>5.2926719917210638</c:v>
                </c:pt>
                <c:pt idx="842">
                  <c:v>5.3158302178825645</c:v>
                </c:pt>
                <c:pt idx="843">
                  <c:v>5.3391596806718633</c:v>
                </c:pt>
                <c:pt idx="844">
                  <c:v>5.362661646247358</c:v>
                </c:pt>
                <c:pt idx="845">
                  <c:v>5.3863373901296949</c:v>
                </c:pt>
                <c:pt idx="846">
                  <c:v>5.4101881972709611</c:v>
                </c:pt>
                <c:pt idx="847">
                  <c:v>5.4342153621244575</c:v>
                </c:pt>
                <c:pt idx="848">
                  <c:v>5.458420188714924</c:v>
                </c:pt>
                <c:pt idx="849">
                  <c:v>5.4828039907093267</c:v>
                </c:pt>
                <c:pt idx="850">
                  <c:v>5.5073680914881535</c:v>
                </c:pt>
                <c:pt idx="851">
                  <c:v>5.5321138242172356</c:v>
                </c:pt>
                <c:pt idx="852">
                  <c:v>5.5570425319201009</c:v>
                </c:pt>
                <c:pt idx="853">
                  <c:v>5.5821555675508705</c:v>
                </c:pt>
                <c:pt idx="854">
                  <c:v>5.607454294067689</c:v>
                </c:pt>
                <c:pt idx="855">
                  <c:v>5.632940084506675</c:v>
                </c:pt>
                <c:pt idx="856">
                  <c:v>5.6586143220564651</c:v>
                </c:pt>
                <c:pt idx="857">
                  <c:v>5.68447840013327</c:v>
                </c:pt>
                <c:pt idx="858">
                  <c:v>5.7105337224564998</c:v>
                </c:pt>
                <c:pt idx="859">
                  <c:v>5.7367817031249642</c:v>
                </c:pt>
                <c:pt idx="860">
                  <c:v>5.763223766693593</c:v>
                </c:pt>
                <c:pt idx="861">
                  <c:v>5.7898613482507653</c:v>
                </c:pt>
                <c:pt idx="862">
                  <c:v>5.8166958934962034</c:v>
                </c:pt>
                <c:pt idx="863">
                  <c:v>5.843728858819432</c:v>
                </c:pt>
                <c:pt idx="864">
                  <c:v>5.8709617113787882</c:v>
                </c:pt>
                <c:pt idx="865">
                  <c:v>5.8983959291811017</c:v>
                </c:pt>
                <c:pt idx="866">
                  <c:v>5.9260330011618896</c:v>
                </c:pt>
                <c:pt idx="867">
                  <c:v>5.9538744272661273</c:v>
                </c:pt>
                <c:pt idx="868">
                  <c:v>5.9819217185297235</c:v>
                </c:pt>
                <c:pt idx="869">
                  <c:v>6.0101763971614739</c:v>
                </c:pt>
                <c:pt idx="870">
                  <c:v>6.0386399966256947</c:v>
                </c:pt>
                <c:pt idx="871">
                  <c:v>6.0673140617254608</c:v>
                </c:pt>
                <c:pt idx="872">
                  <c:v>6.0962001486864326</c:v>
                </c:pt>
                <c:pt idx="873">
                  <c:v>6.1252998252413082</c:v>
                </c:pt>
                <c:pt idx="874">
                  <c:v>6.1546146707149276</c:v>
                </c:pt>
                <c:pt idx="875">
                  <c:v>6.1841462761099777</c:v>
                </c:pt>
                <c:pt idx="876">
                  <c:v>6.2138962441933412</c:v>
                </c:pt>
                <c:pt idx="877">
                  <c:v>6.2438661895830814</c:v>
                </c:pt>
                <c:pt idx="878">
                  <c:v>6.2740577388360927</c:v>
                </c:pt>
                <c:pt idx="879">
                  <c:v>6.3044725305363363</c:v>
                </c:pt>
                <c:pt idx="880">
                  <c:v>6.3351122153838197</c:v>
                </c:pt>
                <c:pt idx="881">
                  <c:v>6.3659784562841457</c:v>
                </c:pt>
                <c:pt idx="882">
                  <c:v>6.3970729284387842</c:v>
                </c:pt>
                <c:pt idx="883">
                  <c:v>6.4283973194359785</c:v>
                </c:pt>
                <c:pt idx="884">
                  <c:v>6.4599533293423583</c:v>
                </c:pt>
                <c:pt idx="885">
                  <c:v>6.4917426707951762</c:v>
                </c:pt>
                <c:pt idx="886">
                  <c:v>6.5237670690952783</c:v>
                </c:pt>
                <c:pt idx="887">
                  <c:v>6.5560282623007282</c:v>
                </c:pt>
                <c:pt idx="888">
                  <c:v>6.588528001321162</c:v>
                </c:pt>
                <c:pt idx="889">
                  <c:v>6.6212680500127732</c:v>
                </c:pt>
                <c:pt idx="890">
                  <c:v>6.6542501852740861</c:v>
                </c:pt>
                <c:pt idx="891">
                  <c:v>6.6874761971423773</c:v>
                </c:pt>
                <c:pt idx="892">
                  <c:v>6.7209478888907874</c:v>
                </c:pt>
                <c:pt idx="893">
                  <c:v>6.7546670771262667</c:v>
                </c:pt>
                <c:pt idx="894">
                  <c:v>6.7886355918881023</c:v>
                </c:pt>
                <c:pt idx="895">
                  <c:v>6.8228552767472701</c:v>
                </c:pt>
                <c:pt idx="896">
                  <c:v>6.8573279889064773</c:v>
                </c:pt>
                <c:pt idx="897">
                  <c:v>6.8920555993009769</c:v>
                </c:pt>
                <c:pt idx="898">
                  <c:v>6.9270399927000987</c:v>
                </c:pt>
                <c:pt idx="899">
                  <c:v>6.962283067809528</c:v>
                </c:pt>
                <c:pt idx="900">
                  <c:v>6.9977867373743683</c:v>
                </c:pt>
                <c:pt idx="901">
                  <c:v>7.033552928282953</c:v>
                </c:pt>
                <c:pt idx="902">
                  <c:v>7.0695835816714085</c:v>
                </c:pt>
                <c:pt idx="903">
                  <c:v>7.1058806530290397</c:v>
                </c:pt>
                <c:pt idx="904">
                  <c:v>7.1424461123044143</c:v>
                </c:pt>
                <c:pt idx="905">
                  <c:v>7.1792819440123061</c:v>
                </c:pt>
                <c:pt idx="906">
                  <c:v>7.2163901473413903</c:v>
                </c:pt>
                <c:pt idx="907">
                  <c:v>7.253772736262766</c:v>
                </c:pt>
                <c:pt idx="908">
                  <c:v>7.2914317396392194</c:v>
                </c:pt>
                <c:pt idx="909">
                  <c:v>7.3293692013353855</c:v>
                </c:pt>
                <c:pt idx="910">
                  <c:v>7.3675871803286288</c:v>
                </c:pt>
                <c:pt idx="911">
                  <c:v>7.40608775082082</c:v>
                </c:pt>
                <c:pt idx="912">
                  <c:v>7.4448730023508913</c:v>
                </c:pt>
                <c:pt idx="913">
                  <c:v>7.4839450399082761</c:v>
                </c:pt>
                <c:pt idx="914">
                  <c:v>7.5233059840470817</c:v>
                </c:pt>
                <c:pt idx="915">
                  <c:v>7.5629579710012562</c:v>
                </c:pt>
                <c:pt idx="916">
                  <c:v>7.6029031528005175</c:v>
                </c:pt>
                <c:pt idx="917">
                  <c:v>7.643143697387063</c:v>
                </c:pt>
                <c:pt idx="918">
                  <c:v>7.6836817887333533</c:v>
                </c:pt>
                <c:pt idx="919">
                  <c:v>7.7245196269605563</c:v>
                </c:pt>
                <c:pt idx="920">
                  <c:v>7.7656594284579903</c:v>
                </c:pt>
                <c:pt idx="921">
                  <c:v>7.8071034260033967</c:v>
                </c:pt>
                <c:pt idx="922">
                  <c:v>7.848853868884154</c:v>
                </c:pt>
                <c:pt idx="923">
                  <c:v>7.890913023019305</c:v>
                </c:pt>
                <c:pt idx="924">
                  <c:v>7.9332831710825573</c:v>
                </c:pt>
                <c:pt idx="925">
                  <c:v>7.9759666126261974</c:v>
                </c:pt>
                <c:pt idx="926">
                  <c:v>8.0189656642058402</c:v>
                </c:pt>
                <c:pt idx="927">
                  <c:v>8.0622826595061863</c:v>
                </c:pt>
                <c:pt idx="928">
                  <c:v>8.105919949467701</c:v>
                </c:pt>
                <c:pt idx="929">
                  <c:v>8.1498799024141508</c:v>
                </c:pt>
                <c:pt idx="930">
                  <c:v>8.1941649041811857</c:v>
                </c:pt>
                <c:pt idx="931">
                  <c:v>8.2387773582457999</c:v>
                </c:pt>
                <c:pt idx="932">
                  <c:v>8.2837196858567808</c:v>
                </c:pt>
                <c:pt idx="933">
                  <c:v>8.328994326166141</c:v>
                </c:pt>
                <c:pt idx="934">
                  <c:v>8.3746037363614718</c:v>
                </c:pt>
                <c:pt idx="935">
                  <c:v>8.4205503917992974</c:v>
                </c:pt>
                <c:pt idx="936">
                  <c:v>8.4668367861394351</c:v>
                </c:pt>
                <c:pt idx="937">
                  <c:v>8.5134654314803235</c:v>
                </c:pt>
                <c:pt idx="938">
                  <c:v>8.5604388584954023</c:v>
                </c:pt>
                <c:pt idx="939">
                  <c:v>8.6077596165703607</c:v>
                </c:pt>
                <c:pt idx="940">
                  <c:v>8.6554302739416205</c:v>
                </c:pt>
                <c:pt idx="941">
                  <c:v>8.7034534178356502</c:v>
                </c:pt>
                <c:pt idx="942">
                  <c:v>8.7518316546093775</c:v>
                </c:pt>
                <c:pt idx="943">
                  <c:v>8.8005676098916901</c:v>
                </c:pt>
                <c:pt idx="944">
                  <c:v>8.8496639287258869</c:v>
                </c:pt>
                <c:pt idx="945">
                  <c:v>8.8991232757132632</c:v>
                </c:pt>
                <c:pt idx="946">
                  <c:v>8.9489483351577075</c:v>
                </c:pt>
                <c:pt idx="947">
                  <c:v>8.9991418112114214</c:v>
                </c:pt>
                <c:pt idx="948">
                  <c:v>9.0497064280216364</c:v>
                </c:pt>
                <c:pt idx="949">
                  <c:v>9.1006449298784826</c:v>
                </c:pt>
                <c:pt idx="950">
                  <c:v>9.1519600813639261</c:v>
                </c:pt>
                <c:pt idx="951">
                  <c:v>9.2036546675018371</c:v>
                </c:pt>
                <c:pt idx="952">
                  <c:v>9.2557314939090833</c:v>
                </c:pt>
                <c:pt idx="953">
                  <c:v>9.3081933869478704</c:v>
                </c:pt>
                <c:pt idx="954">
                  <c:v>9.3610431938790697</c:v>
                </c:pt>
                <c:pt idx="955">
                  <c:v>9.4142837830167903</c:v>
                </c:pt>
                <c:pt idx="956">
                  <c:v>9.4679180438840369</c:v>
                </c:pt>
                <c:pt idx="957">
                  <c:v>9.5219488873695362</c:v>
                </c:pt>
                <c:pt idx="958">
                  <c:v>9.576379245885704</c:v>
                </c:pt>
                <c:pt idx="959">
                  <c:v>9.6312120735278288</c:v>
                </c:pt>
                <c:pt idx="960">
                  <c:v>9.6864503462343858</c:v>
                </c:pt>
                <c:pt idx="961">
                  <c:v>9.7420970619485168</c:v>
                </c:pt>
                <c:pt idx="962">
                  <c:v>9.7981552407807655</c:v>
                </c:pt>
                <c:pt idx="963">
                  <c:v>9.8546279251730304</c:v>
                </c:pt>
                <c:pt idx="964">
                  <c:v>9.9115181800635668</c:v>
                </c:pt>
                <c:pt idx="965">
                  <c:v>9.9688290930534738</c:v>
                </c:pt>
                <c:pt idx="966">
                  <c:v>10.026563774574194</c:v>
                </c:pt>
                <c:pt idx="967">
                  <c:v>10.084725358056273</c:v>
                </c:pt>
                <c:pt idx="968">
                  <c:v>10.143317000099541</c:v>
                </c:pt>
                <c:pt idx="969">
                  <c:v>10.202341880644356</c:v>
                </c:pt>
                <c:pt idx="970">
                  <c:v>10.261803203144181</c:v>
                </c:pt>
                <c:pt idx="971">
                  <c:v>10.321704194739464</c:v>
                </c:pt>
                <c:pt idx="972">
                  <c:v>10.382048106432817</c:v>
                </c:pt>
                <c:pt idx="973">
                  <c:v>10.442838213265397</c:v>
                </c:pt>
                <c:pt idx="974">
                  <c:v>10.504077814494684</c:v>
                </c:pt>
                <c:pt idx="975">
                  <c:v>10.565770233773543</c:v>
                </c:pt>
                <c:pt idx="976">
                  <c:v>10.627918819330606</c:v>
                </c:pt>
                <c:pt idx="977">
                  <c:v>10.690526944151955</c:v>
                </c:pt>
                <c:pt idx="978">
                  <c:v>10.753598006164294</c:v>
                </c:pt>
                <c:pt idx="979">
                  <c:v>10.817135428419213</c:v>
                </c:pt>
                <c:pt idx="980">
                  <c:v>10.881142659279071</c:v>
                </c:pt>
                <c:pt idx="981">
                  <c:v>10.945623172604108</c:v>
                </c:pt>
                <c:pt idx="982">
                  <c:v>11.010580467940999</c:v>
                </c:pt>
                <c:pt idx="983">
                  <c:v>11.076018070712767</c:v>
                </c:pt>
                <c:pt idx="984">
                  <c:v>11.141939532410159</c:v>
                </c:pt>
                <c:pt idx="985">
                  <c:v>11.208348430784335</c:v>
                </c:pt>
                <c:pt idx="986">
                  <c:v>11.275248370041073</c:v>
                </c:pt>
                <c:pt idx="987">
                  <c:v>11.342642981036402</c:v>
                </c:pt>
                <c:pt idx="988">
                  <c:v>11.410535921473652</c:v>
                </c:pt>
                <c:pt idx="989">
                  <c:v>11.478930876101883</c:v>
                </c:pt>
                <c:pt idx="990">
                  <c:v>11.547831556916009</c:v>
                </c:pt>
                <c:pt idx="991">
                  <c:v>11.617241703358186</c:v>
                </c:pt>
                <c:pt idx="992">
                  <c:v>11.687165082520695</c:v>
                </c:pt>
                <c:pt idx="993">
                  <c:v>11.757605489350549</c:v>
                </c:pt>
                <c:pt idx="994">
                  <c:v>11.828566746855316</c:v>
                </c:pt>
                <c:pt idx="995">
                  <c:v>11.900052706310664</c:v>
                </c:pt>
                <c:pt idx="996">
                  <c:v>11.972067247469399</c:v>
                </c:pt>
                <c:pt idx="997">
                  <c:v>12.044614278772</c:v>
                </c:pt>
                <c:pt idx="998">
                  <c:v>12.117697737558737</c:v>
                </c:pt>
                <c:pt idx="999">
                  <c:v>12.191321590283376</c:v>
                </c:pt>
                <c:pt idx="1000">
                  <c:v>12.26548983272845</c:v>
                </c:pt>
              </c:numCache>
              <c:extLst xmlns:c15="http://schemas.microsoft.com/office/drawing/2012/chart"/>
            </c:numRef>
          </c:xVal>
          <c:yVal>
            <c:numRef>
              <c:f>Production_Forecast!$Q$12:$Q$1012</c:f>
              <c:numCache>
                <c:formatCode>0.0</c:formatCode>
                <c:ptCount val="1001"/>
                <c:pt idx="0">
                  <c:v>3.0634101753485057</c:v>
                </c:pt>
                <c:pt idx="1">
                  <c:v>3.4819889327991413</c:v>
                </c:pt>
                <c:pt idx="2">
                  <c:v>3.957762078296835</c:v>
                </c:pt>
                <c:pt idx="3">
                  <c:v>4.4985447032775188</c:v>
                </c:pt>
                <c:pt idx="4">
                  <c:v>5.1132197715400647</c:v>
                </c:pt>
                <c:pt idx="5">
                  <c:v>5.8118840374596594</c:v>
                </c:pt>
                <c:pt idx="6">
                  <c:v>6.6060139032658451</c:v>
                </c:pt>
                <c:pt idx="7">
                  <c:v>7.5086539400020644</c:v>
                </c:pt>
                <c:pt idx="8">
                  <c:v>8.5346311690996455</c:v>
                </c:pt>
                <c:pt idx="9">
                  <c:v>9.7007986246925668</c:v>
                </c:pt>
                <c:pt idx="10">
                  <c:v>11.026312197822254</c:v>
                </c:pt>
                <c:pt idx="11">
                  <c:v>12.532945310437697</c:v>
                </c:pt>
                <c:pt idx="12">
                  <c:v>14.245446588566287</c:v>
                </c:pt>
                <c:pt idx="13">
                  <c:v>16.19194641042688</c:v>
                </c:pt>
                <c:pt idx="14">
                  <c:v>18.404419008182366</c:v>
                </c:pt>
                <c:pt idx="15">
                  <c:v>20.919207714676791</c:v>
                </c:pt>
                <c:pt idx="16">
                  <c:v>23.77762198386564</c:v>
                </c:pt>
                <c:pt idx="17">
                  <c:v>27.026615992769418</c:v>
                </c:pt>
                <c:pt idx="18">
                  <c:v>27.339734660201874</c:v>
                </c:pt>
                <c:pt idx="19">
                  <c:v>27.506400072099332</c:v>
                </c:pt>
                <c:pt idx="20">
                  <c:v>27.674085806649021</c:v>
                </c:pt>
                <c:pt idx="21">
                  <c:v>27.842798163029862</c:v>
                </c:pt>
                <c:pt idx="22">
                  <c:v>28.012543479955635</c:v>
                </c:pt>
                <c:pt idx="23">
                  <c:v>28.18332813593106</c:v>
                </c:pt>
                <c:pt idx="24">
                  <c:v>28.355158549509504</c:v>
                </c:pt>
                <c:pt idx="25">
                  <c:v>28.528041179552542</c:v>
                </c:pt>
                <c:pt idx="26">
                  <c:v>28.701982525491246</c:v>
                </c:pt>
                <c:pt idx="27">
                  <c:v>28.876989127589304</c:v>
                </c:pt>
                <c:pt idx="28">
                  <c:v>29.05306756720795</c:v>
                </c:pt>
                <c:pt idx="29">
                  <c:v>29.230224467072617</c:v>
                </c:pt>
                <c:pt idx="30">
                  <c:v>29.40846649154161</c:v>
                </c:pt>
                <c:pt idx="31">
                  <c:v>29.587800346876389</c:v>
                </c:pt>
                <c:pt idx="32">
                  <c:v>29.76823278151398</c:v>
                </c:pt>
                <c:pt idx="33">
                  <c:v>29.949770586341014</c:v>
                </c:pt>
                <c:pt idx="34">
                  <c:v>30.132420594969823</c:v>
                </c:pt>
                <c:pt idx="35">
                  <c:v>30.316189684016365</c:v>
                </c:pt>
                <c:pt idx="36">
                  <c:v>30.501084773380082</c:v>
                </c:pt>
                <c:pt idx="37">
                  <c:v>30.687112826525706</c:v>
                </c:pt>
                <c:pt idx="38">
                  <c:v>30.874280850767004</c:v>
                </c:pt>
                <c:pt idx="39">
                  <c:v>31.06259589755248</c:v>
                </c:pt>
                <c:pt idx="40">
                  <c:v>31.252065062753047</c:v>
                </c:pt>
                <c:pt idx="41">
                  <c:v>31.442695486951727</c:v>
                </c:pt>
                <c:pt idx="42">
                  <c:v>31.634494355735335</c:v>
                </c:pt>
                <c:pt idx="43">
                  <c:v>31.827468899988141</c:v>
                </c:pt>
                <c:pt idx="44">
                  <c:v>32.021626396187685</c:v>
                </c:pt>
                <c:pt idx="45">
                  <c:v>32.216974166702542</c:v>
                </c:pt>
                <c:pt idx="46">
                  <c:v>32.413519580092199</c:v>
                </c:pt>
                <c:pt idx="47">
                  <c:v>32.611270051409015</c:v>
                </c:pt>
                <c:pt idx="48">
                  <c:v>32.810233042502276</c:v>
                </c:pt>
                <c:pt idx="49">
                  <c:v>33.010416062324396</c:v>
                </c:pt>
                <c:pt idx="50">
                  <c:v>33.211826667239201</c:v>
                </c:pt>
                <c:pt idx="51">
                  <c:v>33.414472461332394</c:v>
                </c:pt>
                <c:pt idx="52">
                  <c:v>33.618361096724243</c:v>
                </c:pt>
                <c:pt idx="53">
                  <c:v>33.823500273884321</c:v>
                </c:pt>
                <c:pt idx="54">
                  <c:v>34.02989774194856</c:v>
                </c:pt>
                <c:pt idx="55">
                  <c:v>34.237561299038504</c:v>
                </c:pt>
                <c:pt idx="56">
                  <c:v>34.446498792582751</c:v>
                </c:pt>
                <c:pt idx="57">
                  <c:v>34.656718119640701</c:v>
                </c:pt>
                <c:pt idx="58">
                  <c:v>34.868227227228523</c:v>
                </c:pt>
                <c:pt idx="59">
                  <c:v>35.081034112647458</c:v>
                </c:pt>
                <c:pt idx="60">
                  <c:v>35.295146823814427</c:v>
                </c:pt>
                <c:pt idx="61">
                  <c:v>35.510573459594923</c:v>
                </c:pt>
                <c:pt idx="62">
                  <c:v>35.72732217013823</c:v>
                </c:pt>
                <c:pt idx="63">
                  <c:v>35.945401157215088</c:v>
                </c:pt>
                <c:pt idx="64">
                  <c:v>36.164818674557701</c:v>
                </c:pt>
                <c:pt idx="65">
                  <c:v>36.385583028202063</c:v>
                </c:pt>
                <c:pt idx="66">
                  <c:v>36.607702576832807</c:v>
                </c:pt>
                <c:pt idx="67">
                  <c:v>36.831185732130457</c:v>
                </c:pt>
                <c:pt idx="68">
                  <c:v>37.056040959121084</c:v>
                </c:pt>
                <c:pt idx="69">
                  <c:v>37.282276776528512</c:v>
                </c:pt>
                <c:pt idx="70">
                  <c:v>37.509901757128951</c:v>
                </c:pt>
                <c:pt idx="71">
                  <c:v>37.738924528108207</c:v>
                </c:pt>
                <c:pt idx="72">
                  <c:v>37.969353771421332</c:v>
                </c:pt>
                <c:pt idx="73">
                  <c:v>38.201198224154979</c:v>
                </c:pt>
                <c:pt idx="74">
                  <c:v>38.434466678892107</c:v>
                </c:pt>
                <c:pt idx="75">
                  <c:v>38.669167984079486</c:v>
                </c:pt>
                <c:pt idx="76">
                  <c:v>38.905311044397756</c:v>
                </c:pt>
                <c:pt idx="77">
                  <c:v>39.142904821134017</c:v>
                </c:pt>
                <c:pt idx="78">
                  <c:v>39.381958332557225</c:v>
                </c:pt>
                <c:pt idx="79">
                  <c:v>39.622480654296169</c:v>
                </c:pt>
                <c:pt idx="80">
                  <c:v>39.864480919720165</c:v>
                </c:pt>
                <c:pt idx="81">
                  <c:v>40.10796832032247</c:v>
                </c:pt>
                <c:pt idx="82">
                  <c:v>40.352952106106486</c:v>
                </c:pt>
                <c:pt idx="83">
                  <c:v>40.599441585974638</c:v>
                </c:pt>
                <c:pt idx="84">
                  <c:v>40.847446128120083</c:v>
                </c:pt>
                <c:pt idx="85">
                  <c:v>41.096975160421231</c:v>
                </c:pt>
                <c:pt idx="86">
                  <c:v>41.348038170839125</c:v>
                </c:pt>
                <c:pt idx="87">
                  <c:v>41.600644707817573</c:v>
                </c:pt>
                <c:pt idx="88">
                  <c:v>41.854804380686268</c:v>
                </c:pt>
                <c:pt idx="89">
                  <c:v>42.110526860066713</c:v>
                </c:pt>
                <c:pt idx="90">
                  <c:v>42.367821878281184</c:v>
                </c:pt>
                <c:pt idx="91">
                  <c:v>42.626699229764462</c:v>
                </c:pt>
                <c:pt idx="92">
                  <c:v>42.887168771478734</c:v>
                </c:pt>
                <c:pt idx="93">
                  <c:v>43.149240423331342</c:v>
                </c:pt>
                <c:pt idx="94">
                  <c:v>43.412924168595623</c:v>
                </c:pt>
                <c:pt idx="95">
                  <c:v>43.678230054334712</c:v>
                </c:pt>
                <c:pt idx="96">
                  <c:v>43.945168191828522</c:v>
                </c:pt>
                <c:pt idx="97">
                  <c:v>44.213748757003771</c:v>
                </c:pt>
                <c:pt idx="98">
                  <c:v>44.483981990867015</c:v>
                </c:pt>
                <c:pt idx="99">
                  <c:v>44.755878199941051</c:v>
                </c:pt>
                <c:pt idx="100">
                  <c:v>45.029447756704258</c:v>
                </c:pt>
                <c:pt idx="101">
                  <c:v>45.30470110003327</c:v>
                </c:pt>
                <c:pt idx="102">
                  <c:v>45.581648735648812</c:v>
                </c:pt>
                <c:pt idx="103">
                  <c:v>45.860301236564851</c:v>
                </c:pt>
                <c:pt idx="104">
                  <c:v>46.14066924354087</c:v>
                </c:pt>
                <c:pt idx="105">
                  <c:v>46.422763465537614</c:v>
                </c:pt>
                <c:pt idx="106">
                  <c:v>46.706594680176096</c:v>
                </c:pt>
                <c:pt idx="107">
                  <c:v>46.992173734199881</c:v>
                </c:pt>
                <c:pt idx="108">
                  <c:v>47.279511543940885</c:v>
                </c:pt>
                <c:pt idx="109">
                  <c:v>47.568619095788442</c:v>
                </c:pt>
                <c:pt idx="110">
                  <c:v>47.859507446661944</c:v>
                </c:pt>
                <c:pt idx="111">
                  <c:v>48.152187724486915</c:v>
                </c:pt>
                <c:pt idx="112">
                  <c:v>48.446671128674431</c:v>
                </c:pt>
                <c:pt idx="113">
                  <c:v>48.742968930604292</c:v>
                </c:pt>
                <c:pt idx="114">
                  <c:v>49.041092474111601</c:v>
                </c:pt>
                <c:pt idx="115">
                  <c:v>49.341053175976946</c:v>
                </c:pt>
                <c:pt idx="116">
                  <c:v>49.642862526420224</c:v>
                </c:pt>
                <c:pt idx="117">
                  <c:v>49.946532089598122</c:v>
                </c:pt>
                <c:pt idx="118">
                  <c:v>50.252073504105205</c:v>
                </c:pt>
                <c:pt idx="119">
                  <c:v>50.55949848347872</c:v>
                </c:pt>
                <c:pt idx="120">
                  <c:v>50.868818816707233</c:v>
                </c:pt>
                <c:pt idx="121">
                  <c:v>51.180046368742921</c:v>
                </c:pt>
                <c:pt idx="122">
                  <c:v>51.493193081017665</c:v>
                </c:pt>
                <c:pt idx="123">
                  <c:v>51.808270971963061</c:v>
                </c:pt>
                <c:pt idx="124">
                  <c:v>52.125292137534217</c:v>
                </c:pt>
                <c:pt idx="125">
                  <c:v>52.444268751737432</c:v>
                </c:pt>
                <c:pt idx="126">
                  <c:v>52.765213067161902</c:v>
                </c:pt>
                <c:pt idx="127">
                  <c:v>53.088137415515249</c:v>
                </c:pt>
                <c:pt idx="128">
                  <c:v>53.413054208163175</c:v>
                </c:pt>
                <c:pt idx="129">
                  <c:v>53.739975936672991</c:v>
                </c:pt>
                <c:pt idx="130">
                  <c:v>54.068915173361404</c:v>
                </c:pt>
                <c:pt idx="131">
                  <c:v>54.399884571846243</c:v>
                </c:pt>
                <c:pt idx="132">
                  <c:v>54.732896867602356</c:v>
                </c:pt>
                <c:pt idx="133">
                  <c:v>55.067964878521664</c:v>
                </c:pt>
                <c:pt idx="134">
                  <c:v>55.405101505477518</c:v>
                </c:pt>
                <c:pt idx="135">
                  <c:v>55.744319732893153</c:v>
                </c:pt>
                <c:pt idx="136">
                  <c:v>56.085632629314439</c:v>
                </c:pt>
                <c:pt idx="137">
                  <c:v>56.429053347987058</c:v>
                </c:pt>
                <c:pt idx="138">
                  <c:v>56.774595127437905</c:v>
                </c:pt>
                <c:pt idx="139">
                  <c:v>57.122271292060923</c:v>
                </c:pt>
                <c:pt idx="140">
                  <c:v>57.472095252707319</c:v>
                </c:pt>
                <c:pt idx="141">
                  <c:v>57.824080507280321</c:v>
                </c:pt>
                <c:pt idx="142">
                  <c:v>58.178240641334426</c:v>
                </c:pt>
                <c:pt idx="143">
                  <c:v>58.534589328679012</c:v>
                </c:pt>
                <c:pt idx="144">
                  <c:v>58.893140331986771</c:v>
                </c:pt>
                <c:pt idx="145">
                  <c:v>59.253907503406644</c:v>
                </c:pt>
                <c:pt idx="146">
                  <c:v>59.616904785181383</c:v>
                </c:pt>
                <c:pt idx="147">
                  <c:v>59.982146210269853</c:v>
                </c:pt>
                <c:pt idx="148">
                  <c:v>60.349645902974054</c:v>
                </c:pt>
                <c:pt idx="149">
                  <c:v>60.719418079570971</c:v>
                </c:pt>
                <c:pt idx="150">
                  <c:v>61.091477048949152</c:v>
                </c:pt>
                <c:pt idx="151">
                  <c:v>61.465837213250246</c:v>
                </c:pt>
                <c:pt idx="152">
                  <c:v>61.84251306851538</c:v>
                </c:pt>
                <c:pt idx="153">
                  <c:v>62.221519205336541</c:v>
                </c:pt>
                <c:pt idx="154">
                  <c:v>62.602870309512809</c:v>
                </c:pt>
                <c:pt idx="155">
                  <c:v>62.986581162711865</c:v>
                </c:pt>
                <c:pt idx="156">
                  <c:v>63.372666643136391</c:v>
                </c:pt>
                <c:pt idx="157">
                  <c:v>63.761141726195582</c:v>
                </c:pt>
                <c:pt idx="158">
                  <c:v>64.152021485182047</c:v>
                </c:pt>
                <c:pt idx="159">
                  <c:v>64.54532109195361</c:v>
                </c:pt>
                <c:pt idx="160">
                  <c:v>64.941055817620637</c:v>
                </c:pt>
                <c:pt idx="161">
                  <c:v>65.339241033238523</c:v>
                </c:pt>
                <c:pt idx="162">
                  <c:v>65.739892210505602</c:v>
                </c:pt>
                <c:pt idx="163">
                  <c:v>66.143024922466424</c:v>
                </c:pt>
                <c:pt idx="164">
                  <c:v>66.548654844220493</c:v>
                </c:pt>
                <c:pt idx="165">
                  <c:v>66.956797753636522</c:v>
                </c:pt>
                <c:pt idx="166">
                  <c:v>67.367469532072207</c:v>
                </c:pt>
                <c:pt idx="167">
                  <c:v>67.780686165099624</c:v>
                </c:pt>
                <c:pt idx="168">
                  <c:v>68.196463743236279</c:v>
                </c:pt>
                <c:pt idx="169">
                  <c:v>68.614818462681754</c:v>
                </c:pt>
                <c:pt idx="170">
                  <c:v>69.035766626060322</c:v>
                </c:pt>
                <c:pt idx="171">
                  <c:v>69.459324643169154</c:v>
                </c:pt>
                <c:pt idx="172">
                  <c:v>69.885509031732383</c:v>
                </c:pt>
                <c:pt idx="173">
                  <c:v>70.314336418161375</c:v>
                </c:pt>
                <c:pt idx="174">
                  <c:v>70.745823538320465</c:v>
                </c:pt>
                <c:pt idx="175">
                  <c:v>71.179987238299034</c:v>
                </c:pt>
                <c:pt idx="176">
                  <c:v>71.616844475189851</c:v>
                </c:pt>
                <c:pt idx="177">
                  <c:v>72.056412317872926</c:v>
                </c:pt>
                <c:pt idx="178">
                  <c:v>72.498707947806054</c:v>
                </c:pt>
                <c:pt idx="179">
                  <c:v>72.943748659821466</c:v>
                </c:pt>
                <c:pt idx="180">
                  <c:v>73.391551862928736</c:v>
                </c:pt>
                <c:pt idx="181">
                  <c:v>73.842135081123899</c:v>
                </c:pt>
                <c:pt idx="182">
                  <c:v>74.2955159542053</c:v>
                </c:pt>
                <c:pt idx="183">
                  <c:v>74.751712238595601</c:v>
                </c:pt>
                <c:pt idx="184">
                  <c:v>75.210741808170567</c:v>
                </c:pt>
                <c:pt idx="185">
                  <c:v>75.672622655094074</c:v>
                </c:pt>
                <c:pt idx="186">
                  <c:v>76.137372890660288</c:v>
                </c:pt>
                <c:pt idx="187">
                  <c:v>76.605010746142014</c:v>
                </c:pt>
                <c:pt idx="188">
                  <c:v>77.075554573646187</c:v>
                </c:pt>
                <c:pt idx="189">
                  <c:v>77.54902284697603</c:v>
                </c:pt>
                <c:pt idx="190">
                  <c:v>78.025434162500119</c:v>
                </c:pt>
                <c:pt idx="191">
                  <c:v>78.504807240028398</c:v>
                </c:pt>
                <c:pt idx="192">
                  <c:v>78.987160923695342</c:v>
                </c:pt>
                <c:pt idx="193">
                  <c:v>79.472514182849949</c:v>
                </c:pt>
                <c:pt idx="194">
                  <c:v>79.960886112953233</c:v>
                </c:pt>
                <c:pt idx="195">
                  <c:v>80.452295936482571</c:v>
                </c:pt>
                <c:pt idx="196">
                  <c:v>80.946763003843571</c:v>
                </c:pt>
                <c:pt idx="197">
                  <c:v>81.444306794289318</c:v>
                </c:pt>
                <c:pt idx="198">
                  <c:v>81.944946916846774</c:v>
                </c:pt>
                <c:pt idx="199">
                  <c:v>82.448703111251064</c:v>
                </c:pt>
                <c:pt idx="200">
                  <c:v>82.955595248886979</c:v>
                </c:pt>
                <c:pt idx="201">
                  <c:v>83.465643333738242</c:v>
                </c:pt>
                <c:pt idx="202">
                  <c:v>83.978867503344645</c:v>
                </c:pt>
                <c:pt idx="203">
                  <c:v>84.495288029766655</c:v>
                </c:pt>
                <c:pt idx="204">
                  <c:v>85.014925320558078</c:v>
                </c:pt>
                <c:pt idx="205">
                  <c:v>85.53779991974659</c:v>
                </c:pt>
                <c:pt idx="206">
                  <c:v>86.06393250882239</c:v>
                </c:pt>
                <c:pt idx="207">
                  <c:v>86.593343907734592</c:v>
                </c:pt>
                <c:pt idx="208">
                  <c:v>87.126055075896275</c:v>
                </c:pt>
                <c:pt idx="209">
                  <c:v>87.662087113197273</c:v>
                </c:pt>
                <c:pt idx="210">
                  <c:v>88.201461261025571</c:v>
                </c:pt>
                <c:pt idx="211">
                  <c:v>88.744198903297118</c:v>
                </c:pt>
                <c:pt idx="212">
                  <c:v>89.29032156749382</c:v>
                </c:pt>
                <c:pt idx="213">
                  <c:v>89.83985092571038</c:v>
                </c:pt>
                <c:pt idx="214">
                  <c:v>90.392808795709684</c:v>
                </c:pt>
                <c:pt idx="215">
                  <c:v>90.949217141986821</c:v>
                </c:pt>
                <c:pt idx="216">
                  <c:v>91.509098076842037</c:v>
                </c:pt>
                <c:pt idx="217">
                  <c:v>92.072473861462385</c:v>
                </c:pt>
                <c:pt idx="218">
                  <c:v>92.639366907012558</c:v>
                </c:pt>
                <c:pt idx="219">
                  <c:v>93.209799775734737</c:v>
                </c:pt>
                <c:pt idx="220">
                  <c:v>93.783795182057361</c:v>
                </c:pt>
                <c:pt idx="221">
                  <c:v>94.361375993713438</c:v>
                </c:pt>
                <c:pt idx="222">
                  <c:v>94.942565232868063</c:v>
                </c:pt>
                <c:pt idx="223">
                  <c:v>95.527386077255215</c:v>
                </c:pt>
                <c:pt idx="224">
                  <c:v>96.115861861324248</c:v>
                </c:pt>
                <c:pt idx="225">
                  <c:v>96.708016077395953</c:v>
                </c:pt>
                <c:pt idx="226">
                  <c:v>97.303872376828124</c:v>
                </c:pt>
                <c:pt idx="227">
                  <c:v>97.903454571191276</c:v>
                </c:pt>
                <c:pt idx="228">
                  <c:v>98.506786633453856</c:v>
                </c:pt>
                <c:pt idx="229">
                  <c:v>99.113892699177569</c:v>
                </c:pt>
                <c:pt idx="230">
                  <c:v>99.724797067723173</c:v>
                </c:pt>
                <c:pt idx="231">
                  <c:v>100.33952420346557</c:v>
                </c:pt>
                <c:pt idx="232">
                  <c:v>100.95809873702018</c:v>
                </c:pt>
                <c:pt idx="233">
                  <c:v>101.5805454664789</c:v>
                </c:pt>
                <c:pt idx="234">
                  <c:v>102.20688935865707</c:v>
                </c:pt>
                <c:pt idx="235">
                  <c:v>102.83715555035079</c:v>
                </c:pt>
                <c:pt idx="236">
                  <c:v>103.4713693496049</c:v>
                </c:pt>
                <c:pt idx="237">
                  <c:v>104.10955623699176</c:v>
                </c:pt>
                <c:pt idx="238">
                  <c:v>104.75174186690136</c:v>
                </c:pt>
                <c:pt idx="239">
                  <c:v>105.39795206884162</c:v>
                </c:pt>
                <c:pt idx="240">
                  <c:v>106.04821284875062</c:v>
                </c:pt>
                <c:pt idx="241">
                  <c:v>106.70255039031952</c:v>
                </c:pt>
                <c:pt idx="242">
                  <c:v>107.36099105632718</c:v>
                </c:pt>
                <c:pt idx="243">
                  <c:v>108.0235613899862</c:v>
                </c:pt>
                <c:pt idx="244">
                  <c:v>108.69028811630004</c:v>
                </c:pt>
                <c:pt idx="245">
                  <c:v>109.36119814343274</c:v>
                </c:pt>
                <c:pt idx="246">
                  <c:v>110.03631856408968</c:v>
                </c:pt>
                <c:pt idx="247">
                  <c:v>110.71567665691062</c:v>
                </c:pt>
                <c:pt idx="248">
                  <c:v>111.39929988787458</c:v>
                </c:pt>
                <c:pt idx="249">
                  <c:v>112.08721591171739</c:v>
                </c:pt>
                <c:pt idx="250">
                  <c:v>112.77945257336074</c:v>
                </c:pt>
                <c:pt idx="251">
                  <c:v>113.47603790935474</c:v>
                </c:pt>
                <c:pt idx="252">
                  <c:v>114.17700014933156</c:v>
                </c:pt>
                <c:pt idx="253">
                  <c:v>114.88236771747343</c:v>
                </c:pt>
                <c:pt idx="254">
                  <c:v>115.59216923399198</c:v>
                </c:pt>
                <c:pt idx="255">
                  <c:v>116.30643351662164</c:v>
                </c:pt>
                <c:pt idx="256">
                  <c:v>117.02518958212529</c:v>
                </c:pt>
                <c:pt idx="257">
                  <c:v>117.74846664781376</c:v>
                </c:pt>
                <c:pt idx="258">
                  <c:v>118.47629413307799</c:v>
                </c:pt>
                <c:pt idx="259">
                  <c:v>119.20870166093557</c:v>
                </c:pt>
                <c:pt idx="260">
                  <c:v>119.94571905958995</c:v>
                </c:pt>
                <c:pt idx="261">
                  <c:v>120.68737636400414</c:v>
                </c:pt>
                <c:pt idx="262">
                  <c:v>121.43370381748801</c:v>
                </c:pt>
                <c:pt idx="263">
                  <c:v>122.18473187329947</c:v>
                </c:pt>
                <c:pt idx="264">
                  <c:v>122.94049119626033</c:v>
                </c:pt>
                <c:pt idx="265">
                  <c:v>123.70101266438611</c:v>
                </c:pt>
                <c:pt idx="266">
                  <c:v>124.46632737053039</c:v>
                </c:pt>
                <c:pt idx="267">
                  <c:v>125.23646662404406</c:v>
                </c:pt>
                <c:pt idx="268">
                  <c:v>126.01146195244898</c:v>
                </c:pt>
                <c:pt idx="269">
                  <c:v>126.79134510312699</c:v>
                </c:pt>
                <c:pt idx="270">
                  <c:v>127.57614804502379</c:v>
                </c:pt>
                <c:pt idx="271">
                  <c:v>128.3659029703681</c:v>
                </c:pt>
                <c:pt idx="272">
                  <c:v>129.16064229640645</c:v>
                </c:pt>
                <c:pt idx="273">
                  <c:v>129.96039866715327</c:v>
                </c:pt>
                <c:pt idx="274">
                  <c:v>130.76520495515706</c:v>
                </c:pt>
                <c:pt idx="275">
                  <c:v>131.57509426328218</c:v>
                </c:pt>
                <c:pt idx="276">
                  <c:v>132.39009992650705</c:v>
                </c:pt>
                <c:pt idx="277">
                  <c:v>133.21025551373822</c:v>
                </c:pt>
                <c:pt idx="278">
                  <c:v>134.03559482964141</c:v>
                </c:pt>
                <c:pt idx="279">
                  <c:v>134.86615191648866</c:v>
                </c:pt>
                <c:pt idx="280">
                  <c:v>135.70196105602267</c:v>
                </c:pt>
                <c:pt idx="281">
                  <c:v>136.54305677133789</c:v>
                </c:pt>
                <c:pt idx="282">
                  <c:v>137.38947382877859</c:v>
                </c:pt>
                <c:pt idx="283">
                  <c:v>138.24124723985494</c:v>
                </c:pt>
                <c:pt idx="284">
                  <c:v>139.09841226317593</c:v>
                </c:pt>
                <c:pt idx="285">
                  <c:v>139.96100440640021</c:v>
                </c:pt>
                <c:pt idx="286">
                  <c:v>140.82905942820506</c:v>
                </c:pt>
                <c:pt idx="287">
                  <c:v>141.70261334027327</c:v>
                </c:pt>
                <c:pt idx="288">
                  <c:v>142.58170240929826</c:v>
                </c:pt>
                <c:pt idx="289">
                  <c:v>143.46636315900795</c:v>
                </c:pt>
                <c:pt idx="290">
                  <c:v>144.35663237220703</c:v>
                </c:pt>
                <c:pt idx="291">
                  <c:v>145.25254709283826</c:v>
                </c:pt>
                <c:pt idx="292">
                  <c:v>146.15414462806319</c:v>
                </c:pt>
                <c:pt idx="293">
                  <c:v>147.06146255036165</c:v>
                </c:pt>
                <c:pt idx="294">
                  <c:v>147.97453869965096</c:v>
                </c:pt>
                <c:pt idx="295">
                  <c:v>148.89341118542532</c:v>
                </c:pt>
                <c:pt idx="296">
                  <c:v>149.81811838891437</c:v>
                </c:pt>
                <c:pt idx="297">
                  <c:v>150.7486989652628</c:v>
                </c:pt>
                <c:pt idx="298">
                  <c:v>151.68519184572966</c:v>
                </c:pt>
                <c:pt idx="299">
                  <c:v>152.62763623990861</c:v>
                </c:pt>
                <c:pt idx="300">
                  <c:v>153.57607163796919</c:v>
                </c:pt>
                <c:pt idx="301">
                  <c:v>154.53053781291865</c:v>
                </c:pt>
                <c:pt idx="302">
                  <c:v>155.49107482288591</c:v>
                </c:pt>
                <c:pt idx="303">
                  <c:v>156.45772301342629</c:v>
                </c:pt>
                <c:pt idx="304">
                  <c:v>157.43052301984832</c:v>
                </c:pt>
                <c:pt idx="305">
                  <c:v>158.40951576956303</c:v>
                </c:pt>
                <c:pt idx="306">
                  <c:v>159.39474248445484</c:v>
                </c:pt>
                <c:pt idx="307">
                  <c:v>160.38624468327544</c:v>
                </c:pt>
                <c:pt idx="308">
                  <c:v>161.38406418406035</c:v>
                </c:pt>
                <c:pt idx="309">
                  <c:v>162.38824310656852</c:v>
                </c:pt>
                <c:pt idx="310">
                  <c:v>163.39882387474535</c:v>
                </c:pt>
                <c:pt idx="311">
                  <c:v>164.41584921920878</c:v>
                </c:pt>
                <c:pt idx="312">
                  <c:v>165.43936217976045</c:v>
                </c:pt>
                <c:pt idx="313">
                  <c:v>166.4694061079193</c:v>
                </c:pt>
                <c:pt idx="314">
                  <c:v>167.50602466948098</c:v>
                </c:pt>
                <c:pt idx="315">
                  <c:v>168.54926184710118</c:v>
                </c:pt>
                <c:pt idx="316">
                  <c:v>169.59916194290412</c:v>
                </c:pt>
                <c:pt idx="317">
                  <c:v>170.65576958111612</c:v>
                </c:pt>
                <c:pt idx="318">
                  <c:v>171.7191297107253</c:v>
                </c:pt>
                <c:pt idx="319">
                  <c:v>172.78928760816598</c:v>
                </c:pt>
                <c:pt idx="320">
                  <c:v>173.86628888003003</c:v>
                </c:pt>
                <c:pt idx="321">
                  <c:v>174.95017946580481</c:v>
                </c:pt>
                <c:pt idx="322">
                  <c:v>176.041005640637</c:v>
                </c:pt>
                <c:pt idx="323">
                  <c:v>177.13881401812384</c:v>
                </c:pt>
                <c:pt idx="324">
                  <c:v>178.24365155313228</c:v>
                </c:pt>
                <c:pt idx="325">
                  <c:v>179.35556554464463</c:v>
                </c:pt>
                <c:pt idx="326">
                  <c:v>180.47460363863331</c:v>
                </c:pt>
                <c:pt idx="327">
                  <c:v>181.60081383096292</c:v>
                </c:pt>
                <c:pt idx="328">
                  <c:v>182.73424447032181</c:v>
                </c:pt>
                <c:pt idx="329">
                  <c:v>183.87494426118204</c:v>
                </c:pt>
                <c:pt idx="330">
                  <c:v>185.02296226678874</c:v>
                </c:pt>
                <c:pt idx="331">
                  <c:v>186.17834791217931</c:v>
                </c:pt>
                <c:pt idx="332">
                  <c:v>187.34115098723245</c:v>
                </c:pt>
                <c:pt idx="333">
                  <c:v>188.51142164974752</c:v>
                </c:pt>
                <c:pt idx="334">
                  <c:v>189.6892104285545</c:v>
                </c:pt>
                <c:pt idx="335">
                  <c:v>190.87456822665544</c:v>
                </c:pt>
                <c:pt idx="336">
                  <c:v>192.06754632439694</c:v>
                </c:pt>
                <c:pt idx="337">
                  <c:v>193.26819638267426</c:v>
                </c:pt>
                <c:pt idx="338">
                  <c:v>194.47657044616827</c:v>
                </c:pt>
                <c:pt idx="339">
                  <c:v>195.69272094661446</c:v>
                </c:pt>
                <c:pt idx="340">
                  <c:v>196.91670070610471</c:v>
                </c:pt>
                <c:pt idx="341">
                  <c:v>198.14856294042315</c:v>
                </c:pt>
                <c:pt idx="342">
                  <c:v>199.38836126241509</c:v>
                </c:pt>
                <c:pt idx="343">
                  <c:v>200.63614968538997</c:v>
                </c:pt>
                <c:pt idx="344">
                  <c:v>201.89198262655989</c:v>
                </c:pt>
                <c:pt idx="345">
                  <c:v>203.15591491051205</c:v>
                </c:pt>
                <c:pt idx="346">
                  <c:v>204.4280017727165</c:v>
                </c:pt>
                <c:pt idx="347">
                  <c:v>205.70829886307089</c:v>
                </c:pt>
                <c:pt idx="348">
                  <c:v>206.99686224948042</c:v>
                </c:pt>
                <c:pt idx="349">
                  <c:v>208.29374842147465</c:v>
                </c:pt>
                <c:pt idx="350">
                  <c:v>209.59901429386133</c:v>
                </c:pt>
                <c:pt idx="351">
                  <c:v>210.9127172104188</c:v>
                </c:pt>
                <c:pt idx="352">
                  <c:v>212.23491494762507</c:v>
                </c:pt>
                <c:pt idx="353">
                  <c:v>213.56566571842581</c:v>
                </c:pt>
                <c:pt idx="354">
                  <c:v>214.90502817604218</c:v>
                </c:pt>
                <c:pt idx="355">
                  <c:v>216.25306141781707</c:v>
                </c:pt>
                <c:pt idx="356">
                  <c:v>217.60982498910113</c:v>
                </c:pt>
                <c:pt idx="357">
                  <c:v>218.97537888718063</c:v>
                </c:pt>
                <c:pt idx="358">
                  <c:v>220.34978356524502</c:v>
                </c:pt>
                <c:pt idx="359">
                  <c:v>221.73309993639555</c:v>
                </c:pt>
                <c:pt idx="360">
                  <c:v>223.12538937769742</c:v>
                </c:pt>
                <c:pt idx="361">
                  <c:v>224.52671373427316</c:v>
                </c:pt>
                <c:pt idx="362">
                  <c:v>225.93713532343878</c:v>
                </c:pt>
                <c:pt idx="363">
                  <c:v>227.35671693888477</c:v>
                </c:pt>
                <c:pt idx="364">
                  <c:v>228.78552185489991</c:v>
                </c:pt>
                <c:pt idx="365">
                  <c:v>230.22361383064012</c:v>
                </c:pt>
                <c:pt idx="366">
                  <c:v>231.67105711444231</c:v>
                </c:pt>
                <c:pt idx="367">
                  <c:v>233.12791644818452</c:v>
                </c:pt>
                <c:pt idx="368">
                  <c:v>234.59425707169197</c:v>
                </c:pt>
                <c:pt idx="369">
                  <c:v>236.07014472718919</c:v>
                </c:pt>
                <c:pt idx="370">
                  <c:v>237.55564566380133</c:v>
                </c:pt>
                <c:pt idx="371">
                  <c:v>239.05082664210258</c:v>
                </c:pt>
                <c:pt idx="372">
                  <c:v>240.55575493871243</c:v>
                </c:pt>
                <c:pt idx="373">
                  <c:v>242.07049835094324</c:v>
                </c:pt>
                <c:pt idx="374">
                  <c:v>243.59512520149602</c:v>
                </c:pt>
                <c:pt idx="375">
                  <c:v>245.12970434320721</c:v>
                </c:pt>
                <c:pt idx="376">
                  <c:v>246.67430516384732</c:v>
                </c:pt>
                <c:pt idx="377">
                  <c:v>248.22899759097081</c:v>
                </c:pt>
                <c:pt idx="378">
                  <c:v>249.79385209681797</c:v>
                </c:pt>
                <c:pt idx="379">
                  <c:v>251.36893970327151</c:v>
                </c:pt>
                <c:pt idx="380">
                  <c:v>252.95433198686581</c:v>
                </c:pt>
                <c:pt idx="381">
                  <c:v>254.55010108385059</c:v>
                </c:pt>
                <c:pt idx="382">
                  <c:v>256.15631969531103</c:v>
                </c:pt>
                <c:pt idx="383">
                  <c:v>257.77306109234291</c:v>
                </c:pt>
                <c:pt idx="384">
                  <c:v>259.40039912128447</c:v>
                </c:pt>
                <c:pt idx="385">
                  <c:v>261.03840820900609</c:v>
                </c:pt>
                <c:pt idx="386">
                  <c:v>262.68716336825838</c:v>
                </c:pt>
                <c:pt idx="387">
                  <c:v>264.3467402030783</c:v>
                </c:pt>
                <c:pt idx="388">
                  <c:v>266.01721491425565</c:v>
                </c:pt>
                <c:pt idx="389">
                  <c:v>267.69866430486047</c:v>
                </c:pt>
                <c:pt idx="390">
                  <c:v>269.39116578583088</c:v>
                </c:pt>
                <c:pt idx="391">
                  <c:v>271.09479738162264</c:v>
                </c:pt>
                <c:pt idx="392">
                  <c:v>272.80963773592373</c:v>
                </c:pt>
                <c:pt idx="393">
                  <c:v>274.53576611743006</c:v>
                </c:pt>
                <c:pt idx="394">
                  <c:v>276.27326242568734</c:v>
                </c:pt>
                <c:pt idx="395">
                  <c:v>278.02220719699818</c:v>
                </c:pt>
                <c:pt idx="396">
                  <c:v>279.78268161039483</c:v>
                </c:pt>
                <c:pt idx="397">
                  <c:v>281.55476749368</c:v>
                </c:pt>
                <c:pt idx="398">
                  <c:v>283.338547329535</c:v>
                </c:pt>
                <c:pt idx="399">
                  <c:v>285.13410426169702</c:v>
                </c:pt>
                <c:pt idx="400">
                  <c:v>286.94152210120689</c:v>
                </c:pt>
                <c:pt idx="401">
                  <c:v>288.76088533272662</c:v>
                </c:pt>
                <c:pt idx="402">
                  <c:v>290.59227912092962</c:v>
                </c:pt>
                <c:pt idx="403">
                  <c:v>292.43578931696351</c:v>
                </c:pt>
                <c:pt idx="404">
                  <c:v>294.29150246498585</c:v>
                </c:pt>
                <c:pt idx="405">
                  <c:v>296.15950580877575</c:v>
                </c:pt>
                <c:pt idx="406">
                  <c:v>298.03988729842081</c:v>
                </c:pt>
                <c:pt idx="407">
                  <c:v>299.93273559707967</c:v>
                </c:pt>
                <c:pt idx="408">
                  <c:v>301.83814008782451</c:v>
                </c:pt>
                <c:pt idx="409">
                  <c:v>303.75619088056055</c:v>
                </c:pt>
                <c:pt idx="410">
                  <c:v>305.68697881902636</c:v>
                </c:pt>
                <c:pt idx="411">
                  <c:v>307.63059548787453</c:v>
                </c:pt>
                <c:pt idx="412">
                  <c:v>309.58713321983583</c:v>
                </c:pt>
                <c:pt idx="413">
                  <c:v>311.55668510296431</c:v>
                </c:pt>
                <c:pt idx="414">
                  <c:v>313.53934498796957</c:v>
                </c:pt>
                <c:pt idx="415">
                  <c:v>315.53520749563216</c:v>
                </c:pt>
                <c:pt idx="416">
                  <c:v>317.54436802430678</c:v>
                </c:pt>
                <c:pt idx="417">
                  <c:v>319.56692275751391</c:v>
                </c:pt>
                <c:pt idx="418">
                  <c:v>321.60296867161935</c:v>
                </c:pt>
                <c:pt idx="419">
                  <c:v>323.65260354360521</c:v>
                </c:pt>
                <c:pt idx="420">
                  <c:v>325.71592595893151</c:v>
                </c:pt>
                <c:pt idx="421">
                  <c:v>327.79303531949193</c:v>
                </c:pt>
                <c:pt idx="422">
                  <c:v>329.884031851663</c:v>
                </c:pt>
                <c:pt idx="423">
                  <c:v>331.98901661444825</c:v>
                </c:pt>
                <c:pt idx="424">
                  <c:v>334.10809150772059</c:v>
                </c:pt>
                <c:pt idx="425">
                  <c:v>336.24135928056222</c:v>
                </c:pt>
                <c:pt idx="426">
                  <c:v>338.38892353970334</c:v>
                </c:pt>
                <c:pt idx="427">
                  <c:v>340.55088875806365</c:v>
                </c:pt>
                <c:pt idx="428">
                  <c:v>342.72736028339483</c:v>
                </c:pt>
                <c:pt idx="429">
                  <c:v>344.91844434702693</c:v>
                </c:pt>
                <c:pt idx="430">
                  <c:v>347.12424807272129</c:v>
                </c:pt>
                <c:pt idx="431">
                  <c:v>349.34487948562969</c:v>
                </c:pt>
                <c:pt idx="432">
                  <c:v>351.58044752136021</c:v>
                </c:pt>
                <c:pt idx="433">
                  <c:v>353.83106203515672</c:v>
                </c:pt>
                <c:pt idx="434">
                  <c:v>356.09683381118646</c:v>
                </c:pt>
                <c:pt idx="435">
                  <c:v>358.3778745719419</c:v>
                </c:pt>
                <c:pt idx="436">
                  <c:v>360.67429698775788</c:v>
                </c:pt>
                <c:pt idx="437">
                  <c:v>362.98621468644438</c:v>
                </c:pt>
                <c:pt idx="438">
                  <c:v>365.31374226303797</c:v>
                </c:pt>
                <c:pt idx="439">
                  <c:v>367.65699528967167</c:v>
                </c:pt>
                <c:pt idx="440">
                  <c:v>370.01609032556854</c:v>
                </c:pt>
                <c:pt idx="441">
                  <c:v>372.3911449271568</c:v>
                </c:pt>
                <c:pt idx="442">
                  <c:v>374.78227765830951</c:v>
                </c:pt>
                <c:pt idx="443">
                  <c:v>377.18960810071366</c:v>
                </c:pt>
                <c:pt idx="444">
                  <c:v>379.61325686436555</c:v>
                </c:pt>
                <c:pt idx="445">
                  <c:v>382.05334559819744</c:v>
                </c:pt>
                <c:pt idx="446">
                  <c:v>384.5099970008373</c:v>
                </c:pt>
                <c:pt idx="447">
                  <c:v>386.98333483150327</c:v>
                </c:pt>
                <c:pt idx="448">
                  <c:v>389.4734839210322</c:v>
                </c:pt>
                <c:pt idx="449">
                  <c:v>391.9805701830503</c:v>
                </c:pt>
                <c:pt idx="450">
                  <c:v>394.50472062528183</c:v>
                </c:pt>
                <c:pt idx="451">
                  <c:v>397.04606336100073</c:v>
                </c:pt>
                <c:pt idx="452">
                  <c:v>399.60472762062716</c:v>
                </c:pt>
                <c:pt idx="453">
                  <c:v>402.18084376347161</c:v>
                </c:pt>
                <c:pt idx="454">
                  <c:v>404.77454328962796</c:v>
                </c:pt>
                <c:pt idx="455">
                  <c:v>407.38595885201539</c:v>
                </c:pt>
                <c:pt idx="456">
                  <c:v>410.01522426857844</c:v>
                </c:pt>
                <c:pt idx="457">
                  <c:v>412.66247453463887</c:v>
                </c:pt>
                <c:pt idx="458">
                  <c:v>415.32784583540723</c:v>
                </c:pt>
                <c:pt idx="459">
                  <c:v>418.01147555865583</c:v>
                </c:pt>
                <c:pt idx="460">
                  <c:v>420.71350230755445</c:v>
                </c:pt>
                <c:pt idx="461">
                  <c:v>423.43406591366892</c:v>
                </c:pt>
                <c:pt idx="462">
                  <c:v>426.173307450133</c:v>
                </c:pt>
                <c:pt idx="463">
                  <c:v>428.93136924498566</c:v>
                </c:pt>
                <c:pt idx="464">
                  <c:v>431.70839489468449</c:v>
                </c:pt>
                <c:pt idx="465">
                  <c:v>434.50452927779452</c:v>
                </c:pt>
                <c:pt idx="466">
                  <c:v>437.31991856885492</c:v>
                </c:pt>
                <c:pt idx="467">
                  <c:v>440.15471025242675</c:v>
                </c:pt>
                <c:pt idx="468">
                  <c:v>443.00905313732676</c:v>
                </c:pt>
                <c:pt idx="469">
                  <c:v>445.88309737104561</c:v>
                </c:pt>
                <c:pt idx="470">
                  <c:v>448.77699445435786</c:v>
                </c:pt>
                <c:pt idx="471">
                  <c:v>451.69089725612253</c:v>
                </c:pt>
                <c:pt idx="472">
                  <c:v>454.62496002828237</c:v>
                </c:pt>
                <c:pt idx="473">
                  <c:v>457.57933842105979</c:v>
                </c:pt>
                <c:pt idx="474">
                  <c:v>460.55418949835371</c:v>
                </c:pt>
                <c:pt idx="475">
                  <c:v>463.54967175334548</c:v>
                </c:pt>
                <c:pt idx="476">
                  <c:v>466.56594512430917</c:v>
                </c:pt>
                <c:pt idx="477">
                  <c:v>469.60317101063401</c:v>
                </c:pt>
                <c:pt idx="478">
                  <c:v>472.66151228906392</c:v>
                </c:pt>
                <c:pt idx="479">
                  <c:v>475.74113333015327</c:v>
                </c:pt>
                <c:pt idx="480">
                  <c:v>478.84220001494469</c:v>
                </c:pt>
                <c:pt idx="481">
                  <c:v>481.96487975187273</c:v>
                </c:pt>
                <c:pt idx="482">
                  <c:v>485.10934149389556</c:v>
                </c:pt>
                <c:pt idx="483">
                  <c:v>488.27575575585962</c:v>
                </c:pt>
                <c:pt idx="484">
                  <c:v>491.46429463210052</c:v>
                </c:pt>
                <c:pt idx="485">
                  <c:v>494.67513181428376</c:v>
                </c:pt>
                <c:pt idx="486">
                  <c:v>497.90844260948882</c:v>
                </c:pt>
                <c:pt idx="487">
                  <c:v>501.16440395854073</c:v>
                </c:pt>
                <c:pt idx="488">
                  <c:v>504.44319445459558</c:v>
                </c:pt>
                <c:pt idx="489">
                  <c:v>507.74499436197914</c:v>
                </c:pt>
                <c:pt idx="490">
                  <c:v>511.06998563528504</c:v>
                </c:pt>
                <c:pt idx="491">
                  <c:v>514.41835193874113</c:v>
                </c:pt>
                <c:pt idx="492">
                  <c:v>517.79027866583965</c:v>
                </c:pt>
                <c:pt idx="493">
                  <c:v>521.18595295924229</c:v>
                </c:pt>
                <c:pt idx="494">
                  <c:v>524.60556373096267</c:v>
                </c:pt>
                <c:pt idx="495">
                  <c:v>528.04930168283033</c:v>
                </c:pt>
                <c:pt idx="496">
                  <c:v>531.51735932724023</c:v>
                </c:pt>
                <c:pt idx="497">
                  <c:v>535.00993100819517</c:v>
                </c:pt>
                <c:pt idx="498">
                  <c:v>538.52721292264266</c:v>
                </c:pt>
                <c:pt idx="499">
                  <c:v>542.06940314211261</c:v>
                </c:pt>
                <c:pt idx="500">
                  <c:v>545.63670163466247</c:v>
                </c:pt>
                <c:pt idx="501">
                  <c:v>549.2293102871314</c:v>
                </c:pt>
                <c:pt idx="502">
                  <c:v>552.84743292771066</c:v>
                </c:pt>
                <c:pt idx="503">
                  <c:v>556.49127534883712</c:v>
                </c:pt>
                <c:pt idx="504">
                  <c:v>560.16104533041164</c:v>
                </c:pt>
                <c:pt idx="505">
                  <c:v>563.85695266335097</c:v>
                </c:pt>
                <c:pt idx="506">
                  <c:v>567.5792091734744</c:v>
                </c:pt>
                <c:pt idx="507">
                  <c:v>571.32802874573906</c:v>
                </c:pt>
                <c:pt idx="508">
                  <c:v>575.10362734882108</c:v>
                </c:pt>
                <c:pt idx="509">
                  <c:v>578.90622306005093</c:v>
                </c:pt>
                <c:pt idx="510">
                  <c:v>582.73603609071324</c:v>
                </c:pt>
                <c:pt idx="511">
                  <c:v>586.593288811712</c:v>
                </c:pt>
                <c:pt idx="512">
                  <c:v>590.47820577960886</c:v>
                </c:pt>
                <c:pt idx="513">
                  <c:v>594.39101376304336</c:v>
                </c:pt>
                <c:pt idx="514">
                  <c:v>598.3319417695393</c:v>
                </c:pt>
                <c:pt idx="515">
                  <c:v>602.30122107270074</c:v>
                </c:pt>
                <c:pt idx="516">
                  <c:v>606.29908523981464</c:v>
                </c:pt>
                <c:pt idx="517">
                  <c:v>610.32577015985453</c:v>
                </c:pt>
                <c:pt idx="518">
                  <c:v>614.38151407190003</c:v>
                </c:pt>
                <c:pt idx="519">
                  <c:v>618.46655759397856</c:v>
                </c:pt>
                <c:pt idx="520">
                  <c:v>622.58114375233458</c:v>
                </c:pt>
                <c:pt idx="521">
                  <c:v>626.72551801113423</c:v>
                </c:pt>
                <c:pt idx="522">
                  <c:v>630.89992830261326</c:v>
                </c:pt>
                <c:pt idx="523">
                  <c:v>635.10462505767873</c:v>
                </c:pt>
                <c:pt idx="524">
                  <c:v>639.33986123696673</c:v>
                </c:pt>
                <c:pt idx="525">
                  <c:v>643.60589236236933</c:v>
                </c:pt>
                <c:pt idx="526">
                  <c:v>647.90297654903657</c:v>
                </c:pt>
                <c:pt idx="527">
                  <c:v>652.23137453786353</c:v>
                </c:pt>
                <c:pt idx="528">
                  <c:v>656.59134972846596</c:v>
                </c:pt>
                <c:pt idx="529">
                  <c:v>660.98316821266405</c:v>
                </c:pt>
                <c:pt idx="530">
                  <c:v>665.40709880847078</c:v>
                </c:pt>
                <c:pt idx="531">
                  <c:v>669.86341309460079</c:v>
                </c:pt>
                <c:pt idx="532">
                  <c:v>674.35238544551032</c:v>
                </c:pt>
                <c:pt idx="533">
                  <c:v>678.87429306697402</c:v>
                </c:pt>
                <c:pt idx="534">
                  <c:v>683.42941603220834</c:v>
                </c:pt>
                <c:pt idx="535">
                  <c:v>688.01803731855466</c:v>
                </c:pt>
                <c:pt idx="536">
                  <c:v>692.64044284473096</c:v>
                </c:pt>
                <c:pt idx="537">
                  <c:v>697.29692150865833</c:v>
                </c:pt>
                <c:pt idx="538">
                  <c:v>701.98776522588003</c:v>
                </c:pt>
                <c:pt idx="539">
                  <c:v>706.71326896857886</c:v>
                </c:pt>
                <c:pt idx="540">
                  <c:v>711.47373080520435</c:v>
                </c:pt>
                <c:pt idx="541">
                  <c:v>716.26945194072198</c:v>
                </c:pt>
                <c:pt idx="542">
                  <c:v>721.10073675749697</c:v>
                </c:pt>
                <c:pt idx="543">
                  <c:v>725.96789285682064</c:v>
                </c:pt>
                <c:pt idx="544">
                  <c:v>730.87123110109621</c:v>
                </c:pt>
                <c:pt idx="545">
                  <c:v>735.81106565669029</c:v>
                </c:pt>
                <c:pt idx="546">
                  <c:v>740.78771403747101</c:v>
                </c:pt>
                <c:pt idx="547">
                  <c:v>745.80149714903303</c:v>
                </c:pt>
                <c:pt idx="548">
                  <c:v>750.85273933363749</c:v>
                </c:pt>
                <c:pt idx="549">
                  <c:v>755.94176841586693</c:v>
                </c:pt>
                <c:pt idx="550">
                  <c:v>761.0689157490151</c:v>
                </c:pt>
                <c:pt idx="551">
                  <c:v>766.23451626222834</c:v>
                </c:pt>
                <c:pt idx="552">
                  <c:v>771.43890850840307</c:v>
                </c:pt>
                <c:pt idx="553">
                  <c:v>776.68243471286303</c:v>
                </c:pt>
                <c:pt idx="554">
                  <c:v>781.96544082282912</c:v>
                </c:pt>
                <c:pt idx="555">
                  <c:v>787.28827655769169</c:v>
                </c:pt>
                <c:pt idx="556">
                  <c:v>792.65129546010735</c:v>
                </c:pt>
                <c:pt idx="557">
                  <c:v>798.05485494793072</c:v>
                </c:pt>
                <c:pt idx="558">
                  <c:v>803.49931636700262</c:v>
                </c:pt>
                <c:pt idx="559">
                  <c:v>808.98504504480616</c:v>
                </c:pt>
                <c:pt idx="560">
                  <c:v>814.51241034500879</c:v>
                </c:pt>
                <c:pt idx="561">
                  <c:v>820.08178572291172</c:v>
                </c:pt>
                <c:pt idx="562">
                  <c:v>825.69354878181628</c:v>
                </c:pt>
                <c:pt idx="563">
                  <c:v>831.34808133033266</c:v>
                </c:pt>
                <c:pt idx="564">
                  <c:v>837.0457694406465</c:v>
                </c:pt>
                <c:pt idx="565">
                  <c:v>842.78700350776103</c:v>
                </c:pt>
                <c:pt idx="566">
                  <c:v>848.57217830973252</c:v>
                </c:pt>
                <c:pt idx="567">
                  <c:v>854.40169306892756</c:v>
                </c:pt>
                <c:pt idx="568">
                  <c:v>860.27595151431035</c:v>
                </c:pt>
                <c:pt idx="569">
                  <c:v>866.19536194478474</c:v>
                </c:pt>
                <c:pt idx="570">
                  <c:v>872.1603372936197</c:v>
                </c:pt>
                <c:pt idx="571">
                  <c:v>878.17129519396713</c:v>
                </c:pt>
                <c:pt idx="572">
                  <c:v>884.2286580455027</c:v>
                </c:pt>
                <c:pt idx="573">
                  <c:v>890.33285308220786</c:v>
                </c:pt>
                <c:pt idx="574">
                  <c:v>896.48431244131928</c:v>
                </c:pt>
                <c:pt idx="575">
                  <c:v>902.68347323346745</c:v>
                </c:pt>
                <c:pt idx="576">
                  <c:v>908.93077761402583</c:v>
                </c:pt>
                <c:pt idx="577">
                  <c:v>915.22667285570128</c:v>
                </c:pt>
                <c:pt idx="578">
                  <c:v>921.57161142238681</c:v>
                </c:pt>
                <c:pt idx="579">
                  <c:v>927.96605104429932</c:v>
                </c:pt>
                <c:pt idx="580">
                  <c:v>934.41045479443858</c:v>
                </c:pt>
                <c:pt idx="581">
                  <c:v>940.90529116638436</c:v>
                </c:pt>
                <c:pt idx="582">
                  <c:v>947.45103415346227</c:v>
                </c:pt>
                <c:pt idx="583">
                  <c:v>954.04816332931227</c:v>
                </c:pt>
                <c:pt idx="584">
                  <c:v>960.69716392987948</c:v>
                </c:pt>
                <c:pt idx="585">
                  <c:v>967.39852693686225</c:v>
                </c:pt>
                <c:pt idx="586">
                  <c:v>974.15274916265025</c:v>
                </c:pt>
                <c:pt idx="587">
                  <c:v>980.96033333677758</c:v>
                </c:pt>
                <c:pt idx="588">
                  <c:v>987.82178819392425</c:v>
                </c:pt>
                <c:pt idx="589">
                  <c:v>994.73762856350345</c:v>
                </c:pt>
                <c:pt idx="590">
                  <c:v>1001.7083754608619</c:v>
                </c:pt>
                <c:pt idx="591">
                  <c:v>1008.7345561801312</c:v>
                </c:pt>
                <c:pt idx="592">
                  <c:v>1015.8167043887617</c:v>
                </c:pt>
                <c:pt idx="593">
                  <c:v>1022.9553602237784</c:v>
                </c:pt>
                <c:pt idx="594">
                  <c:v>1030.1510703897954</c:v>
                </c:pt>
                <c:pt idx="595">
                  <c:v>1037.4043882588203</c:v>
                </c:pt>
                <c:pt idx="596">
                  <c:v>1044.7158739718975</c:v>
                </c:pt>
                <c:pt idx="597">
                  <c:v>1052.0860945426198</c:v>
                </c:pt>
                <c:pt idx="598">
                  <c:v>1059.5156239625539</c:v>
                </c:pt>
                <c:pt idx="599">
                  <c:v>1067.0050433086221</c:v>
                </c:pt>
                <c:pt idx="600">
                  <c:v>1074.5549408524816</c:v>
                </c:pt>
                <c:pt idx="601">
                  <c:v>1082.1659121719367</c:v>
                </c:pt>
                <c:pt idx="602">
                  <c:v>1089.8385602644471</c:v>
                </c:pt>
                <c:pt idx="603">
                  <c:v>1097.57349566276</c:v>
                </c:pt>
                <c:pt idx="604">
                  <c:v>1105.3713365527178</c:v>
                </c:pt>
                <c:pt idx="605">
                  <c:v>1113.2327088933002</c:v>
                </c:pt>
                <c:pt idx="606">
                  <c:v>1121.1582465389301</c:v>
                </c:pt>
                <c:pt idx="607">
                  <c:v>1129.1485913641154</c:v>
                </c:pt>
                <c:pt idx="608">
                  <c:v>1137.2043933904558</c:v>
                </c:pt>
                <c:pt idx="609">
                  <c:v>1145.3263109160955</c:v>
                </c:pt>
                <c:pt idx="610">
                  <c:v>1153.5150106476447</c:v>
                </c:pt>
                <c:pt idx="611">
                  <c:v>1161.7320363338147</c:v>
                </c:pt>
                <c:pt idx="612">
                  <c:v>1161.4679247855449</c:v>
                </c:pt>
                <c:pt idx="613">
                  <c:v>1161.2129276209203</c:v>
                </c:pt>
                <c:pt idx="614">
                  <c:v>1160.9671137895139</c:v>
                </c:pt>
                <c:pt idx="615">
                  <c:v>1160.7305531588536</c:v>
                </c:pt>
                <c:pt idx="616">
                  <c:v>1160.5033165293282</c:v>
                </c:pt>
                <c:pt idx="617">
                  <c:v>1160.2854756493898</c:v>
                </c:pt>
                <c:pt idx="618">
                  <c:v>1160.0771032310543</c:v>
                </c:pt>
                <c:pt idx="619">
                  <c:v>1159.8782729657155</c:v>
                </c:pt>
                <c:pt idx="620">
                  <c:v>1159.6890595402647</c:v>
                </c:pt>
                <c:pt idx="621">
                  <c:v>1159.5095386535327</c:v>
                </c:pt>
                <c:pt idx="622">
                  <c:v>1159.3397870330723</c:v>
                </c:pt>
                <c:pt idx="623">
                  <c:v>1159.1798824522593</c:v>
                </c:pt>
                <c:pt idx="624">
                  <c:v>1159.0299037477494</c:v>
                </c:pt>
                <c:pt idx="625">
                  <c:v>1158.8899308372831</c:v>
                </c:pt>
                <c:pt idx="626">
                  <c:v>1158.7600447378595</c:v>
                </c:pt>
                <c:pt idx="627">
                  <c:v>1158.640327584264</c:v>
                </c:pt>
                <c:pt idx="628">
                  <c:v>1158.5308626479898</c:v>
                </c:pt>
                <c:pt idx="629">
                  <c:v>1158.4317343565358</c:v>
                </c:pt>
                <c:pt idx="630">
                  <c:v>1158.3430283131072</c:v>
                </c:pt>
                <c:pt idx="631">
                  <c:v>1158.2648313167203</c:v>
                </c:pt>
                <c:pt idx="632">
                  <c:v>1158.1972313827184</c:v>
                </c:pt>
                <c:pt idx="633">
                  <c:v>1158.1403177637226</c:v>
                </c:pt>
                <c:pt idx="634">
                  <c:v>1158.09418097101</c:v>
                </c:pt>
                <c:pt idx="635">
                  <c:v>1158.0589127963474</c:v>
                </c:pt>
                <c:pt idx="636">
                  <c:v>1158.034606334267</c:v>
                </c:pt>
                <c:pt idx="637">
                  <c:v>1158.021356004833</c:v>
                </c:pt>
                <c:pt idx="638">
                  <c:v>1158.0192575768731</c:v>
                </c:pt>
                <c:pt idx="639">
                  <c:v>1158.0284081917027</c:v>
                </c:pt>
                <c:pt idx="640">
                  <c:v>1158.048906387359</c:v>
                </c:pt>
                <c:pt idx="641">
                  <c:v>1158.080852123356</c:v>
                </c:pt>
                <c:pt idx="642">
                  <c:v>1158.1243468059547</c:v>
                </c:pt>
                <c:pt idx="643">
                  <c:v>1158.1794933139915</c:v>
                </c:pt>
                <c:pt idx="644">
                  <c:v>1158.2463960252558</c:v>
                </c:pt>
                <c:pt idx="645">
                  <c:v>1158.3251608434398</c:v>
                </c:pt>
                <c:pt idx="646">
                  <c:v>1158.4158952256748</c:v>
                </c:pt>
                <c:pt idx="647">
                  <c:v>1158.518708210669</c:v>
                </c:pt>
                <c:pt idx="648">
                  <c:v>1158.6337104474533</c:v>
                </c:pt>
                <c:pt idx="649">
                  <c:v>1158.7610142247697</c:v>
                </c:pt>
                <c:pt idx="650">
                  <c:v>1158.9007335011015</c:v>
                </c:pt>
                <c:pt idx="651">
                  <c:v>1159.0529839353626</c:v>
                </c:pt>
                <c:pt idx="652">
                  <c:v>1159.2178829182812</c:v>
                </c:pt>
                <c:pt idx="653">
                  <c:v>1159.39554960447</c:v>
                </c:pt>
                <c:pt idx="654">
                  <c:v>1159.5861049452189</c:v>
                </c:pt>
                <c:pt idx="655">
                  <c:v>1159.7896717220265</c:v>
                </c:pt>
                <c:pt idx="656">
                  <c:v>1160.0063745808848</c:v>
                </c:pt>
                <c:pt idx="657">
                  <c:v>1160.2363400673353</c:v>
                </c:pt>
                <c:pt idx="658">
                  <c:v>1160.4796966623278</c:v>
                </c:pt>
                <c:pt idx="659">
                  <c:v>1160.7365748188972</c:v>
                </c:pt>
                <c:pt idx="660">
                  <c:v>1161.0071069996659</c:v>
                </c:pt>
                <c:pt idx="661">
                  <c:v>1161.2914277152263</c:v>
                </c:pt>
                <c:pt idx="662">
                  <c:v>1161.5896735633935</c:v>
                </c:pt>
                <c:pt idx="663">
                  <c:v>1161.901983269375</c:v>
                </c:pt>
                <c:pt idx="664">
                  <c:v>1162.2284977268687</c:v>
                </c:pt>
                <c:pt idx="665">
                  <c:v>1162.5693600401194</c:v>
                </c:pt>
                <c:pt idx="666">
                  <c:v>1162.9247155669682</c:v>
                </c:pt>
                <c:pt idx="667">
                  <c:v>1163.2947119628943</c:v>
                </c:pt>
                <c:pt idx="668">
                  <c:v>1163.67949922612</c:v>
                </c:pt>
                <c:pt idx="669">
                  <c:v>1164.0792297437667</c:v>
                </c:pt>
                <c:pt idx="670">
                  <c:v>1164.4940583391167</c:v>
                </c:pt>
                <c:pt idx="671">
                  <c:v>1164.924142319999</c:v>
                </c:pt>
                <c:pt idx="672">
                  <c:v>1165.3696415283371</c:v>
                </c:pt>
                <c:pt idx="673">
                  <c:v>1165.8307183908908</c:v>
                </c:pt>
                <c:pt idx="674">
                  <c:v>1166.30753797122</c:v>
                </c:pt>
                <c:pt idx="675">
                  <c:v>1166.8002680229129</c:v>
                </c:pt>
                <c:pt idx="676">
                  <c:v>1167.3090790441081</c:v>
                </c:pt>
                <c:pt idx="677">
                  <c:v>1167.834144333352</c:v>
                </c:pt>
                <c:pt idx="678">
                  <c:v>1168.3756400468287</c:v>
                </c:pt>
                <c:pt idx="679">
                  <c:v>1168.9337452569916</c:v>
                </c:pt>
                <c:pt idx="680">
                  <c:v>1169.5086420126672</c:v>
                </c:pt>
                <c:pt idx="681">
                  <c:v>1170.1005154006323</c:v>
                </c:pt>
                <c:pt idx="682">
                  <c:v>1170.7095536087384</c:v>
                </c:pt>
                <c:pt idx="683">
                  <c:v>1171.3359479906162</c:v>
                </c:pt>
                <c:pt idx="684">
                  <c:v>1171.9798931320099</c:v>
                </c:pt>
                <c:pt idx="685">
                  <c:v>1172.6415869187917</c:v>
                </c:pt>
                <c:pt idx="686">
                  <c:v>1173.3212306066951</c:v>
                </c:pt>
                <c:pt idx="687">
                  <c:v>1174.0190288928309</c:v>
                </c:pt>
                <c:pt idx="688">
                  <c:v>1174.735189989038</c:v>
                </c:pt>
                <c:pt idx="689">
                  <c:v>1175.4699256971123</c:v>
                </c:pt>
                <c:pt idx="690">
                  <c:v>1176.2234514859783</c:v>
                </c:pt>
                <c:pt idx="691">
                  <c:v>1176.9959865708731</c:v>
                </c:pt>
                <c:pt idx="692">
                  <c:v>1177.7877539945823</c:v>
                </c:pt>
                <c:pt idx="693">
                  <c:v>1178.598980710804</c:v>
                </c:pt>
                <c:pt idx="694">
                  <c:v>1179.4298976697007</c:v>
                </c:pt>
                <c:pt idx="695">
                  <c:v>1180.2807399057203</c:v>
                </c:pt>
                <c:pt idx="696">
                  <c:v>1181.1517466277214</c:v>
                </c:pt>
                <c:pt idx="697">
                  <c:v>1182.0431613115284</c:v>
                </c:pt>
                <c:pt idx="698">
                  <c:v>1182.9552317949356</c:v>
                </c:pt>
                <c:pt idx="699">
                  <c:v>1183.8882103752792</c:v>
                </c:pt>
                <c:pt idx="700">
                  <c:v>1184.8423539096336</c:v>
                </c:pt>
                <c:pt idx="701">
                  <c:v>1185.8179239177286</c:v>
                </c:pt>
                <c:pt idx="702">
                  <c:v>1186.8151866876647</c:v>
                </c:pt>
                <c:pt idx="703">
                  <c:v>1187.8344133845223</c:v>
                </c:pt>
                <c:pt idx="704">
                  <c:v>1188.8758801619558</c:v>
                </c:pt>
                <c:pt idx="705">
                  <c:v>1189.9398682768647</c:v>
                </c:pt>
                <c:pt idx="706">
                  <c:v>1191.0266642072459</c:v>
                </c:pt>
                <c:pt idx="707">
                  <c:v>1192.1365597733338</c:v>
                </c:pt>
                <c:pt idx="708">
                  <c:v>1193.269852262117</c:v>
                </c:pt>
                <c:pt idx="709">
                  <c:v>1194.4268445553796</c:v>
                </c:pt>
                <c:pt idx="710">
                  <c:v>1195.6078452613363</c:v>
                </c:pt>
                <c:pt idx="711">
                  <c:v>1196.8131688500134</c:v>
                </c:pt>
                <c:pt idx="712">
                  <c:v>1198.0431357924981</c:v>
                </c:pt>
                <c:pt idx="713">
                  <c:v>1199.2980727041636</c:v>
                </c:pt>
                <c:pt idx="714">
                  <c:v>1200.5783124920299</c:v>
                </c:pt>
                <c:pt idx="715">
                  <c:v>1201.8841945063839</c:v>
                </c:pt>
                <c:pt idx="716">
                  <c:v>1203.2160646968071</c:v>
                </c:pt>
                <c:pt idx="717">
                  <c:v>1204.5742757727564</c:v>
                </c:pt>
                <c:pt idx="718">
                  <c:v>1205.9591873688714</c:v>
                </c:pt>
                <c:pt idx="719">
                  <c:v>1207.3711662151416</c:v>
                </c:pt>
                <c:pt idx="720">
                  <c:v>1208.8105863121395</c:v>
                </c:pt>
                <c:pt idx="721">
                  <c:v>1210.2778291114519</c:v>
                </c:pt>
                <c:pt idx="722">
                  <c:v>1211.7732837015274</c:v>
                </c:pt>
                <c:pt idx="723">
                  <c:v>1213.2973469991152</c:v>
                </c:pt>
                <c:pt idx="724">
                  <c:v>1214.8504239464901</c:v>
                </c:pt>
                <c:pt idx="725">
                  <c:v>1216.4329277146687</c:v>
                </c:pt>
                <c:pt idx="726">
                  <c:v>1218.045279912847</c:v>
                </c:pt>
                <c:pt idx="727">
                  <c:v>1219.6879108042558</c:v>
                </c:pt>
                <c:pt idx="728">
                  <c:v>1221.3612595286847</c:v>
                </c:pt>
                <c:pt idx="729">
                  <c:v>1223.0657743319093</c:v>
                </c:pt>
                <c:pt idx="730">
                  <c:v>1224.8019128022729</c:v>
                </c:pt>
                <c:pt idx="731">
                  <c:v>1226.5701421146819</c:v>
                </c:pt>
                <c:pt idx="732">
                  <c:v>1228.370939282298</c:v>
                </c:pt>
                <c:pt idx="733">
                  <c:v>1230.2047914161908</c:v>
                </c:pt>
                <c:pt idx="734">
                  <c:v>1232.0721959932748</c:v>
                </c:pt>
                <c:pt idx="735">
                  <c:v>1233.9736611328124</c:v>
                </c:pt>
                <c:pt idx="736">
                  <c:v>1235.9097058818249</c:v>
                </c:pt>
                <c:pt idx="737">
                  <c:v>1237.8808605097306</c:v>
                </c:pt>
                <c:pt idx="738">
                  <c:v>1239.8876668125915</c:v>
                </c:pt>
                <c:pt idx="739">
                  <c:v>1241.9306784272801</c:v>
                </c:pt>
                <c:pt idx="740">
                  <c:v>1244.0104611560125</c:v>
                </c:pt>
                <c:pt idx="741">
                  <c:v>1246.1275933015936</c:v>
                </c:pt>
                <c:pt idx="742">
                  <c:v>1248.2826660138207</c:v>
                </c:pt>
                <c:pt idx="743">
                  <c:v>1250.4762836474797</c:v>
                </c:pt>
                <c:pt idx="744">
                  <c:v>1252.7090641323625</c:v>
                </c:pt>
                <c:pt idx="745">
                  <c:v>1254.9816393558183</c:v>
                </c:pt>
                <c:pt idx="746">
                  <c:v>1257.2946555583021</c:v>
                </c:pt>
                <c:pt idx="747">
                  <c:v>1259.6487737424618</c:v>
                </c:pt>
                <c:pt idx="748">
                  <c:v>1262.0446700962909</c:v>
                </c:pt>
                <c:pt idx="749">
                  <c:v>1264.4830364309375</c:v>
                </c:pt>
                <c:pt idx="750">
                  <c:v>1266.9645806337312</c:v>
                </c:pt>
                <c:pt idx="751">
                  <c:v>1269.4900271370791</c:v>
                </c:pt>
                <c:pt idx="752">
                  <c:v>1272.0601174038738</c:v>
                </c:pt>
                <c:pt idx="753">
                  <c:v>1274.6756104300814</c:v>
                </c:pt>
                <c:pt idx="754">
                  <c:v>1277.3372832652428</c:v>
                </c:pt>
                <c:pt idx="755">
                  <c:v>1280.0459315516359</c:v>
                </c:pt>
                <c:pt idx="756">
                  <c:v>1282.8023700828687</c:v>
                </c:pt>
                <c:pt idx="757">
                  <c:v>1285.6074333827362</c:v>
                </c:pt>
                <c:pt idx="758">
                  <c:v>1288.4619763052046</c:v>
                </c:pt>
                <c:pt idx="759">
                  <c:v>1291.3668746564254</c:v>
                </c:pt>
                <c:pt idx="760">
                  <c:v>1294.3230258397243</c:v>
                </c:pt>
                <c:pt idx="761">
                  <c:v>1297.3313495245759</c:v>
                </c:pt>
                <c:pt idx="762">
                  <c:v>1300.3927883405884</c:v>
                </c:pt>
                <c:pt idx="763">
                  <c:v>1303.5083085976171</c:v>
                </c:pt>
                <c:pt idx="764">
                  <c:v>1306.6789010331552</c:v>
                </c:pt>
                <c:pt idx="765">
                  <c:v>1309.9055815881957</c:v>
                </c:pt>
                <c:pt idx="766">
                  <c:v>1313.1893922128831</c:v>
                </c:pt>
                <c:pt idx="767">
                  <c:v>1316.5314017032506</c:v>
                </c:pt>
                <c:pt idx="768">
                  <c:v>1319.9327065704658</c:v>
                </c:pt>
                <c:pt idx="769">
                  <c:v>1323.3944319440902</c:v>
                </c:pt>
                <c:pt idx="770">
                  <c:v>1326.9177325108867</c:v>
                </c:pt>
                <c:pt idx="771">
                  <c:v>1330.503793490826</c:v>
                </c:pt>
                <c:pt idx="772">
                  <c:v>1334.1538316520382</c:v>
                </c:pt>
                <c:pt idx="773">
                  <c:v>1337.8690963665126</c:v>
                </c:pt>
                <c:pt idx="774">
                  <c:v>1341.6508707084793</c:v>
                </c:pt>
                <c:pt idx="775">
                  <c:v>1345.5004725974964</c:v>
                </c:pt>
                <c:pt idx="776">
                  <c:v>1349.4192559883852</c:v>
                </c:pt>
                <c:pt idx="777">
                  <c:v>1353.4086121102537</c:v>
                </c:pt>
                <c:pt idx="778">
                  <c:v>1357.4699707570176</c:v>
                </c:pt>
                <c:pt idx="779">
                  <c:v>1361.6048016318916</c:v>
                </c:pt>
                <c:pt idx="780">
                  <c:v>1365.8146157485369</c:v>
                </c:pt>
                <c:pt idx="781">
                  <c:v>1370.100966891664</c:v>
                </c:pt>
                <c:pt idx="782">
                  <c:v>1374.465453140027</c:v>
                </c:pt>
                <c:pt idx="783">
                  <c:v>1378.9097184549792</c:v>
                </c:pt>
                <c:pt idx="784">
                  <c:v>1383.4354543378988</c:v>
                </c:pt>
                <c:pt idx="785">
                  <c:v>1388.0444015599624</c:v>
                </c:pt>
                <c:pt idx="786">
                  <c:v>1392.7383519680093</c:v>
                </c:pt>
                <c:pt idx="787">
                  <c:v>1397.5191503704295</c:v>
                </c:pt>
                <c:pt idx="788">
                  <c:v>1402.3886965072254</c:v>
                </c:pt>
                <c:pt idx="789">
                  <c:v>1407.3489471086643</c:v>
                </c:pt>
                <c:pt idx="790">
                  <c:v>1412.4019180472385</c:v>
                </c:pt>
                <c:pt idx="791">
                  <c:v>1417.5496865878513</c:v>
                </c:pt>
                <c:pt idx="792">
                  <c:v>1422.7943937415464</c:v>
                </c:pt>
                <c:pt idx="793">
                  <c:v>1428.1382467283502</c:v>
                </c:pt>
                <c:pt idx="794">
                  <c:v>1433.5835215551867</c:v>
                </c:pt>
                <c:pt idx="795">
                  <c:v>1439.1325657152081</c:v>
                </c:pt>
                <c:pt idx="796">
                  <c:v>1444.7878010152144</c:v>
                </c:pt>
                <c:pt idx="797">
                  <c:v>1450.5517265383578</c:v>
                </c:pt>
                <c:pt idx="798">
                  <c:v>1456.4269217497256</c:v>
                </c:pt>
                <c:pt idx="799">
                  <c:v>1462.4160497528958</c:v>
                </c:pt>
                <c:pt idx="800">
                  <c:v>1468.5218607061163</c:v>
                </c:pt>
                <c:pt idx="801">
                  <c:v>1474.7471954073062</c:v>
                </c:pt>
                <c:pt idx="802">
                  <c:v>1481.0949890576783</c:v>
                </c:pt>
                <c:pt idx="803">
                  <c:v>1487.5682752144796</c:v>
                </c:pt>
                <c:pt idx="804">
                  <c:v>1494.1701899439915</c:v>
                </c:pt>
                <c:pt idx="805">
                  <c:v>1500.9039761867814</c:v>
                </c:pt>
                <c:pt idx="806">
                  <c:v>1507.7729883479042</c:v>
                </c:pt>
                <c:pt idx="807">
                  <c:v>1514.7806971257671</c:v>
                </c:pt>
                <c:pt idx="808">
                  <c:v>1521.9306945941969</c:v>
                </c:pt>
                <c:pt idx="809">
                  <c:v>1529.2266995533721</c:v>
                </c:pt>
                <c:pt idx="810">
                  <c:v>1536.6725631663567</c:v>
                </c:pt>
                <c:pt idx="811">
                  <c:v>1544.2722748991744</c:v>
                </c:pt>
                <c:pt idx="812">
                  <c:v>1552.0299687836527</c:v>
                </c:pt>
                <c:pt idx="813">
                  <c:v>1559.9499300237383</c:v>
                </c:pt>
                <c:pt idx="814">
                  <c:v>1568.0366019673902</c:v>
                </c:pt>
                <c:pt idx="815">
                  <c:v>1576.2945934679228</c:v>
                </c:pt>
                <c:pt idx="816">
                  <c:v>1584.7286866604013</c:v>
                </c:pt>
                <c:pt idx="817">
                  <c:v>1593.3438451806569</c:v>
                </c:pt>
                <c:pt idx="818">
                  <c:v>1602.1452228565713</c:v>
                </c:pt>
                <c:pt idx="819">
                  <c:v>1611.138172903642</c:v>
                </c:pt>
                <c:pt idx="820">
                  <c:v>1620.3282576592544</c:v>
                </c:pt>
                <c:pt idx="821">
                  <c:v>1629.7212588928558</c:v>
                </c:pt>
                <c:pt idx="822">
                  <c:v>1639.3231887321954</c:v>
                </c:pt>
                <c:pt idx="823">
                  <c:v>1649.1403012489673</c:v>
                </c:pt>
                <c:pt idx="824">
                  <c:v>1659.1791047508282</c:v>
                </c:pt>
                <c:pt idx="825">
                  <c:v>1669.446374830454</c:v>
                </c:pt>
                <c:pt idx="826">
                  <c:v>1679.9491682266839</c:v>
                </c:pt>
                <c:pt idx="827">
                  <c:v>1690.6948375572772</c:v>
                </c:pt>
                <c:pt idx="828">
                  <c:v>1701.6910469879242</c:v>
                </c:pt>
                <c:pt idx="829">
                  <c:v>1712.9457889076627</c:v>
                </c:pt>
                <c:pt idx="830">
                  <c:v>1724.4674016869465</c:v>
                </c:pt>
                <c:pt idx="831">
                  <c:v>1736.2645886012313</c:v>
                </c:pt>
                <c:pt idx="832">
                  <c:v>1748.3464380103526</c:v>
                </c:pt>
                <c:pt idx="833">
                  <c:v>1760.7224448919819</c:v>
                </c:pt>
                <c:pt idx="834">
                  <c:v>1773.4025338363783</c:v>
                </c:pt>
                <c:pt idx="835">
                  <c:v>1786.3970836194371</c:v>
                </c:pt>
                <c:pt idx="836">
                  <c:v>1799.7169534819127</c:v>
                </c:pt>
                <c:pt idx="837">
                  <c:v>1813.3735112546021</c:v>
                </c:pt>
                <c:pt idx="838">
                  <c:v>1827.3786634825931</c:v>
                </c:pt>
                <c:pt idx="839">
                  <c:v>1841.7448877163147</c:v>
                </c:pt>
                <c:pt idx="840">
                  <c:v>1856.4852671534413</c:v>
                </c:pt>
                <c:pt idx="841">
                  <c:v>1871.6135278337508</c:v>
                </c:pt>
                <c:pt idx="842">
                  <c:v>1887.1440786092116</c:v>
                </c:pt>
                <c:pt idx="843">
                  <c:v>1903.0920541338619</c:v>
                </c:pt>
                <c:pt idx="844">
                  <c:v>1919.4733611430888</c:v>
                </c:pt>
                <c:pt idx="845">
                  <c:v>1936.304728319727</c:v>
                </c:pt>
                <c:pt idx="846">
                  <c:v>1953.6037600755405</c:v>
                </c:pt>
                <c:pt idx="847">
                  <c:v>1971.3889946115316</c:v>
                </c:pt>
                <c:pt idx="848">
                  <c:v>1989.6799666595396</c:v>
                </c:pt>
                <c:pt idx="849">
                  <c:v>2008.497275351496</c:v>
                </c:pt>
                <c:pt idx="850">
                  <c:v>2027.8626577119971</c:v>
                </c:pt>
                <c:pt idx="851">
                  <c:v>2047.7990683253911</c:v>
                </c:pt>
                <c:pt idx="852">
                  <c:v>2068.3307657911246</c:v>
                </c:pt>
                <c:pt idx="853">
                  <c:v>2089.4834066520293</c:v>
                </c:pt>
                <c:pt idx="854">
                  <c:v>2111.2841475599585</c:v>
                </c:pt>
                <c:pt idx="855">
                  <c:v>2133.7617565342562</c:v>
                </c:pt>
                <c:pt idx="856">
                  <c:v>2156.9467342713133</c:v>
                </c:pt>
                <c:pt idx="857">
                  <c:v>2180.871446580813</c:v>
                </c:pt>
                <c:pt idx="858">
                  <c:v>2205.5702691577462</c:v>
                </c:pt>
                <c:pt idx="859">
                  <c:v>2231.0797460519252</c:v>
                </c:pt>
                <c:pt idx="860">
                  <c:v>2257.4387633711303</c:v>
                </c:pt>
                <c:pt idx="861">
                  <c:v>2284.6887399541811</c:v>
                </c:pt>
                <c:pt idx="862">
                  <c:v>2312.8738369802008</c:v>
                </c:pt>
                <c:pt idx="863">
                  <c:v>2342.0411887449573</c:v>
                </c:pt>
                <c:pt idx="864">
                  <c:v>2372.2411571407879</c:v>
                </c:pt>
                <c:pt idx="865">
                  <c:v>2403.5276127300176</c:v>
                </c:pt>
                <c:pt idx="866">
                  <c:v>2435.9582457115243</c:v>
                </c:pt>
                <c:pt idx="867">
                  <c:v>2469.5949105565605</c:v>
                </c:pt>
                <c:pt idx="868">
                  <c:v>2504.5040086449681</c:v>
                </c:pt>
                <c:pt idx="869">
                  <c:v>2540.7569138817294</c:v>
                </c:pt>
                <c:pt idx="870">
                  <c:v>2578.4304470337092</c:v>
                </c:pt>
                <c:pt idx="871">
                  <c:v>2617.6074054197643</c:v>
                </c:pt>
                <c:pt idx="872">
                  <c:v>2658.3771556396182</c:v>
                </c:pt>
                <c:pt idx="873">
                  <c:v>2700.8362982714871</c:v>
                </c:pt>
                <c:pt idx="874">
                  <c:v>2745.0894149437086</c:v>
                </c:pt>
                <c:pt idx="875">
                  <c:v>2791.2499099413039</c:v>
                </c:pt>
                <c:pt idx="876">
                  <c:v>2839.440960604567</c:v>
                </c:pt>
                <c:pt idx="877">
                  <c:v>2889.7965932878146</c:v>
                </c:pt>
                <c:pt idx="878">
                  <c:v>2942.462904667052</c:v>
                </c:pt>
                <c:pt idx="879">
                  <c:v>2997.5994518314224</c:v>
                </c:pt>
                <c:pt idx="880">
                  <c:v>3055.3808390135391</c:v>
                </c:pt>
                <c:pt idx="881">
                  <c:v>3115.9985341941651</c:v>
                </c:pt>
                <c:pt idx="882">
                  <c:v>3179.6629553958737</c:v>
                </c:pt>
                <c:pt idx="883">
                  <c:v>3246.6058745607193</c:v>
                </c:pt>
                <c:pt idx="884">
                  <c:v>3317.0831968816419</c:v>
                </c:pt>
                <c:pt idx="885">
                  <c:v>3391.3781858302609</c:v>
                </c:pt>
                <c:pt idx="886">
                  <c:v>3469.8052195554142</c:v>
                </c:pt>
                <c:pt idx="887">
                  <c:v>3552.7141836793035</c:v>
                </c:pt>
                <c:pt idx="888">
                  <c:v>3640.4956299325577</c:v>
                </c:pt>
                <c:pt idx="889">
                  <c:v>3733.5868610580992</c:v>
                </c:pt>
                <c:pt idx="890">
                  <c:v>3832.4791420078486</c:v>
                </c:pt>
                <c:pt idx="891">
                  <c:v>3937.7262883920203</c:v>
                </c:pt>
                <c:pt idx="892">
                  <c:v>4049.9549491492266</c:v>
                </c:pt>
                <c:pt idx="893">
                  <c:v>4169.8769866096081</c:v>
                </c:pt>
                <c:pt idx="894">
                  <c:v>4298.3044706311275</c:v>
                </c:pt>
                <c:pt idx="895">
                  <c:v>4436.1679542579986</c:v>
                </c:pt>
                <c:pt idx="896">
                  <c:v>4584.5389004894287</c:v>
                </c:pt>
                <c:pt idx="897">
                  <c:v>4744.6574034640662</c:v>
                </c:pt>
                <c:pt idx="898">
                  <c:v>4917.9667219814755</c:v>
                </c:pt>
                <c:pt idx="899">
                  <c:v>5106.1566618834813</c:v>
                </c:pt>
                <c:pt idx="900">
                  <c:v>5311.2185706436303</c:v>
                </c:pt>
                <c:pt idx="901">
                  <c:v>5535.5157397876683</c:v>
                </c:pt>
                <c:pt idx="902">
                  <c:v>5781.8744981137088</c:v>
                </c:pt>
                <c:pt idx="903">
                  <c:v>6053.7034554760257</c:v>
                </c:pt>
                <c:pt idx="904">
                  <c:v>6355.1515975297771</c:v>
                </c:pt>
                <c:pt idx="905">
                  <c:v>6691.3208471580319</c:v>
                </c:pt>
                <c:pt idx="906">
                  <c:v>7068.5563184999774</c:v>
                </c:pt>
                <c:pt idx="907">
                  <c:v>7494.8495427246917</c:v>
                </c:pt>
                <c:pt idx="908">
                  <c:v>7980.4095230451512</c:v>
                </c:pt>
                <c:pt idx="909">
                  <c:v>8538.4891891940115</c:v>
                </c:pt>
                <c:pt idx="910">
                  <c:v>9186.6112476345625</c:v>
                </c:pt>
                <c:pt idx="911">
                  <c:v>9948.4383359490148</c:v>
                </c:pt>
                <c:pt idx="912">
                  <c:v>10856.720499278304</c:v>
                </c:pt>
                <c:pt idx="913">
                  <c:v>11958.120923020679</c:v>
                </c:pt>
                <c:pt idx="914">
                  <c:v>13321.482238939205</c:v>
                </c:pt>
                <c:pt idx="915">
                  <c:v>15052.78116642739</c:v>
                </c:pt>
                <c:pt idx="916">
                  <c:v>15496.410639123042</c:v>
                </c:pt>
                <c:pt idx="917">
                  <c:v>15382.668067134355</c:v>
                </c:pt>
                <c:pt idx="918">
                  <c:v>15269.760357681505</c:v>
                </c:pt>
                <c:pt idx="919">
                  <c:v>15157.681382931783</c:v>
                </c:pt>
                <c:pt idx="920">
                  <c:v>15046.425060030337</c:v>
                </c:pt>
                <c:pt idx="921">
                  <c:v>14935.985350770048</c:v>
                </c:pt>
                <c:pt idx="922">
                  <c:v>14826.3562612638</c:v>
                </c:pt>
                <c:pt idx="923">
                  <c:v>14717.531841619206</c:v>
                </c:pt>
                <c:pt idx="924">
                  <c:v>14609.506185615688</c:v>
                </c:pt>
                <c:pt idx="925">
                  <c:v>14502.273430383888</c:v>
                </c:pt>
                <c:pt idx="926">
                  <c:v>14395.82775608751</c:v>
                </c:pt>
                <c:pt idx="927">
                  <c:v>14290.163385607444</c:v>
                </c:pt>
                <c:pt idx="928">
                  <c:v>14185.274584228237</c:v>
                </c:pt>
                <c:pt idx="929">
                  <c:v>14081.155659326854</c:v>
                </c:pt>
                <c:pt idx="930">
                  <c:v>13977.800960063703</c:v>
                </c:pt>
                <c:pt idx="931">
                  <c:v>13875.204877075952</c:v>
                </c:pt>
                <c:pt idx="932">
                  <c:v>13773.361842173133</c:v>
                </c:pt>
                <c:pt idx="933">
                  <c:v>13672.266328034886</c:v>
                </c:pt>
                <c:pt idx="934">
                  <c:v>13571.912847910984</c:v>
                </c:pt>
                <c:pt idx="935">
                  <c:v>13472.295955323589</c:v>
                </c:pt>
                <c:pt idx="936">
                  <c:v>13373.410243771616</c:v>
                </c:pt>
                <c:pt idx="937">
                  <c:v>13275.25034643732</c:v>
                </c:pt>
                <c:pt idx="938">
                  <c:v>13177.810935895008</c:v>
                </c:pt>
                <c:pt idx="939">
                  <c:v>13081.08672382198</c:v>
                </c:pt>
                <c:pt idx="940">
                  <c:v>12985.072460711388</c:v>
                </c:pt>
                <c:pt idx="941">
                  <c:v>12889.762935587418</c:v>
                </c:pt>
                <c:pt idx="942">
                  <c:v>12795.152975722474</c:v>
                </c:pt>
                <c:pt idx="943">
                  <c:v>12701.237446356397</c:v>
                </c:pt>
                <c:pt idx="944">
                  <c:v>12608.011250417814</c:v>
                </c:pt>
                <c:pt idx="945">
                  <c:v>12515.4693282475</c:v>
                </c:pt>
                <c:pt idx="946">
                  <c:v>12423.606657323791</c:v>
                </c:pt>
                <c:pt idx="947">
                  <c:v>12332.418251989964</c:v>
                </c:pt>
                <c:pt idx="948">
                  <c:v>12241.899163183671</c:v>
                </c:pt>
                <c:pt idx="949">
                  <c:v>12152.044478168338</c:v>
                </c:pt>
                <c:pt idx="950">
                  <c:v>12062.849320266534</c:v>
                </c:pt>
                <c:pt idx="951">
                  <c:v>11974.308848595296</c:v>
                </c:pt>
                <c:pt idx="952">
                  <c:v>11886.418257803407</c:v>
                </c:pt>
                <c:pt idx="953">
                  <c:v>11799.172777810605</c:v>
                </c:pt>
                <c:pt idx="954">
                  <c:v>11712.567673548669</c:v>
                </c:pt>
                <c:pt idx="955">
                  <c:v>11626.598244704444</c:v>
                </c:pt>
                <c:pt idx="956">
                  <c:v>11541.259825464756</c:v>
                </c:pt>
                <c:pt idx="957">
                  <c:v>11456.547784263172</c:v>
                </c:pt>
                <c:pt idx="958">
                  <c:v>11372.457523528632</c:v>
                </c:pt>
                <c:pt idx="959">
                  <c:v>11288.984479435912</c:v>
                </c:pt>
                <c:pt idx="960">
                  <c:v>11206.124121657984</c:v>
                </c:pt>
                <c:pt idx="961">
                  <c:v>11123.871953120073</c:v>
                </c:pt>
                <c:pt idx="962">
                  <c:v>11042.223509755622</c:v>
                </c:pt>
                <c:pt idx="963">
                  <c:v>10961.174360264022</c:v>
                </c:pt>
                <c:pt idx="964">
                  <c:v>10880.720105870085</c:v>
                </c:pt>
                <c:pt idx="965">
                  <c:v>10800.856380085346</c:v>
                </c:pt>
                <c:pt idx="966">
                  <c:v>10721.57884847103</c:v>
                </c:pt>
                <c:pt idx="967">
                  <c:v>10642.883208402887</c:v>
                </c:pt>
                <c:pt idx="968">
                  <c:v>10564.765188837584</c:v>
                </c:pt>
                <c:pt idx="969">
                  <c:v>10487.220550080972</c:v>
                </c:pt>
                <c:pt idx="970">
                  <c:v>10410.245083557951</c:v>
                </c:pt>
                <c:pt idx="971">
                  <c:v>10333.83461158407</c:v>
                </c:pt>
                <c:pt idx="972">
                  <c:v>10257.984987138792</c:v>
                </c:pt>
                <c:pt idx="973">
                  <c:v>10182.692093640424</c:v>
                </c:pt>
                <c:pt idx="974">
                  <c:v>10107.951844722678</c:v>
                </c:pt>
                <c:pt idx="975">
                  <c:v>10033.760184012939</c:v>
                </c:pt>
                <c:pt idx="976">
                  <c:v>9960.1130849120691</c:v>
                </c:pt>
                <c:pt idx="977">
                  <c:v>9887.0065503758742</c:v>
                </c:pt>
                <c:pt idx="978">
                  <c:v>9814.4366126982059</c:v>
                </c:pt>
                <c:pt idx="979">
                  <c:v>9742.3993332955852</c:v>
                </c:pt>
                <c:pt idx="980">
                  <c:v>9670.8908024934753</c:v>
                </c:pt>
                <c:pt idx="981">
                  <c:v>9599.9071393140584</c:v>
                </c:pt>
                <c:pt idx="982">
                  <c:v>9529.4444912656472</c:v>
                </c:pt>
                <c:pt idx="983">
                  <c:v>9459.4990341335633</c:v>
                </c:pt>
                <c:pt idx="984">
                  <c:v>9390.0669717725887</c:v>
                </c:pt>
                <c:pt idx="985">
                  <c:v>9321.1445359009576</c:v>
                </c:pt>
                <c:pt idx="986">
                  <c:v>9252.7279858958227</c:v>
                </c:pt>
                <c:pt idx="987">
                  <c:v>9184.8136085902515</c:v>
                </c:pt>
                <c:pt idx="988">
                  <c:v>9117.3977180716865</c:v>
                </c:pt>
                <c:pt idx="989">
                  <c:v>9050.4766554819307</c:v>
                </c:pt>
                <c:pt idx="990">
                  <c:v>8984.0467888185412</c:v>
                </c:pt>
                <c:pt idx="991">
                  <c:v>8918.1045127377147</c:v>
                </c:pt>
                <c:pt idx="992">
                  <c:v>8852.646248358622</c:v>
                </c:pt>
                <c:pt idx="993">
                  <c:v>8787.668443069173</c:v>
                </c:pt>
                <c:pt idx="994">
                  <c:v>8723.1675703331966</c:v>
                </c:pt>
                <c:pt idx="995">
                  <c:v>8659.1401294990465</c:v>
                </c:pt>
                <c:pt idx="996">
                  <c:v>8595.5826456096438</c:v>
                </c:pt>
                <c:pt idx="997">
                  <c:v>8532.4916692138158</c:v>
                </c:pt>
                <c:pt idx="998">
                  <c:v>8469.8637761791379</c:v>
                </c:pt>
                <c:pt idx="999">
                  <c:v>8407.6955675060781</c:v>
                </c:pt>
                <c:pt idx="1000">
                  <c:v>8345.9836691435212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3-93F6-4EAF-9638-95FAEB4BB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142704"/>
        <c:axId val="1518151408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810.95890410958918</c:v>
                      </c:pt>
                      <c:pt idx="1">
                        <c:v>916.18414829308051</c:v>
                      </c:pt>
                      <c:pt idx="2">
                        <c:v>1035.0627995202153</c:v>
                      </c:pt>
                      <c:pt idx="3">
                        <c:v>1169.366443358183</c:v>
                      </c:pt>
                      <c:pt idx="4">
                        <c:v>1321.0965358681701</c:v>
                      </c:pt>
                      <c:pt idx="5">
                        <c:v>1492.5142302448346</c:v>
                      </c:pt>
                      <c:pt idx="6">
                        <c:v>1686.174073584597</c:v>
                      </c:pt>
                      <c:pt idx="7">
                        <c:v>1904.9620759478278</c:v>
                      </c:pt>
                      <c:pt idx="8">
                        <c:v>2152.1387190380083</c:v>
                      </c:pt>
                      <c:pt idx="9">
                        <c:v>2431.3875454334311</c:v>
                      </c:pt>
                      <c:pt idx="10">
                        <c:v>2746.8700524709989</c:v>
                      </c:pt>
                      <c:pt idx="11">
                        <c:v>3103.2877088366313</c:v>
                      </c:pt>
                      <c:pt idx="12">
                        <c:v>3505.9520180626323</c:v>
                      </c:pt>
                      <c:pt idx="13">
                        <c:v>3960.8636730512439</c:v>
                      </c:pt>
                      <c:pt idx="14">
                        <c:v>4474.8019812223038</c:v>
                      </c:pt>
                      <c:pt idx="15">
                        <c:v>5055.4258929405942</c:v>
                      </c:pt>
                      <c:pt idx="16">
                        <c:v>5711.3881387960682</c:v>
                      </c:pt>
                      <c:pt idx="17">
                        <c:v>6452.4641766643172</c:v>
                      </c:pt>
                      <c:pt idx="18">
                        <c:v>6487.6712328767135</c:v>
                      </c:pt>
                      <c:pt idx="19">
                        <c:v>6487.6712328767135</c:v>
                      </c:pt>
                      <c:pt idx="20">
                        <c:v>6487.6712328767135</c:v>
                      </c:pt>
                      <c:pt idx="21">
                        <c:v>6487.6712328767135</c:v>
                      </c:pt>
                      <c:pt idx="22">
                        <c:v>6487.6712328767135</c:v>
                      </c:pt>
                      <c:pt idx="23">
                        <c:v>6487.6712328767135</c:v>
                      </c:pt>
                      <c:pt idx="24">
                        <c:v>6487.6712328767135</c:v>
                      </c:pt>
                      <c:pt idx="25">
                        <c:v>6487.6712328767135</c:v>
                      </c:pt>
                      <c:pt idx="26">
                        <c:v>6487.6712328767135</c:v>
                      </c:pt>
                      <c:pt idx="27">
                        <c:v>6487.6712328767135</c:v>
                      </c:pt>
                      <c:pt idx="28">
                        <c:v>6487.6712328767135</c:v>
                      </c:pt>
                      <c:pt idx="29">
                        <c:v>6487.6712328767135</c:v>
                      </c:pt>
                      <c:pt idx="30">
                        <c:v>6487.6712328767135</c:v>
                      </c:pt>
                      <c:pt idx="31">
                        <c:v>6487.6712328767135</c:v>
                      </c:pt>
                      <c:pt idx="32">
                        <c:v>6487.6712328767135</c:v>
                      </c:pt>
                      <c:pt idx="33">
                        <c:v>6487.6712328767135</c:v>
                      </c:pt>
                      <c:pt idx="34">
                        <c:v>6487.6712328767135</c:v>
                      </c:pt>
                      <c:pt idx="35">
                        <c:v>6487.6712328767135</c:v>
                      </c:pt>
                      <c:pt idx="36">
                        <c:v>6487.6712328767135</c:v>
                      </c:pt>
                      <c:pt idx="37">
                        <c:v>6487.6712328767135</c:v>
                      </c:pt>
                      <c:pt idx="38">
                        <c:v>6487.6712328767135</c:v>
                      </c:pt>
                      <c:pt idx="39">
                        <c:v>6487.6712328767135</c:v>
                      </c:pt>
                      <c:pt idx="40">
                        <c:v>6487.6712328767135</c:v>
                      </c:pt>
                      <c:pt idx="41">
                        <c:v>6487.6712328767135</c:v>
                      </c:pt>
                      <c:pt idx="42">
                        <c:v>6487.6712328767135</c:v>
                      </c:pt>
                      <c:pt idx="43">
                        <c:v>6487.6712328767135</c:v>
                      </c:pt>
                      <c:pt idx="44">
                        <c:v>6487.6712328767135</c:v>
                      </c:pt>
                      <c:pt idx="45">
                        <c:v>6487.6712328767135</c:v>
                      </c:pt>
                      <c:pt idx="46">
                        <c:v>6487.6712328767135</c:v>
                      </c:pt>
                      <c:pt idx="47">
                        <c:v>6487.6712328767135</c:v>
                      </c:pt>
                      <c:pt idx="48">
                        <c:v>6487.6712328767135</c:v>
                      </c:pt>
                      <c:pt idx="49">
                        <c:v>6487.6712328767135</c:v>
                      </c:pt>
                      <c:pt idx="50">
                        <c:v>6487.6712328767135</c:v>
                      </c:pt>
                      <c:pt idx="51">
                        <c:v>6487.6712328767135</c:v>
                      </c:pt>
                      <c:pt idx="52">
                        <c:v>6487.6712328767135</c:v>
                      </c:pt>
                      <c:pt idx="53">
                        <c:v>6487.6712328767135</c:v>
                      </c:pt>
                      <c:pt idx="54">
                        <c:v>6487.6712328767135</c:v>
                      </c:pt>
                      <c:pt idx="55">
                        <c:v>6487.6712328767135</c:v>
                      </c:pt>
                      <c:pt idx="56">
                        <c:v>6487.6712328767135</c:v>
                      </c:pt>
                      <c:pt idx="57">
                        <c:v>6487.6712328767135</c:v>
                      </c:pt>
                      <c:pt idx="58">
                        <c:v>6487.6712328767135</c:v>
                      </c:pt>
                      <c:pt idx="59">
                        <c:v>6487.6712328767135</c:v>
                      </c:pt>
                      <c:pt idx="60">
                        <c:v>6487.6712328767135</c:v>
                      </c:pt>
                      <c:pt idx="61">
                        <c:v>6487.6712328767135</c:v>
                      </c:pt>
                      <c:pt idx="62">
                        <c:v>6487.6712328767135</c:v>
                      </c:pt>
                      <c:pt idx="63">
                        <c:v>6487.6712328767135</c:v>
                      </c:pt>
                      <c:pt idx="64">
                        <c:v>6487.6712328767135</c:v>
                      </c:pt>
                      <c:pt idx="65">
                        <c:v>6487.6712328767135</c:v>
                      </c:pt>
                      <c:pt idx="66">
                        <c:v>6487.6712328767135</c:v>
                      </c:pt>
                      <c:pt idx="67">
                        <c:v>6487.6712328767135</c:v>
                      </c:pt>
                      <c:pt idx="68">
                        <c:v>6487.6712328767135</c:v>
                      </c:pt>
                      <c:pt idx="69">
                        <c:v>6487.6712328767135</c:v>
                      </c:pt>
                      <c:pt idx="70">
                        <c:v>6487.6712328767135</c:v>
                      </c:pt>
                      <c:pt idx="71">
                        <c:v>6487.6712328767135</c:v>
                      </c:pt>
                      <c:pt idx="72">
                        <c:v>6487.6712328767135</c:v>
                      </c:pt>
                      <c:pt idx="73">
                        <c:v>6487.6712328767135</c:v>
                      </c:pt>
                      <c:pt idx="74">
                        <c:v>6487.6712328767135</c:v>
                      </c:pt>
                      <c:pt idx="75">
                        <c:v>6487.6712328767135</c:v>
                      </c:pt>
                      <c:pt idx="76">
                        <c:v>6487.6712328767135</c:v>
                      </c:pt>
                      <c:pt idx="77">
                        <c:v>6487.6712328767135</c:v>
                      </c:pt>
                      <c:pt idx="78">
                        <c:v>6487.6712328767135</c:v>
                      </c:pt>
                      <c:pt idx="79">
                        <c:v>6487.6712328767135</c:v>
                      </c:pt>
                      <c:pt idx="80">
                        <c:v>6487.6712328767135</c:v>
                      </c:pt>
                      <c:pt idx="81">
                        <c:v>6487.6712328767135</c:v>
                      </c:pt>
                      <c:pt idx="82">
                        <c:v>6487.6712328767135</c:v>
                      </c:pt>
                      <c:pt idx="83">
                        <c:v>6487.6712328767135</c:v>
                      </c:pt>
                      <c:pt idx="84">
                        <c:v>6487.6712328767135</c:v>
                      </c:pt>
                      <c:pt idx="85">
                        <c:v>6487.6712328767135</c:v>
                      </c:pt>
                      <c:pt idx="86">
                        <c:v>6487.6712328767135</c:v>
                      </c:pt>
                      <c:pt idx="87">
                        <c:v>6487.6712328767135</c:v>
                      </c:pt>
                      <c:pt idx="88">
                        <c:v>6487.6712328767135</c:v>
                      </c:pt>
                      <c:pt idx="89">
                        <c:v>6487.6712328767135</c:v>
                      </c:pt>
                      <c:pt idx="90">
                        <c:v>6487.6712328767135</c:v>
                      </c:pt>
                      <c:pt idx="91">
                        <c:v>6487.6712328767135</c:v>
                      </c:pt>
                      <c:pt idx="92">
                        <c:v>6487.6712328767135</c:v>
                      </c:pt>
                      <c:pt idx="93">
                        <c:v>6487.6712328767135</c:v>
                      </c:pt>
                      <c:pt idx="94">
                        <c:v>6487.6712328767135</c:v>
                      </c:pt>
                      <c:pt idx="95">
                        <c:v>6487.6712328767135</c:v>
                      </c:pt>
                      <c:pt idx="96">
                        <c:v>6487.6712328767135</c:v>
                      </c:pt>
                      <c:pt idx="97">
                        <c:v>6487.6712328767135</c:v>
                      </c:pt>
                      <c:pt idx="98">
                        <c:v>6487.6712328767135</c:v>
                      </c:pt>
                      <c:pt idx="99">
                        <c:v>6487.6712328767135</c:v>
                      </c:pt>
                      <c:pt idx="100">
                        <c:v>6487.6712328767135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93F6-4EAF-9638-95FAEB4BBAFA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731.73</c:v>
                      </c:pt>
                      <c:pt idx="1">
                        <c:v>732.05642436722292</c:v>
                      </c:pt>
                      <c:pt idx="2">
                        <c:v>732.38299435218403</c:v>
                      </c:pt>
                      <c:pt idx="3">
                        <c:v>732.70971001984333</c:v>
                      </c:pt>
                      <c:pt idx="4">
                        <c:v>733.03657143518956</c:v>
                      </c:pt>
                      <c:pt idx="5">
                        <c:v>733.36357866324101</c:v>
                      </c:pt>
                      <c:pt idx="6">
                        <c:v>733.69073176904431</c:v>
                      </c:pt>
                      <c:pt idx="7">
                        <c:v>734.01803081767582</c:v>
                      </c:pt>
                      <c:pt idx="8">
                        <c:v>734.34547587424026</c:v>
                      </c:pt>
                      <c:pt idx="9">
                        <c:v>734.67306700387167</c:v>
                      </c:pt>
                      <c:pt idx="10">
                        <c:v>735.00080427173361</c:v>
                      </c:pt>
                      <c:pt idx="11">
                        <c:v>735.32868774301778</c:v>
                      </c:pt>
                      <c:pt idx="12">
                        <c:v>735.65671748294551</c:v>
                      </c:pt>
                      <c:pt idx="13">
                        <c:v>735.98489355676759</c:v>
                      </c:pt>
                      <c:pt idx="14">
                        <c:v>736.313216029763</c:v>
                      </c:pt>
                      <c:pt idx="15">
                        <c:v>736.64168496724051</c:v>
                      </c:pt>
                      <c:pt idx="16">
                        <c:v>736.97030043453776</c:v>
                      </c:pt>
                      <c:pt idx="17">
                        <c:v>737.29906249702185</c:v>
                      </c:pt>
                      <c:pt idx="18">
                        <c:v>737.62797122008874</c:v>
                      </c:pt>
                      <c:pt idx="19">
                        <c:v>737.9570266691635</c:v>
                      </c:pt>
                      <c:pt idx="20">
                        <c:v>738.28622890970053</c:v>
                      </c:pt>
                      <c:pt idx="21">
                        <c:v>738.61557800718356</c:v>
                      </c:pt>
                      <c:pt idx="22">
                        <c:v>738.94507402712554</c:v>
                      </c:pt>
                      <c:pt idx="23">
                        <c:v>739.27471703506808</c:v>
                      </c:pt>
                      <c:pt idx="24">
                        <c:v>739.60450709658278</c:v>
                      </c:pt>
                      <c:pt idx="25">
                        <c:v>739.93444427726979</c:v>
                      </c:pt>
                      <c:pt idx="26">
                        <c:v>740.2645286427595</c:v>
                      </c:pt>
                      <c:pt idx="27">
                        <c:v>740.59476025871061</c:v>
                      </c:pt>
                      <c:pt idx="28">
                        <c:v>740.92513919081125</c:v>
                      </c:pt>
                      <c:pt idx="29">
                        <c:v>741.25566550477947</c:v>
                      </c:pt>
                      <c:pt idx="30">
                        <c:v>741.58633926636207</c:v>
                      </c:pt>
                      <c:pt idx="31">
                        <c:v>741.91716054133542</c:v>
                      </c:pt>
                      <c:pt idx="32">
                        <c:v>742.24812939550498</c:v>
                      </c:pt>
                      <c:pt idx="33">
                        <c:v>742.57924589470599</c:v>
                      </c:pt>
                      <c:pt idx="34">
                        <c:v>742.91051010480282</c:v>
                      </c:pt>
                      <c:pt idx="35">
                        <c:v>743.24192209168905</c:v>
                      </c:pt>
                      <c:pt idx="36">
                        <c:v>743.57348192128779</c:v>
                      </c:pt>
                      <c:pt idx="37">
                        <c:v>743.90518965955198</c:v>
                      </c:pt>
                      <c:pt idx="38">
                        <c:v>744.23704537246317</c:v>
                      </c:pt>
                      <c:pt idx="39">
                        <c:v>744.56904912603284</c:v>
                      </c:pt>
                      <c:pt idx="40">
                        <c:v>744.901200986302</c:v>
                      </c:pt>
                      <c:pt idx="41">
                        <c:v>745.23350101934102</c:v>
                      </c:pt>
                      <c:pt idx="42">
                        <c:v>745.56594929124958</c:v>
                      </c:pt>
                      <c:pt idx="43">
                        <c:v>745.8985458681567</c:v>
                      </c:pt>
                      <c:pt idx="44">
                        <c:v>746.23129081622176</c:v>
                      </c:pt>
                      <c:pt idx="45">
                        <c:v>746.56418420163266</c:v>
                      </c:pt>
                      <c:pt idx="46">
                        <c:v>746.89722609060721</c:v>
                      </c:pt>
                      <c:pt idx="47">
                        <c:v>747.23041654939277</c:v>
                      </c:pt>
                      <c:pt idx="48">
                        <c:v>747.56375564426651</c:v>
                      </c:pt>
                      <c:pt idx="49">
                        <c:v>747.89724344153467</c:v>
                      </c:pt>
                      <c:pt idx="50">
                        <c:v>748.23088000753307</c:v>
                      </c:pt>
                      <c:pt idx="51">
                        <c:v>748.564665408628</c:v>
                      </c:pt>
                      <c:pt idx="52">
                        <c:v>748.89859971121427</c:v>
                      </c:pt>
                      <c:pt idx="53">
                        <c:v>749.23268298171706</c:v>
                      </c:pt>
                      <c:pt idx="54">
                        <c:v>749.56691528659053</c:v>
                      </c:pt>
                      <c:pt idx="55">
                        <c:v>749.90129669231908</c:v>
                      </c:pt>
                      <c:pt idx="56">
                        <c:v>750.23582726541622</c:v>
                      </c:pt>
                      <c:pt idx="57">
                        <c:v>750.57050707242581</c:v>
                      </c:pt>
                      <c:pt idx="58">
                        <c:v>750.90533617992094</c:v>
                      </c:pt>
                      <c:pt idx="59">
                        <c:v>751.24031465450423</c:v>
                      </c:pt>
                      <c:pt idx="60">
                        <c:v>751.57544256280835</c:v>
                      </c:pt>
                      <c:pt idx="61">
                        <c:v>751.91071997149606</c:v>
                      </c:pt>
                      <c:pt idx="62">
                        <c:v>752.24614694725881</c:v>
                      </c:pt>
                      <c:pt idx="63">
                        <c:v>752.58172355681847</c:v>
                      </c:pt>
                      <c:pt idx="64">
                        <c:v>752.91744986692686</c:v>
                      </c:pt>
                      <c:pt idx="65">
                        <c:v>753.2533259443652</c:v>
                      </c:pt>
                      <c:pt idx="66">
                        <c:v>753.58935185594464</c:v>
                      </c:pt>
                      <c:pt idx="67">
                        <c:v>753.92552766850611</c:v>
                      </c:pt>
                      <c:pt idx="68">
                        <c:v>754.26185344892019</c:v>
                      </c:pt>
                      <c:pt idx="69">
                        <c:v>754.59832926408762</c:v>
                      </c:pt>
                      <c:pt idx="70">
                        <c:v>754.93495518093891</c:v>
                      </c:pt>
                      <c:pt idx="71">
                        <c:v>755.27173126643413</c:v>
                      </c:pt>
                      <c:pt idx="72">
                        <c:v>755.60865758756358</c:v>
                      </c:pt>
                      <c:pt idx="73">
                        <c:v>755.94573421134714</c:v>
                      </c:pt>
                      <c:pt idx="74">
                        <c:v>756.28296120483503</c:v>
                      </c:pt>
                      <c:pt idx="75">
                        <c:v>756.6203386351068</c:v>
                      </c:pt>
                      <c:pt idx="76">
                        <c:v>756.95786656927237</c:v>
                      </c:pt>
                      <c:pt idx="77">
                        <c:v>757.29554507447153</c:v>
                      </c:pt>
                      <c:pt idx="78">
                        <c:v>757.63337421787367</c:v>
                      </c:pt>
                      <c:pt idx="79">
                        <c:v>757.9713540666786</c:v>
                      </c:pt>
                      <c:pt idx="80">
                        <c:v>758.30948468811607</c:v>
                      </c:pt>
                      <c:pt idx="81">
                        <c:v>758.64776614944526</c:v>
                      </c:pt>
                      <c:pt idx="82">
                        <c:v>758.98619851795627</c:v>
                      </c:pt>
                      <c:pt idx="83">
                        <c:v>759.3247818609683</c:v>
                      </c:pt>
                      <c:pt idx="84">
                        <c:v>759.66351624583103</c:v>
                      </c:pt>
                      <c:pt idx="85">
                        <c:v>760.00240173992449</c:v>
                      </c:pt>
                      <c:pt idx="86">
                        <c:v>760.34143841065804</c:v>
                      </c:pt>
                      <c:pt idx="87">
                        <c:v>760.68062632547174</c:v>
                      </c:pt>
                      <c:pt idx="88">
                        <c:v>761.01996555183541</c:v>
                      </c:pt>
                      <c:pt idx="89">
                        <c:v>761.35945615724881</c:v>
                      </c:pt>
                      <c:pt idx="90">
                        <c:v>761.69909820924261</c:v>
                      </c:pt>
                      <c:pt idx="91">
                        <c:v>762.03889177537678</c:v>
                      </c:pt>
                      <c:pt idx="92">
                        <c:v>762.37883692324147</c:v>
                      </c:pt>
                      <c:pt idx="93">
                        <c:v>762.71893372045736</c:v>
                      </c:pt>
                      <c:pt idx="94">
                        <c:v>763.0591822346754</c:v>
                      </c:pt>
                      <c:pt idx="95">
                        <c:v>763.39958253357599</c:v>
                      </c:pt>
                      <c:pt idx="96">
                        <c:v>763.74013468487067</c:v>
                      </c:pt>
                      <c:pt idx="97">
                        <c:v>764.08083875630041</c:v>
                      </c:pt>
                      <c:pt idx="98">
                        <c:v>764.42169481563678</c:v>
                      </c:pt>
                      <c:pt idx="99">
                        <c:v>764.7627029306816</c:v>
                      </c:pt>
                      <c:pt idx="100">
                        <c:v>765.10386316926667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3F6-4EAF-9638-95FAEB4BBAFA}"/>
                  </c:ext>
                </c:extLst>
              </c15:ser>
            </c15:filteredScatterSeries>
            <c15:filteredScatterSeries>
              <c15:ser>
                <c:idx val="3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Production_Forecast!$O$10</c15:sqref>
                        </c15:formulaRef>
                      </c:ext>
                    </c:extLst>
                    <c:strCache>
                      <c:ptCount val="1"/>
                      <c:pt idx="0">
                        <c:v>Pres</c:v>
                      </c:pt>
                    </c:strCache>
                  </c:strRef>
                </c:tx>
                <c:spPr>
                  <a:ln w="19050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Production_Forecast!$O$12:$O$112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3000</c:v>
                      </c:pt>
                      <c:pt idx="1">
                        <c:v>3000</c:v>
                      </c:pt>
                      <c:pt idx="2">
                        <c:v>3000</c:v>
                      </c:pt>
                      <c:pt idx="3">
                        <c:v>3000</c:v>
                      </c:pt>
                      <c:pt idx="4">
                        <c:v>3000</c:v>
                      </c:pt>
                      <c:pt idx="5">
                        <c:v>3000</c:v>
                      </c:pt>
                      <c:pt idx="6">
                        <c:v>3000</c:v>
                      </c:pt>
                      <c:pt idx="7">
                        <c:v>3000</c:v>
                      </c:pt>
                      <c:pt idx="8">
                        <c:v>3000</c:v>
                      </c:pt>
                      <c:pt idx="9">
                        <c:v>3000</c:v>
                      </c:pt>
                      <c:pt idx="10">
                        <c:v>3000</c:v>
                      </c:pt>
                      <c:pt idx="11">
                        <c:v>3000</c:v>
                      </c:pt>
                      <c:pt idx="12">
                        <c:v>3000</c:v>
                      </c:pt>
                      <c:pt idx="13">
                        <c:v>3000</c:v>
                      </c:pt>
                      <c:pt idx="14">
                        <c:v>3000</c:v>
                      </c:pt>
                      <c:pt idx="15">
                        <c:v>3000</c:v>
                      </c:pt>
                      <c:pt idx="16">
                        <c:v>3000</c:v>
                      </c:pt>
                      <c:pt idx="17">
                        <c:v>3000</c:v>
                      </c:pt>
                      <c:pt idx="18">
                        <c:v>3000</c:v>
                      </c:pt>
                      <c:pt idx="19">
                        <c:v>3000</c:v>
                      </c:pt>
                      <c:pt idx="20">
                        <c:v>3000</c:v>
                      </c:pt>
                      <c:pt idx="21">
                        <c:v>3000</c:v>
                      </c:pt>
                      <c:pt idx="22">
                        <c:v>3000</c:v>
                      </c:pt>
                      <c:pt idx="23">
                        <c:v>3000</c:v>
                      </c:pt>
                      <c:pt idx="24">
                        <c:v>3000</c:v>
                      </c:pt>
                      <c:pt idx="25">
                        <c:v>3000</c:v>
                      </c:pt>
                      <c:pt idx="26">
                        <c:v>3000</c:v>
                      </c:pt>
                      <c:pt idx="27">
                        <c:v>3000</c:v>
                      </c:pt>
                      <c:pt idx="28">
                        <c:v>3000</c:v>
                      </c:pt>
                      <c:pt idx="29">
                        <c:v>3000</c:v>
                      </c:pt>
                      <c:pt idx="30">
                        <c:v>3000</c:v>
                      </c:pt>
                      <c:pt idx="31">
                        <c:v>3000</c:v>
                      </c:pt>
                      <c:pt idx="32">
                        <c:v>3000</c:v>
                      </c:pt>
                      <c:pt idx="33">
                        <c:v>3000</c:v>
                      </c:pt>
                      <c:pt idx="34">
                        <c:v>3000</c:v>
                      </c:pt>
                      <c:pt idx="35">
                        <c:v>3000</c:v>
                      </c:pt>
                      <c:pt idx="36">
                        <c:v>3000</c:v>
                      </c:pt>
                      <c:pt idx="37">
                        <c:v>3000</c:v>
                      </c:pt>
                      <c:pt idx="38">
                        <c:v>3000</c:v>
                      </c:pt>
                      <c:pt idx="39">
                        <c:v>3000</c:v>
                      </c:pt>
                      <c:pt idx="40">
                        <c:v>3000</c:v>
                      </c:pt>
                      <c:pt idx="41">
                        <c:v>3000</c:v>
                      </c:pt>
                      <c:pt idx="42">
                        <c:v>3000</c:v>
                      </c:pt>
                      <c:pt idx="43">
                        <c:v>3000</c:v>
                      </c:pt>
                      <c:pt idx="44">
                        <c:v>3000</c:v>
                      </c:pt>
                      <c:pt idx="45">
                        <c:v>3000</c:v>
                      </c:pt>
                      <c:pt idx="46">
                        <c:v>3000</c:v>
                      </c:pt>
                      <c:pt idx="47">
                        <c:v>3000</c:v>
                      </c:pt>
                      <c:pt idx="48">
                        <c:v>3000</c:v>
                      </c:pt>
                      <c:pt idx="49">
                        <c:v>3000</c:v>
                      </c:pt>
                      <c:pt idx="50">
                        <c:v>3000</c:v>
                      </c:pt>
                      <c:pt idx="51">
                        <c:v>3000</c:v>
                      </c:pt>
                      <c:pt idx="52">
                        <c:v>3000</c:v>
                      </c:pt>
                      <c:pt idx="53">
                        <c:v>3000</c:v>
                      </c:pt>
                      <c:pt idx="54">
                        <c:v>3000</c:v>
                      </c:pt>
                      <c:pt idx="55">
                        <c:v>3000</c:v>
                      </c:pt>
                      <c:pt idx="56">
                        <c:v>3000</c:v>
                      </c:pt>
                      <c:pt idx="57">
                        <c:v>3000</c:v>
                      </c:pt>
                      <c:pt idx="58">
                        <c:v>3000</c:v>
                      </c:pt>
                      <c:pt idx="59">
                        <c:v>3000</c:v>
                      </c:pt>
                      <c:pt idx="60">
                        <c:v>3000</c:v>
                      </c:pt>
                      <c:pt idx="61">
                        <c:v>3000</c:v>
                      </c:pt>
                      <c:pt idx="62">
                        <c:v>3000</c:v>
                      </c:pt>
                      <c:pt idx="63">
                        <c:v>3000</c:v>
                      </c:pt>
                      <c:pt idx="64">
                        <c:v>3000</c:v>
                      </c:pt>
                      <c:pt idx="65">
                        <c:v>3000</c:v>
                      </c:pt>
                      <c:pt idx="66">
                        <c:v>3000</c:v>
                      </c:pt>
                      <c:pt idx="67">
                        <c:v>3000</c:v>
                      </c:pt>
                      <c:pt idx="68">
                        <c:v>3000</c:v>
                      </c:pt>
                      <c:pt idx="69">
                        <c:v>3000</c:v>
                      </c:pt>
                      <c:pt idx="70">
                        <c:v>3000</c:v>
                      </c:pt>
                      <c:pt idx="71">
                        <c:v>3000</c:v>
                      </c:pt>
                      <c:pt idx="72">
                        <c:v>3000</c:v>
                      </c:pt>
                      <c:pt idx="73">
                        <c:v>3000</c:v>
                      </c:pt>
                      <c:pt idx="74">
                        <c:v>3000</c:v>
                      </c:pt>
                      <c:pt idx="75">
                        <c:v>3000</c:v>
                      </c:pt>
                      <c:pt idx="76">
                        <c:v>3000</c:v>
                      </c:pt>
                      <c:pt idx="77">
                        <c:v>3000</c:v>
                      </c:pt>
                      <c:pt idx="78">
                        <c:v>3000</c:v>
                      </c:pt>
                      <c:pt idx="79">
                        <c:v>3000</c:v>
                      </c:pt>
                      <c:pt idx="80">
                        <c:v>3000</c:v>
                      </c:pt>
                      <c:pt idx="81">
                        <c:v>3000</c:v>
                      </c:pt>
                      <c:pt idx="82">
                        <c:v>3000</c:v>
                      </c:pt>
                      <c:pt idx="83">
                        <c:v>3000</c:v>
                      </c:pt>
                      <c:pt idx="84">
                        <c:v>3000</c:v>
                      </c:pt>
                      <c:pt idx="85">
                        <c:v>3000</c:v>
                      </c:pt>
                      <c:pt idx="86">
                        <c:v>3000</c:v>
                      </c:pt>
                      <c:pt idx="87">
                        <c:v>3000</c:v>
                      </c:pt>
                      <c:pt idx="88">
                        <c:v>3000</c:v>
                      </c:pt>
                      <c:pt idx="89">
                        <c:v>3000</c:v>
                      </c:pt>
                      <c:pt idx="90">
                        <c:v>3000</c:v>
                      </c:pt>
                      <c:pt idx="91">
                        <c:v>3000</c:v>
                      </c:pt>
                      <c:pt idx="92">
                        <c:v>3000</c:v>
                      </c:pt>
                      <c:pt idx="93">
                        <c:v>3000</c:v>
                      </c:pt>
                      <c:pt idx="94">
                        <c:v>3000</c:v>
                      </c:pt>
                      <c:pt idx="95">
                        <c:v>3000</c:v>
                      </c:pt>
                      <c:pt idx="96">
                        <c:v>3000</c:v>
                      </c:pt>
                      <c:pt idx="97">
                        <c:v>3000</c:v>
                      </c:pt>
                      <c:pt idx="98">
                        <c:v>3000</c:v>
                      </c:pt>
                      <c:pt idx="99">
                        <c:v>3000</c:v>
                      </c:pt>
                      <c:pt idx="100">
                        <c:v>3000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3F6-4EAF-9638-95FAEB4BBAFA}"/>
                  </c:ext>
                </c:extLst>
              </c15:ser>
            </c15:filteredScatterSeries>
            <c15:filteredScatterSeries>
              <c15:ser>
                <c:idx val="4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30.000000000000007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69.999999999999986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99.999999999999972</c:v>
                      </c:pt>
                      <c:pt idx="11">
                        <c:v>109.99999999999999</c:v>
                      </c:pt>
                      <c:pt idx="12">
                        <c:v>120</c:v>
                      </c:pt>
                      <c:pt idx="13">
                        <c:v>130</c:v>
                      </c:pt>
                      <c:pt idx="14">
                        <c:v>140</c:v>
                      </c:pt>
                      <c:pt idx="15">
                        <c:v>150.00000000000003</c:v>
                      </c:pt>
                      <c:pt idx="16">
                        <c:v>160.00000000000003</c:v>
                      </c:pt>
                      <c:pt idx="17">
                        <c:v>170.00000000000003</c:v>
                      </c:pt>
                      <c:pt idx="18">
                        <c:v>180.00000000000006</c:v>
                      </c:pt>
                      <c:pt idx="19">
                        <c:v>190.00000000000006</c:v>
                      </c:pt>
                      <c:pt idx="20">
                        <c:v>200.00000000000003</c:v>
                      </c:pt>
                      <c:pt idx="21">
                        <c:v>210.00000000000006</c:v>
                      </c:pt>
                      <c:pt idx="22">
                        <c:v>220.00000000000006</c:v>
                      </c:pt>
                      <c:pt idx="23">
                        <c:v>230.00000000000006</c:v>
                      </c:pt>
                      <c:pt idx="24">
                        <c:v>240.00000000000009</c:v>
                      </c:pt>
                      <c:pt idx="25">
                        <c:v>250.00000000000011</c:v>
                      </c:pt>
                      <c:pt idx="26">
                        <c:v>260.00000000000011</c:v>
                      </c:pt>
                      <c:pt idx="27">
                        <c:v>270.00000000000011</c:v>
                      </c:pt>
                      <c:pt idx="28">
                        <c:v>280.00000000000011</c:v>
                      </c:pt>
                      <c:pt idx="29">
                        <c:v>290.00000000000017</c:v>
                      </c:pt>
                      <c:pt idx="30">
                        <c:v>300.00000000000017</c:v>
                      </c:pt>
                      <c:pt idx="31">
                        <c:v>310.00000000000017</c:v>
                      </c:pt>
                      <c:pt idx="32">
                        <c:v>320.00000000000017</c:v>
                      </c:pt>
                      <c:pt idx="33">
                        <c:v>330.00000000000017</c:v>
                      </c:pt>
                      <c:pt idx="34">
                        <c:v>340.00000000000017</c:v>
                      </c:pt>
                      <c:pt idx="35">
                        <c:v>350.00000000000023</c:v>
                      </c:pt>
                      <c:pt idx="36">
                        <c:v>360.00000000000023</c:v>
                      </c:pt>
                      <c:pt idx="37">
                        <c:v>370.00000000000023</c:v>
                      </c:pt>
                      <c:pt idx="38">
                        <c:v>380.00000000000023</c:v>
                      </c:pt>
                      <c:pt idx="39">
                        <c:v>390.00000000000023</c:v>
                      </c:pt>
                      <c:pt idx="40">
                        <c:v>400.00000000000011</c:v>
                      </c:pt>
                      <c:pt idx="41">
                        <c:v>410.00000000000011</c:v>
                      </c:pt>
                      <c:pt idx="42">
                        <c:v>420.00000000000011</c:v>
                      </c:pt>
                      <c:pt idx="43">
                        <c:v>430.00000000000011</c:v>
                      </c:pt>
                      <c:pt idx="44">
                        <c:v>440.00000000000006</c:v>
                      </c:pt>
                      <c:pt idx="45">
                        <c:v>449.99999999999994</c:v>
                      </c:pt>
                      <c:pt idx="46">
                        <c:v>459.99999999999994</c:v>
                      </c:pt>
                      <c:pt idx="47">
                        <c:v>469.99999999999994</c:v>
                      </c:pt>
                      <c:pt idx="48">
                        <c:v>479.99999999999989</c:v>
                      </c:pt>
                      <c:pt idx="49">
                        <c:v>489.99999999999989</c:v>
                      </c:pt>
                      <c:pt idx="50">
                        <c:v>499.99999999999983</c:v>
                      </c:pt>
                      <c:pt idx="51">
                        <c:v>509.99999999999977</c:v>
                      </c:pt>
                      <c:pt idx="52">
                        <c:v>519.99999999999977</c:v>
                      </c:pt>
                      <c:pt idx="53">
                        <c:v>529.99999999999966</c:v>
                      </c:pt>
                      <c:pt idx="54">
                        <c:v>539.99999999999955</c:v>
                      </c:pt>
                      <c:pt idx="55">
                        <c:v>549.99999999999955</c:v>
                      </c:pt>
                      <c:pt idx="56">
                        <c:v>559.99999999999966</c:v>
                      </c:pt>
                      <c:pt idx="57">
                        <c:v>569.99999999999966</c:v>
                      </c:pt>
                      <c:pt idx="58">
                        <c:v>579.99999999999955</c:v>
                      </c:pt>
                      <c:pt idx="59">
                        <c:v>589.99999999999955</c:v>
                      </c:pt>
                      <c:pt idx="60">
                        <c:v>599.99999999999955</c:v>
                      </c:pt>
                      <c:pt idx="61">
                        <c:v>609.99999999999943</c:v>
                      </c:pt>
                      <c:pt idx="62">
                        <c:v>619.99999999999932</c:v>
                      </c:pt>
                      <c:pt idx="63">
                        <c:v>629.99999999999932</c:v>
                      </c:pt>
                      <c:pt idx="64">
                        <c:v>639.99999999999932</c:v>
                      </c:pt>
                      <c:pt idx="65">
                        <c:v>649.99999999999932</c:v>
                      </c:pt>
                      <c:pt idx="66">
                        <c:v>659.9999999999992</c:v>
                      </c:pt>
                      <c:pt idx="67">
                        <c:v>669.99999999999932</c:v>
                      </c:pt>
                      <c:pt idx="68">
                        <c:v>679.99999999999932</c:v>
                      </c:pt>
                      <c:pt idx="69">
                        <c:v>689.99999999999909</c:v>
                      </c:pt>
                      <c:pt idx="70">
                        <c:v>699.99999999999909</c:v>
                      </c:pt>
                      <c:pt idx="71">
                        <c:v>709.99999999999909</c:v>
                      </c:pt>
                      <c:pt idx="72">
                        <c:v>719.99999999999898</c:v>
                      </c:pt>
                      <c:pt idx="73">
                        <c:v>729.99999999999898</c:v>
                      </c:pt>
                      <c:pt idx="74">
                        <c:v>739.99999999999898</c:v>
                      </c:pt>
                      <c:pt idx="75">
                        <c:v>749.99999999999898</c:v>
                      </c:pt>
                      <c:pt idx="76">
                        <c:v>759.99999999999886</c:v>
                      </c:pt>
                      <c:pt idx="77">
                        <c:v>769.99999999999886</c:v>
                      </c:pt>
                      <c:pt idx="78">
                        <c:v>779.99999999999886</c:v>
                      </c:pt>
                      <c:pt idx="79">
                        <c:v>789.99999999999875</c:v>
                      </c:pt>
                      <c:pt idx="80">
                        <c:v>799.99999999999875</c:v>
                      </c:pt>
                      <c:pt idx="81">
                        <c:v>809.99999999999875</c:v>
                      </c:pt>
                      <c:pt idx="82">
                        <c:v>819.99999999999864</c:v>
                      </c:pt>
                      <c:pt idx="83">
                        <c:v>829.99999999999864</c:v>
                      </c:pt>
                      <c:pt idx="84">
                        <c:v>839.99999999999864</c:v>
                      </c:pt>
                      <c:pt idx="85">
                        <c:v>849.99999999999852</c:v>
                      </c:pt>
                      <c:pt idx="86">
                        <c:v>859.99999999999852</c:v>
                      </c:pt>
                      <c:pt idx="87">
                        <c:v>869.99999999999852</c:v>
                      </c:pt>
                      <c:pt idx="88">
                        <c:v>879.99999999999841</c:v>
                      </c:pt>
                      <c:pt idx="89">
                        <c:v>889.99999999999841</c:v>
                      </c:pt>
                      <c:pt idx="90">
                        <c:v>899.99999999999852</c:v>
                      </c:pt>
                      <c:pt idx="91">
                        <c:v>909.99999999999841</c:v>
                      </c:pt>
                      <c:pt idx="92">
                        <c:v>919.99999999999841</c:v>
                      </c:pt>
                      <c:pt idx="93">
                        <c:v>929.99999999999841</c:v>
                      </c:pt>
                      <c:pt idx="94">
                        <c:v>939.99999999999818</c:v>
                      </c:pt>
                      <c:pt idx="95">
                        <c:v>949.99999999999818</c:v>
                      </c:pt>
                      <c:pt idx="96">
                        <c:v>959.99999999999818</c:v>
                      </c:pt>
                      <c:pt idx="97">
                        <c:v>969.99999999999807</c:v>
                      </c:pt>
                      <c:pt idx="98">
                        <c:v>979.99999999999807</c:v>
                      </c:pt>
                      <c:pt idx="99">
                        <c:v>989.99999999999807</c:v>
                      </c:pt>
                      <c:pt idx="100">
                        <c:v>999.99999999999807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93F6-4EAF-9638-95FAEB4BBAFA}"/>
                  </c:ext>
                </c:extLst>
              </c15:ser>
            </c15:filteredScatterSeries>
          </c:ext>
        </c:extLst>
      </c:scatterChart>
      <c:scatterChart>
        <c:scatterStyle val="smoothMarker"/>
        <c:varyColors val="0"/>
        <c:ser>
          <c:idx val="2"/>
          <c:order val="3"/>
          <c:tx>
            <c:strRef>
              <c:f>Production_Forecast!$N$10</c:f>
              <c:strCache>
                <c:ptCount val="1"/>
                <c:pt idx="0">
                  <c:v>WCUT</c:v>
                </c:pt>
              </c:strCache>
            </c:strRef>
          </c:tx>
          <c:spPr>
            <a:ln w="508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Production_Forecast!$K$12:$K$1012</c:f>
              <c:numCache>
                <c:formatCode>0.00</c:formatCode>
                <c:ptCount val="1001"/>
                <c:pt idx="0">
                  <c:v>0</c:v>
                </c:pt>
                <c:pt idx="1">
                  <c:v>2.990366109806172E-2</c:v>
                </c:pt>
                <c:pt idx="2">
                  <c:v>5.6372837931266531E-2</c:v>
                </c:pt>
                <c:pt idx="3">
                  <c:v>7.9801986620785331E-2</c:v>
                </c:pt>
                <c:pt idx="4">
                  <c:v>0.10054025935871833</c:v>
                </c:pt>
                <c:pt idx="5">
                  <c:v>0.11889670763826224</c:v>
                </c:pt>
                <c:pt idx="6">
                  <c:v>0.1351448878844034</c:v>
                </c:pt>
                <c:pt idx="7">
                  <c:v>0.14952693812041182</c:v>
                </c:pt>
                <c:pt idx="8">
                  <c:v>0.16225718642253756</c:v>
                </c:pt>
                <c:pt idx="9">
                  <c:v>0.17352534493779748</c:v>
                </c:pt>
                <c:pt idx="10">
                  <c:v>0.18349933706360874</c:v>
                </c:pt>
                <c:pt idx="11">
                  <c:v>0.19232779992122867</c:v>
                </c:pt>
                <c:pt idx="12">
                  <c:v>0.20014229941603701</c:v>
                </c:pt>
                <c:pt idx="13">
                  <c:v>0.20705929089453118</c:v>
                </c:pt>
                <c:pt idx="14">
                  <c:v>0.21318185461666689</c:v>
                </c:pt>
                <c:pt idx="15">
                  <c:v>0.21860123190636871</c:v>
                </c:pt>
                <c:pt idx="16">
                  <c:v>0.22339818487264843</c:v>
                </c:pt>
                <c:pt idx="17">
                  <c:v>0.22764419996453475</c:v>
                </c:pt>
                <c:pt idx="18">
                  <c:v>0.23186717293750775</c:v>
                </c:pt>
                <c:pt idx="19">
                  <c:v>0.23609014591048072</c:v>
                </c:pt>
                <c:pt idx="20">
                  <c:v>0.24031311888345366</c:v>
                </c:pt>
                <c:pt idx="21">
                  <c:v>0.24453609185642666</c:v>
                </c:pt>
                <c:pt idx="22">
                  <c:v>0.24875906482939963</c:v>
                </c:pt>
                <c:pt idx="23">
                  <c:v>0.25298203780237261</c:v>
                </c:pt>
                <c:pt idx="24">
                  <c:v>0.25720501077534558</c:v>
                </c:pt>
                <c:pt idx="25">
                  <c:v>0.26142798374831855</c:v>
                </c:pt>
                <c:pt idx="26">
                  <c:v>0.26565095672129152</c:v>
                </c:pt>
                <c:pt idx="27">
                  <c:v>0.26987392969426449</c:v>
                </c:pt>
                <c:pt idx="28">
                  <c:v>0.27409690266723746</c:v>
                </c:pt>
                <c:pt idx="29">
                  <c:v>0.27831987564021043</c:v>
                </c:pt>
                <c:pt idx="30">
                  <c:v>0.28254284861318341</c:v>
                </c:pt>
                <c:pt idx="31">
                  <c:v>0.28676582158615638</c:v>
                </c:pt>
                <c:pt idx="32">
                  <c:v>0.29098879455912929</c:v>
                </c:pt>
                <c:pt idx="33">
                  <c:v>0.29521176753210226</c:v>
                </c:pt>
                <c:pt idx="34">
                  <c:v>0.29943474050507524</c:v>
                </c:pt>
                <c:pt idx="35">
                  <c:v>0.30365771347804821</c:v>
                </c:pt>
                <c:pt idx="36">
                  <c:v>0.30788068645102118</c:v>
                </c:pt>
                <c:pt idx="37">
                  <c:v>0.31210365942399415</c:v>
                </c:pt>
                <c:pt idx="38">
                  <c:v>0.31632663239696712</c:v>
                </c:pt>
                <c:pt idx="39">
                  <c:v>0.32054960536994009</c:v>
                </c:pt>
                <c:pt idx="40">
                  <c:v>0.32477257834291301</c:v>
                </c:pt>
                <c:pt idx="41">
                  <c:v>0.32899555131588593</c:v>
                </c:pt>
                <c:pt idx="42">
                  <c:v>0.3332185242888589</c:v>
                </c:pt>
                <c:pt idx="43">
                  <c:v>0.33744149726183187</c:v>
                </c:pt>
                <c:pt idx="44">
                  <c:v>0.34166447023480484</c:v>
                </c:pt>
                <c:pt idx="45">
                  <c:v>0.34588744320777776</c:v>
                </c:pt>
                <c:pt idx="46">
                  <c:v>0.35011041618075067</c:v>
                </c:pt>
                <c:pt idx="47">
                  <c:v>0.3543333891537237</c:v>
                </c:pt>
                <c:pt idx="48">
                  <c:v>0.35855636212669667</c:v>
                </c:pt>
                <c:pt idx="49">
                  <c:v>0.36277933509966959</c:v>
                </c:pt>
                <c:pt idx="50">
                  <c:v>0.36700230807264256</c:v>
                </c:pt>
                <c:pt idx="51">
                  <c:v>0.37122528104561553</c:v>
                </c:pt>
                <c:pt idx="52">
                  <c:v>0.3754482540185885</c:v>
                </c:pt>
                <c:pt idx="53">
                  <c:v>0.37967122699156142</c:v>
                </c:pt>
                <c:pt idx="54">
                  <c:v>0.38389419996453439</c:v>
                </c:pt>
                <c:pt idx="55">
                  <c:v>0.38811717293750736</c:v>
                </c:pt>
                <c:pt idx="56">
                  <c:v>0.39234014591048039</c:v>
                </c:pt>
                <c:pt idx="57">
                  <c:v>0.39656311888345336</c:v>
                </c:pt>
                <c:pt idx="58">
                  <c:v>0.40078609185642633</c:v>
                </c:pt>
                <c:pt idx="59">
                  <c:v>0.40500906482939925</c:v>
                </c:pt>
                <c:pt idx="60">
                  <c:v>0.40923203780237222</c:v>
                </c:pt>
                <c:pt idx="61">
                  <c:v>0.41345501077534519</c:v>
                </c:pt>
                <c:pt idx="62">
                  <c:v>0.41767798374831816</c:v>
                </c:pt>
                <c:pt idx="63">
                  <c:v>0.42190095672129113</c:v>
                </c:pt>
                <c:pt idx="64">
                  <c:v>0.42612392969426405</c:v>
                </c:pt>
                <c:pt idx="65">
                  <c:v>0.43034690266723702</c:v>
                </c:pt>
                <c:pt idx="66">
                  <c:v>0.43456987564020999</c:v>
                </c:pt>
                <c:pt idx="67">
                  <c:v>0.43879284861318302</c:v>
                </c:pt>
                <c:pt idx="68">
                  <c:v>0.44301582158615599</c:v>
                </c:pt>
                <c:pt idx="69">
                  <c:v>0.44723879455912885</c:v>
                </c:pt>
                <c:pt idx="70">
                  <c:v>0.45146176753210182</c:v>
                </c:pt>
                <c:pt idx="71">
                  <c:v>0.45568474050507479</c:v>
                </c:pt>
                <c:pt idx="72">
                  <c:v>0.45990771347804771</c:v>
                </c:pt>
                <c:pt idx="73">
                  <c:v>0.46413068645102068</c:v>
                </c:pt>
                <c:pt idx="74">
                  <c:v>0.46835365942399365</c:v>
                </c:pt>
                <c:pt idx="75">
                  <c:v>0.47257663239696662</c:v>
                </c:pt>
                <c:pt idx="76">
                  <c:v>0.47679960536993954</c:v>
                </c:pt>
                <c:pt idx="77">
                  <c:v>0.48102257834291251</c:v>
                </c:pt>
                <c:pt idx="78">
                  <c:v>0.48524555131588548</c:v>
                </c:pt>
                <c:pt idx="79">
                  <c:v>0.48946852428885845</c:v>
                </c:pt>
                <c:pt idx="80">
                  <c:v>0.49369149726183137</c:v>
                </c:pt>
                <c:pt idx="81">
                  <c:v>0.49791447023480434</c:v>
                </c:pt>
                <c:pt idx="82">
                  <c:v>0.50213744320777731</c:v>
                </c:pt>
                <c:pt idx="83">
                  <c:v>0.50636041618075023</c:v>
                </c:pt>
                <c:pt idx="84">
                  <c:v>0.51058338915372325</c:v>
                </c:pt>
                <c:pt idx="85">
                  <c:v>0.51480636212669617</c:v>
                </c:pt>
                <c:pt idx="86">
                  <c:v>0.5190293350996692</c:v>
                </c:pt>
                <c:pt idx="87">
                  <c:v>0.52325230807264211</c:v>
                </c:pt>
                <c:pt idx="88">
                  <c:v>0.52747528104561503</c:v>
                </c:pt>
                <c:pt idx="89">
                  <c:v>0.53169825401858806</c:v>
                </c:pt>
                <c:pt idx="90">
                  <c:v>0.53592122699156108</c:v>
                </c:pt>
                <c:pt idx="91">
                  <c:v>0.540144199964534</c:v>
                </c:pt>
                <c:pt idx="92">
                  <c:v>0.54436717293750703</c:v>
                </c:pt>
                <c:pt idx="93">
                  <c:v>0.54859014591047994</c:v>
                </c:pt>
                <c:pt idx="94">
                  <c:v>0.55281311888345286</c:v>
                </c:pt>
                <c:pt idx="95">
                  <c:v>0.55703609185642577</c:v>
                </c:pt>
                <c:pt idx="96">
                  <c:v>0.56125906482939869</c:v>
                </c:pt>
                <c:pt idx="97">
                  <c:v>0.56548203780237172</c:v>
                </c:pt>
                <c:pt idx="98">
                  <c:v>0.56970501077534463</c:v>
                </c:pt>
                <c:pt idx="99">
                  <c:v>0.57392798374831755</c:v>
                </c:pt>
                <c:pt idx="100">
                  <c:v>0.57815095672129058</c:v>
                </c:pt>
                <c:pt idx="101">
                  <c:v>0.58237392969426349</c:v>
                </c:pt>
                <c:pt idx="102">
                  <c:v>0.58659690266723652</c:v>
                </c:pt>
                <c:pt idx="103">
                  <c:v>0.59081987564020955</c:v>
                </c:pt>
                <c:pt idx="104">
                  <c:v>0.59504284861318235</c:v>
                </c:pt>
                <c:pt idx="105">
                  <c:v>0.59926582158615538</c:v>
                </c:pt>
                <c:pt idx="106">
                  <c:v>0.60348879455912829</c:v>
                </c:pt>
                <c:pt idx="107">
                  <c:v>0.60771176753210132</c:v>
                </c:pt>
                <c:pt idx="108">
                  <c:v>0.61193474050507435</c:v>
                </c:pt>
                <c:pt idx="109">
                  <c:v>0.61615771347804726</c:v>
                </c:pt>
                <c:pt idx="110">
                  <c:v>0.62038068645102018</c:v>
                </c:pt>
                <c:pt idx="111">
                  <c:v>0.6246036594239931</c:v>
                </c:pt>
                <c:pt idx="112">
                  <c:v>0.62882663239696601</c:v>
                </c:pt>
                <c:pt idx="113">
                  <c:v>0.63304960536993893</c:v>
                </c:pt>
                <c:pt idx="114">
                  <c:v>0.63727257834291184</c:v>
                </c:pt>
                <c:pt idx="115">
                  <c:v>0.64149555131588487</c:v>
                </c:pt>
                <c:pt idx="116">
                  <c:v>0.64571852428885779</c:v>
                </c:pt>
                <c:pt idx="117">
                  <c:v>0.64994149726183081</c:v>
                </c:pt>
                <c:pt idx="118">
                  <c:v>0.65416447023480373</c:v>
                </c:pt>
                <c:pt idx="119">
                  <c:v>0.65838744320777665</c:v>
                </c:pt>
                <c:pt idx="120">
                  <c:v>0.66261041618074956</c:v>
                </c:pt>
                <c:pt idx="121">
                  <c:v>0.66683338915372248</c:v>
                </c:pt>
                <c:pt idx="122">
                  <c:v>0.67105636212669539</c:v>
                </c:pt>
                <c:pt idx="123">
                  <c:v>0.67527933509966842</c:v>
                </c:pt>
                <c:pt idx="124">
                  <c:v>0.67950230807264134</c:v>
                </c:pt>
                <c:pt idx="125">
                  <c:v>0.68372528104561436</c:v>
                </c:pt>
                <c:pt idx="126">
                  <c:v>0.68794825401858728</c:v>
                </c:pt>
                <c:pt idx="127">
                  <c:v>0.69217122699156008</c:v>
                </c:pt>
                <c:pt idx="128">
                  <c:v>0.69639419996453311</c:v>
                </c:pt>
                <c:pt idx="129">
                  <c:v>0.70061717293750603</c:v>
                </c:pt>
                <c:pt idx="130">
                  <c:v>0.70484014591047917</c:v>
                </c:pt>
                <c:pt idx="131">
                  <c:v>0.70906311888345219</c:v>
                </c:pt>
                <c:pt idx="132">
                  <c:v>0.71328609185642522</c:v>
                </c:pt>
                <c:pt idx="133">
                  <c:v>0.71750906482939814</c:v>
                </c:pt>
                <c:pt idx="134">
                  <c:v>0.72173203780237116</c:v>
                </c:pt>
                <c:pt idx="135">
                  <c:v>0.72595501077534419</c:v>
                </c:pt>
                <c:pt idx="136">
                  <c:v>0.73017798374831722</c:v>
                </c:pt>
                <c:pt idx="137">
                  <c:v>0.73440095672129024</c:v>
                </c:pt>
                <c:pt idx="138">
                  <c:v>0.73862392969426327</c:v>
                </c:pt>
                <c:pt idx="139">
                  <c:v>0.7428469026672363</c:v>
                </c:pt>
                <c:pt idx="140">
                  <c:v>0.74706987564020921</c:v>
                </c:pt>
                <c:pt idx="141">
                  <c:v>0.75129284861318224</c:v>
                </c:pt>
                <c:pt idx="142">
                  <c:v>0.75551582158615527</c:v>
                </c:pt>
                <c:pt idx="143">
                  <c:v>0.75973879455912829</c:v>
                </c:pt>
                <c:pt idx="144">
                  <c:v>0.76396176753210132</c:v>
                </c:pt>
                <c:pt idx="145">
                  <c:v>0.76818474050507435</c:v>
                </c:pt>
                <c:pt idx="146">
                  <c:v>0.77240771347804726</c:v>
                </c:pt>
                <c:pt idx="147">
                  <c:v>0.77663068645102018</c:v>
                </c:pt>
                <c:pt idx="148">
                  <c:v>0.78085365942399321</c:v>
                </c:pt>
                <c:pt idx="149">
                  <c:v>0.78507663239696601</c:v>
                </c:pt>
                <c:pt idx="150">
                  <c:v>0.78929960536993904</c:v>
                </c:pt>
                <c:pt idx="151">
                  <c:v>0.79352257834291196</c:v>
                </c:pt>
                <c:pt idx="152">
                  <c:v>0.79774555131588487</c:v>
                </c:pt>
                <c:pt idx="153">
                  <c:v>0.8019685242888579</c:v>
                </c:pt>
                <c:pt idx="154">
                  <c:v>0.80619149726183092</c:v>
                </c:pt>
                <c:pt idx="155">
                  <c:v>0.81041447023480395</c:v>
                </c:pt>
                <c:pt idx="156">
                  <c:v>0.81463744320777698</c:v>
                </c:pt>
                <c:pt idx="157">
                  <c:v>0.81886041618075001</c:v>
                </c:pt>
                <c:pt idx="158">
                  <c:v>0.82308338915372292</c:v>
                </c:pt>
                <c:pt idx="159">
                  <c:v>0.82730636212669595</c:v>
                </c:pt>
                <c:pt idx="160">
                  <c:v>0.83152933509966898</c:v>
                </c:pt>
                <c:pt idx="161">
                  <c:v>0.835752308072642</c:v>
                </c:pt>
                <c:pt idx="162">
                  <c:v>0.83997528104561503</c:v>
                </c:pt>
                <c:pt idx="163">
                  <c:v>0.84419825401858806</c:v>
                </c:pt>
                <c:pt idx="164">
                  <c:v>0.84842122699156108</c:v>
                </c:pt>
                <c:pt idx="165">
                  <c:v>0.85264419996453422</c:v>
                </c:pt>
                <c:pt idx="166">
                  <c:v>0.85686717293750725</c:v>
                </c:pt>
                <c:pt idx="167">
                  <c:v>0.86109014591048028</c:v>
                </c:pt>
                <c:pt idx="168">
                  <c:v>0.8653131188834533</c:v>
                </c:pt>
                <c:pt idx="169">
                  <c:v>0.86953609185642633</c:v>
                </c:pt>
                <c:pt idx="170">
                  <c:v>0.87375906482939936</c:v>
                </c:pt>
                <c:pt idx="171">
                  <c:v>0.87798203780237238</c:v>
                </c:pt>
                <c:pt idx="172">
                  <c:v>0.88220501077534541</c:v>
                </c:pt>
                <c:pt idx="173">
                  <c:v>0.88642798374831866</c:v>
                </c:pt>
                <c:pt idx="174">
                  <c:v>0.89065095672129146</c:v>
                </c:pt>
                <c:pt idx="175">
                  <c:v>0.89487392969426471</c:v>
                </c:pt>
                <c:pt idx="176">
                  <c:v>0.89909690266723774</c:v>
                </c:pt>
                <c:pt idx="177">
                  <c:v>0.90331987564021077</c:v>
                </c:pt>
                <c:pt idx="178">
                  <c:v>0.90754284861318379</c:v>
                </c:pt>
                <c:pt idx="179">
                  <c:v>0.91176582158615682</c:v>
                </c:pt>
                <c:pt idx="180">
                  <c:v>0.91598879455912985</c:v>
                </c:pt>
                <c:pt idx="181">
                  <c:v>0.92021176753210288</c:v>
                </c:pt>
                <c:pt idx="182">
                  <c:v>0.9244347405050759</c:v>
                </c:pt>
                <c:pt idx="183">
                  <c:v>0.92865771347804893</c:v>
                </c:pt>
                <c:pt idx="184">
                  <c:v>0.93288068645102196</c:v>
                </c:pt>
                <c:pt idx="185">
                  <c:v>0.93710365942399509</c:v>
                </c:pt>
                <c:pt idx="186">
                  <c:v>0.94132663239696812</c:v>
                </c:pt>
                <c:pt idx="187">
                  <c:v>0.94554960536994115</c:v>
                </c:pt>
                <c:pt idx="188">
                  <c:v>0.94977257834291418</c:v>
                </c:pt>
                <c:pt idx="189">
                  <c:v>0.9539955513158872</c:v>
                </c:pt>
                <c:pt idx="190">
                  <c:v>0.95821852428886023</c:v>
                </c:pt>
                <c:pt idx="191">
                  <c:v>0.96244149726183326</c:v>
                </c:pt>
                <c:pt idx="192">
                  <c:v>0.96666447023480628</c:v>
                </c:pt>
                <c:pt idx="193">
                  <c:v>0.97088744320777931</c:v>
                </c:pt>
                <c:pt idx="194">
                  <c:v>0.97511041618075234</c:v>
                </c:pt>
                <c:pt idx="195">
                  <c:v>0.97933338915372536</c:v>
                </c:pt>
                <c:pt idx="196">
                  <c:v>0.98355636212669839</c:v>
                </c:pt>
                <c:pt idx="197">
                  <c:v>0.98777933509967153</c:v>
                </c:pt>
                <c:pt idx="198">
                  <c:v>0.99200230807264467</c:v>
                </c:pt>
                <c:pt idx="199">
                  <c:v>0.99622528104561758</c:v>
                </c:pt>
                <c:pt idx="200">
                  <c:v>1.0004482540185906</c:v>
                </c:pt>
                <c:pt idx="201">
                  <c:v>1.0046712269915636</c:v>
                </c:pt>
                <c:pt idx="202">
                  <c:v>1.0088941999645367</c:v>
                </c:pt>
                <c:pt idx="203">
                  <c:v>1.0131171729375097</c:v>
                </c:pt>
                <c:pt idx="204">
                  <c:v>1.0173401459104827</c:v>
                </c:pt>
                <c:pt idx="205">
                  <c:v>1.0215631188834555</c:v>
                </c:pt>
                <c:pt idx="206">
                  <c:v>1.0257860918564286</c:v>
                </c:pt>
                <c:pt idx="207">
                  <c:v>1.0300090648294018</c:v>
                </c:pt>
                <c:pt idx="208">
                  <c:v>1.0342320378023748</c:v>
                </c:pt>
                <c:pt idx="209">
                  <c:v>1.0384550107753479</c:v>
                </c:pt>
                <c:pt idx="210">
                  <c:v>1.0426779837483211</c:v>
                </c:pt>
                <c:pt idx="211">
                  <c:v>1.0469009567212941</c:v>
                </c:pt>
                <c:pt idx="212">
                  <c:v>1.0511239296942669</c:v>
                </c:pt>
                <c:pt idx="213">
                  <c:v>1.0553469026672402</c:v>
                </c:pt>
                <c:pt idx="214">
                  <c:v>1.059569875640213</c:v>
                </c:pt>
                <c:pt idx="215">
                  <c:v>1.0637928486131862</c:v>
                </c:pt>
                <c:pt idx="216">
                  <c:v>1.0680158215861593</c:v>
                </c:pt>
                <c:pt idx="217">
                  <c:v>1.0722387945591323</c:v>
                </c:pt>
                <c:pt idx="218">
                  <c:v>1.0764617675321051</c:v>
                </c:pt>
                <c:pt idx="219">
                  <c:v>1.0806847405050783</c:v>
                </c:pt>
                <c:pt idx="220">
                  <c:v>1.0849077134780514</c:v>
                </c:pt>
                <c:pt idx="221">
                  <c:v>1.0891306864510244</c:v>
                </c:pt>
                <c:pt idx="222">
                  <c:v>1.0933536594239976</c:v>
                </c:pt>
                <c:pt idx="223">
                  <c:v>1.0975766323969707</c:v>
                </c:pt>
                <c:pt idx="224">
                  <c:v>1.1017996053699435</c:v>
                </c:pt>
                <c:pt idx="225">
                  <c:v>1.1060225783429167</c:v>
                </c:pt>
                <c:pt idx="226">
                  <c:v>1.1102455513158898</c:v>
                </c:pt>
                <c:pt idx="227">
                  <c:v>1.1144685242888628</c:v>
                </c:pt>
                <c:pt idx="228">
                  <c:v>1.1186914972618358</c:v>
                </c:pt>
                <c:pt idx="229">
                  <c:v>1.1229144702348091</c:v>
                </c:pt>
                <c:pt idx="230">
                  <c:v>1.1271374432077819</c:v>
                </c:pt>
                <c:pt idx="231">
                  <c:v>1.1313604161807551</c:v>
                </c:pt>
                <c:pt idx="232">
                  <c:v>1.1355833891537281</c:v>
                </c:pt>
                <c:pt idx="233">
                  <c:v>1.1398063621267012</c:v>
                </c:pt>
                <c:pt idx="234">
                  <c:v>1.144029335099674</c:v>
                </c:pt>
                <c:pt idx="235">
                  <c:v>1.1482523080726472</c:v>
                </c:pt>
                <c:pt idx="236">
                  <c:v>1.15247528104562</c:v>
                </c:pt>
                <c:pt idx="237">
                  <c:v>1.1566982540185931</c:v>
                </c:pt>
                <c:pt idx="238">
                  <c:v>1.1609212269915663</c:v>
                </c:pt>
                <c:pt idx="239">
                  <c:v>1.1651441999645393</c:v>
                </c:pt>
                <c:pt idx="240">
                  <c:v>1.1693671729375124</c:v>
                </c:pt>
                <c:pt idx="241">
                  <c:v>1.1735901459104856</c:v>
                </c:pt>
                <c:pt idx="242">
                  <c:v>1.1778131188834586</c:v>
                </c:pt>
                <c:pt idx="243">
                  <c:v>1.1820360918564317</c:v>
                </c:pt>
                <c:pt idx="244">
                  <c:v>1.1862590648294047</c:v>
                </c:pt>
                <c:pt idx="245">
                  <c:v>1.1904820378023779</c:v>
                </c:pt>
                <c:pt idx="246">
                  <c:v>1.194705010775351</c:v>
                </c:pt>
                <c:pt idx="247">
                  <c:v>1.198927983748324</c:v>
                </c:pt>
                <c:pt idx="248">
                  <c:v>1.2031509567212972</c:v>
                </c:pt>
                <c:pt idx="249">
                  <c:v>1.20737392969427</c:v>
                </c:pt>
                <c:pt idx="250">
                  <c:v>1.2115969026672431</c:v>
                </c:pt>
                <c:pt idx="251">
                  <c:v>1.2158198756402163</c:v>
                </c:pt>
                <c:pt idx="252">
                  <c:v>1.2200428486131893</c:v>
                </c:pt>
                <c:pt idx="253">
                  <c:v>1.2242658215861624</c:v>
                </c:pt>
                <c:pt idx="254">
                  <c:v>1.2284887945591354</c:v>
                </c:pt>
                <c:pt idx="255">
                  <c:v>1.2327117675321086</c:v>
                </c:pt>
                <c:pt idx="256">
                  <c:v>1.2369347405050817</c:v>
                </c:pt>
                <c:pt idx="257">
                  <c:v>1.2411577134780547</c:v>
                </c:pt>
                <c:pt idx="258">
                  <c:v>1.2453806864510277</c:v>
                </c:pt>
                <c:pt idx="259">
                  <c:v>1.249603659424001</c:v>
                </c:pt>
                <c:pt idx="260">
                  <c:v>1.2538266323969742</c:v>
                </c:pt>
                <c:pt idx="261">
                  <c:v>1.2580496053699468</c:v>
                </c:pt>
                <c:pt idx="262">
                  <c:v>1.2622725783429198</c:v>
                </c:pt>
                <c:pt idx="263">
                  <c:v>1.2664955513158929</c:v>
                </c:pt>
                <c:pt idx="264">
                  <c:v>1.2707185242888663</c:v>
                </c:pt>
                <c:pt idx="265">
                  <c:v>1.2749414972618389</c:v>
                </c:pt>
                <c:pt idx="266">
                  <c:v>1.2791644702348122</c:v>
                </c:pt>
                <c:pt idx="267">
                  <c:v>1.283387443207785</c:v>
                </c:pt>
                <c:pt idx="268">
                  <c:v>1.2876104161807582</c:v>
                </c:pt>
                <c:pt idx="269">
                  <c:v>1.291833389153731</c:v>
                </c:pt>
                <c:pt idx="270">
                  <c:v>1.2960563621267043</c:v>
                </c:pt>
                <c:pt idx="271">
                  <c:v>1.3002793350996773</c:v>
                </c:pt>
                <c:pt idx="272">
                  <c:v>1.3045023080726503</c:v>
                </c:pt>
                <c:pt idx="273">
                  <c:v>1.3087252810456236</c:v>
                </c:pt>
                <c:pt idx="274">
                  <c:v>1.3129482540185966</c:v>
                </c:pt>
                <c:pt idx="275">
                  <c:v>1.3171712269915696</c:v>
                </c:pt>
                <c:pt idx="276">
                  <c:v>1.3213941999645427</c:v>
                </c:pt>
                <c:pt idx="277">
                  <c:v>1.3256171729375157</c:v>
                </c:pt>
                <c:pt idx="278">
                  <c:v>1.3298401459104889</c:v>
                </c:pt>
                <c:pt idx="279">
                  <c:v>1.3340631188834617</c:v>
                </c:pt>
                <c:pt idx="280">
                  <c:v>1.338286091856435</c:v>
                </c:pt>
                <c:pt idx="281">
                  <c:v>1.3425090648294078</c:v>
                </c:pt>
                <c:pt idx="282">
                  <c:v>1.346732037802381</c:v>
                </c:pt>
                <c:pt idx="283">
                  <c:v>1.3509550107753536</c:v>
                </c:pt>
                <c:pt idx="284">
                  <c:v>1.3551779837483271</c:v>
                </c:pt>
                <c:pt idx="285">
                  <c:v>1.3594009567213001</c:v>
                </c:pt>
                <c:pt idx="286">
                  <c:v>1.3636239296942732</c:v>
                </c:pt>
                <c:pt idx="287">
                  <c:v>1.3678469026672462</c:v>
                </c:pt>
                <c:pt idx="288">
                  <c:v>1.3720698756402192</c:v>
                </c:pt>
                <c:pt idx="289">
                  <c:v>1.3762928486131925</c:v>
                </c:pt>
                <c:pt idx="290">
                  <c:v>1.3805158215861653</c:v>
                </c:pt>
                <c:pt idx="291">
                  <c:v>1.3847387945591385</c:v>
                </c:pt>
                <c:pt idx="292">
                  <c:v>1.3889617675321111</c:v>
                </c:pt>
                <c:pt idx="293">
                  <c:v>1.3931847405050846</c:v>
                </c:pt>
                <c:pt idx="294">
                  <c:v>1.3974077134780571</c:v>
                </c:pt>
                <c:pt idx="295">
                  <c:v>1.4016306864510304</c:v>
                </c:pt>
                <c:pt idx="296">
                  <c:v>1.4058536594240032</c:v>
                </c:pt>
                <c:pt idx="297">
                  <c:v>1.4100766323969764</c:v>
                </c:pt>
                <c:pt idx="298">
                  <c:v>1.4142996053699495</c:v>
                </c:pt>
                <c:pt idx="299">
                  <c:v>1.4185225783429223</c:v>
                </c:pt>
                <c:pt idx="300">
                  <c:v>1.4227455513158951</c:v>
                </c:pt>
                <c:pt idx="301">
                  <c:v>1.4269685242888683</c:v>
                </c:pt>
                <c:pt idx="302">
                  <c:v>1.4311914972618411</c:v>
                </c:pt>
                <c:pt idx="303">
                  <c:v>1.4354144702348144</c:v>
                </c:pt>
                <c:pt idx="304">
                  <c:v>1.4396374432077872</c:v>
                </c:pt>
                <c:pt idx="305">
                  <c:v>1.4438604161807609</c:v>
                </c:pt>
                <c:pt idx="306">
                  <c:v>1.4480833891537337</c:v>
                </c:pt>
                <c:pt idx="307">
                  <c:v>1.4523063621267069</c:v>
                </c:pt>
                <c:pt idx="308">
                  <c:v>1.4565293350996797</c:v>
                </c:pt>
                <c:pt idx="309">
                  <c:v>1.4607523080726532</c:v>
                </c:pt>
                <c:pt idx="310">
                  <c:v>1.464975281045626</c:v>
                </c:pt>
                <c:pt idx="311">
                  <c:v>1.469198254018599</c:v>
                </c:pt>
                <c:pt idx="312">
                  <c:v>1.4734212269915719</c:v>
                </c:pt>
                <c:pt idx="313">
                  <c:v>1.4776441999645451</c:v>
                </c:pt>
                <c:pt idx="314">
                  <c:v>1.4818671729375184</c:v>
                </c:pt>
                <c:pt idx="315">
                  <c:v>1.4860901459104912</c:v>
                </c:pt>
                <c:pt idx="316">
                  <c:v>1.490313118883464</c:v>
                </c:pt>
                <c:pt idx="317">
                  <c:v>1.494536091856437</c:v>
                </c:pt>
                <c:pt idx="318">
                  <c:v>1.49875906482941</c:v>
                </c:pt>
                <c:pt idx="319">
                  <c:v>1.502982037802383</c:v>
                </c:pt>
                <c:pt idx="320">
                  <c:v>1.5072050107753558</c:v>
                </c:pt>
                <c:pt idx="321">
                  <c:v>1.5114279837483291</c:v>
                </c:pt>
                <c:pt idx="322">
                  <c:v>1.5156509567213019</c:v>
                </c:pt>
                <c:pt idx="323">
                  <c:v>1.5198739296942751</c:v>
                </c:pt>
                <c:pt idx="324">
                  <c:v>1.524096902667248</c:v>
                </c:pt>
                <c:pt idx="325">
                  <c:v>1.5283198756402212</c:v>
                </c:pt>
                <c:pt idx="326">
                  <c:v>1.532542848613194</c:v>
                </c:pt>
                <c:pt idx="327">
                  <c:v>1.5367658215861673</c:v>
                </c:pt>
                <c:pt idx="328">
                  <c:v>1.5409887945591405</c:v>
                </c:pt>
                <c:pt idx="329">
                  <c:v>1.5452117675321133</c:v>
                </c:pt>
                <c:pt idx="330">
                  <c:v>1.5494347405050868</c:v>
                </c:pt>
                <c:pt idx="331">
                  <c:v>1.5536577134780598</c:v>
                </c:pt>
                <c:pt idx="332">
                  <c:v>1.5578806864510328</c:v>
                </c:pt>
                <c:pt idx="333">
                  <c:v>1.5621036594240059</c:v>
                </c:pt>
                <c:pt idx="334">
                  <c:v>1.5663266323969793</c:v>
                </c:pt>
                <c:pt idx="335">
                  <c:v>1.5705496053699521</c:v>
                </c:pt>
                <c:pt idx="336">
                  <c:v>1.5747725783429252</c:v>
                </c:pt>
                <c:pt idx="337">
                  <c:v>1.578995551315898</c:v>
                </c:pt>
                <c:pt idx="338">
                  <c:v>1.5832185242888712</c:v>
                </c:pt>
                <c:pt idx="339">
                  <c:v>1.5874414972618442</c:v>
                </c:pt>
                <c:pt idx="340">
                  <c:v>1.5916644702348173</c:v>
                </c:pt>
                <c:pt idx="341">
                  <c:v>1.5958874432077901</c:v>
                </c:pt>
                <c:pt idx="342">
                  <c:v>1.6001104161807629</c:v>
                </c:pt>
                <c:pt idx="343">
                  <c:v>1.6043333891537361</c:v>
                </c:pt>
                <c:pt idx="344">
                  <c:v>1.6085563621267089</c:v>
                </c:pt>
                <c:pt idx="345">
                  <c:v>1.612779335099682</c:v>
                </c:pt>
                <c:pt idx="346">
                  <c:v>1.6170023080726552</c:v>
                </c:pt>
                <c:pt idx="347">
                  <c:v>1.621225281045628</c:v>
                </c:pt>
                <c:pt idx="348">
                  <c:v>1.6254482540186013</c:v>
                </c:pt>
                <c:pt idx="349">
                  <c:v>1.6296712269915741</c:v>
                </c:pt>
                <c:pt idx="350">
                  <c:v>1.6338941999645473</c:v>
                </c:pt>
                <c:pt idx="351">
                  <c:v>1.6381171729375201</c:v>
                </c:pt>
                <c:pt idx="352">
                  <c:v>1.6423401459104934</c:v>
                </c:pt>
                <c:pt idx="353">
                  <c:v>1.6465631188834662</c:v>
                </c:pt>
                <c:pt idx="354">
                  <c:v>1.650786091856439</c:v>
                </c:pt>
                <c:pt idx="355">
                  <c:v>1.6550090648294122</c:v>
                </c:pt>
                <c:pt idx="356">
                  <c:v>1.6592320378023853</c:v>
                </c:pt>
                <c:pt idx="357">
                  <c:v>1.6634550107753581</c:v>
                </c:pt>
                <c:pt idx="358">
                  <c:v>1.6676779837483309</c:v>
                </c:pt>
                <c:pt idx="359">
                  <c:v>1.6719009567213041</c:v>
                </c:pt>
                <c:pt idx="360">
                  <c:v>1.6761239296942774</c:v>
                </c:pt>
                <c:pt idx="361">
                  <c:v>1.6803469026672502</c:v>
                </c:pt>
                <c:pt idx="362">
                  <c:v>1.684569875640223</c:v>
                </c:pt>
                <c:pt idx="363">
                  <c:v>1.688792848613196</c:v>
                </c:pt>
                <c:pt idx="364">
                  <c:v>1.6930158215861695</c:v>
                </c:pt>
                <c:pt idx="365">
                  <c:v>1.6972387945591423</c:v>
                </c:pt>
                <c:pt idx="366">
                  <c:v>1.7014617675321155</c:v>
                </c:pt>
                <c:pt idx="367">
                  <c:v>1.7056847405050883</c:v>
                </c:pt>
                <c:pt idx="368">
                  <c:v>1.7099077134780616</c:v>
                </c:pt>
                <c:pt idx="369">
                  <c:v>1.7141306864510344</c:v>
                </c:pt>
                <c:pt idx="370">
                  <c:v>1.7183536594240074</c:v>
                </c:pt>
                <c:pt idx="371">
                  <c:v>1.7225766323969804</c:v>
                </c:pt>
                <c:pt idx="372">
                  <c:v>1.7267996053699535</c:v>
                </c:pt>
                <c:pt idx="373">
                  <c:v>1.7310225783429267</c:v>
                </c:pt>
                <c:pt idx="374">
                  <c:v>1.7352455513158995</c:v>
                </c:pt>
                <c:pt idx="375">
                  <c:v>1.7394685242888728</c:v>
                </c:pt>
                <c:pt idx="376">
                  <c:v>1.7436914972618456</c:v>
                </c:pt>
                <c:pt idx="377">
                  <c:v>1.7479144702348188</c:v>
                </c:pt>
                <c:pt idx="378">
                  <c:v>1.7521374432077916</c:v>
                </c:pt>
                <c:pt idx="379">
                  <c:v>1.7563604161807644</c:v>
                </c:pt>
                <c:pt idx="380">
                  <c:v>1.7605833891537377</c:v>
                </c:pt>
                <c:pt idx="381">
                  <c:v>1.7648063621267105</c:v>
                </c:pt>
                <c:pt idx="382">
                  <c:v>1.7690293350996835</c:v>
                </c:pt>
                <c:pt idx="383">
                  <c:v>1.7732523080726563</c:v>
                </c:pt>
                <c:pt idx="384">
                  <c:v>1.7774752810456296</c:v>
                </c:pt>
                <c:pt idx="385">
                  <c:v>1.7816982540186028</c:v>
                </c:pt>
                <c:pt idx="386">
                  <c:v>1.7859212269915756</c:v>
                </c:pt>
                <c:pt idx="387">
                  <c:v>1.7901441999645484</c:v>
                </c:pt>
                <c:pt idx="388">
                  <c:v>1.7943671729375215</c:v>
                </c:pt>
                <c:pt idx="389">
                  <c:v>1.7985901459104949</c:v>
                </c:pt>
                <c:pt idx="390">
                  <c:v>1.8028131188834677</c:v>
                </c:pt>
                <c:pt idx="391">
                  <c:v>1.807036091856441</c:v>
                </c:pt>
                <c:pt idx="392">
                  <c:v>1.8112590648294138</c:v>
                </c:pt>
                <c:pt idx="393">
                  <c:v>1.8154820378023873</c:v>
                </c:pt>
                <c:pt idx="394">
                  <c:v>1.8197050107753603</c:v>
                </c:pt>
                <c:pt idx="395">
                  <c:v>1.8239279837483333</c:v>
                </c:pt>
                <c:pt idx="396">
                  <c:v>1.8281509567213063</c:v>
                </c:pt>
                <c:pt idx="397">
                  <c:v>1.8323739296942796</c:v>
                </c:pt>
                <c:pt idx="398">
                  <c:v>1.8365969026672524</c:v>
                </c:pt>
                <c:pt idx="399">
                  <c:v>1.8408198756402252</c:v>
                </c:pt>
                <c:pt idx="400">
                  <c:v>1.8450428486131982</c:v>
                </c:pt>
                <c:pt idx="401">
                  <c:v>1.8492658215861717</c:v>
                </c:pt>
                <c:pt idx="402">
                  <c:v>1.8534887945591445</c:v>
                </c:pt>
                <c:pt idx="403">
                  <c:v>1.857711767532118</c:v>
                </c:pt>
                <c:pt idx="404">
                  <c:v>1.8619347405050908</c:v>
                </c:pt>
                <c:pt idx="405">
                  <c:v>1.8661577134780645</c:v>
                </c:pt>
                <c:pt idx="406">
                  <c:v>1.8703806864510373</c:v>
                </c:pt>
                <c:pt idx="407">
                  <c:v>1.8746036594240101</c:v>
                </c:pt>
                <c:pt idx="408">
                  <c:v>1.8788266323969836</c:v>
                </c:pt>
                <c:pt idx="409">
                  <c:v>1.8830496053699568</c:v>
                </c:pt>
                <c:pt idx="410">
                  <c:v>1.8872725783429298</c:v>
                </c:pt>
                <c:pt idx="411">
                  <c:v>1.8914955513159026</c:v>
                </c:pt>
                <c:pt idx="412">
                  <c:v>1.8957185242888752</c:v>
                </c:pt>
                <c:pt idx="413">
                  <c:v>1.899941497261848</c:v>
                </c:pt>
                <c:pt idx="414">
                  <c:v>1.9041644702348215</c:v>
                </c:pt>
                <c:pt idx="415">
                  <c:v>1.908387443207795</c:v>
                </c:pt>
                <c:pt idx="416">
                  <c:v>1.9126104161807675</c:v>
                </c:pt>
                <c:pt idx="417">
                  <c:v>1.9168333891537406</c:v>
                </c:pt>
                <c:pt idx="418">
                  <c:v>1.921056362126714</c:v>
                </c:pt>
                <c:pt idx="419">
                  <c:v>1.9252793350996869</c:v>
                </c:pt>
                <c:pt idx="420">
                  <c:v>1.9295023080726599</c:v>
                </c:pt>
                <c:pt idx="421">
                  <c:v>1.9337252810456327</c:v>
                </c:pt>
                <c:pt idx="422">
                  <c:v>1.9379482540186062</c:v>
                </c:pt>
                <c:pt idx="423">
                  <c:v>1.942171226991579</c:v>
                </c:pt>
                <c:pt idx="424">
                  <c:v>1.9463941999645515</c:v>
                </c:pt>
                <c:pt idx="425">
                  <c:v>1.9506171729375246</c:v>
                </c:pt>
                <c:pt idx="426">
                  <c:v>1.954840145910498</c:v>
                </c:pt>
                <c:pt idx="427">
                  <c:v>1.9590631188834708</c:v>
                </c:pt>
                <c:pt idx="428">
                  <c:v>1.9632860918564436</c:v>
                </c:pt>
                <c:pt idx="429">
                  <c:v>1.9675090648294167</c:v>
                </c:pt>
                <c:pt idx="430">
                  <c:v>1.9717320378023901</c:v>
                </c:pt>
                <c:pt idx="431">
                  <c:v>1.975955010775363</c:v>
                </c:pt>
                <c:pt idx="432">
                  <c:v>1.9801779837483355</c:v>
                </c:pt>
                <c:pt idx="433">
                  <c:v>1.984400956721309</c:v>
                </c:pt>
                <c:pt idx="434">
                  <c:v>1.9886239296942827</c:v>
                </c:pt>
                <c:pt idx="435">
                  <c:v>1.9928469026672555</c:v>
                </c:pt>
                <c:pt idx="436">
                  <c:v>1.9970698756402281</c:v>
                </c:pt>
                <c:pt idx="437">
                  <c:v>2.0012928486132009</c:v>
                </c:pt>
                <c:pt idx="438">
                  <c:v>2.0055158215861737</c:v>
                </c:pt>
                <c:pt idx="439">
                  <c:v>2.0097387945591474</c:v>
                </c:pt>
                <c:pt idx="440">
                  <c:v>2.0139617675321202</c:v>
                </c:pt>
                <c:pt idx="441">
                  <c:v>2.018184740505093</c:v>
                </c:pt>
                <c:pt idx="442">
                  <c:v>2.0224077134780658</c:v>
                </c:pt>
                <c:pt idx="443">
                  <c:v>2.0266306864510395</c:v>
                </c:pt>
                <c:pt idx="444">
                  <c:v>2.0308536594240119</c:v>
                </c:pt>
                <c:pt idx="445">
                  <c:v>2.0350766323969856</c:v>
                </c:pt>
                <c:pt idx="446">
                  <c:v>2.0392996053699584</c:v>
                </c:pt>
                <c:pt idx="447">
                  <c:v>2.0435225783429321</c:v>
                </c:pt>
                <c:pt idx="448">
                  <c:v>2.0477455513159049</c:v>
                </c:pt>
                <c:pt idx="449">
                  <c:v>2.0519685242888772</c:v>
                </c:pt>
                <c:pt idx="450">
                  <c:v>2.05619149726185</c:v>
                </c:pt>
                <c:pt idx="451">
                  <c:v>2.0604144702348237</c:v>
                </c:pt>
                <c:pt idx="452">
                  <c:v>2.0646374432077965</c:v>
                </c:pt>
                <c:pt idx="453">
                  <c:v>2.0688604161807693</c:v>
                </c:pt>
                <c:pt idx="454">
                  <c:v>2.0730833891537426</c:v>
                </c:pt>
                <c:pt idx="455">
                  <c:v>2.0773063621267158</c:v>
                </c:pt>
                <c:pt idx="456">
                  <c:v>2.0815293350996886</c:v>
                </c:pt>
                <c:pt idx="457">
                  <c:v>2.0857523080726614</c:v>
                </c:pt>
                <c:pt idx="458">
                  <c:v>2.0899752810456347</c:v>
                </c:pt>
                <c:pt idx="459">
                  <c:v>2.0941982540186084</c:v>
                </c:pt>
                <c:pt idx="460">
                  <c:v>2.0984212269915812</c:v>
                </c:pt>
                <c:pt idx="461">
                  <c:v>2.102644199964554</c:v>
                </c:pt>
                <c:pt idx="462">
                  <c:v>2.1068671729375268</c:v>
                </c:pt>
                <c:pt idx="463">
                  <c:v>2.1110901459104996</c:v>
                </c:pt>
                <c:pt idx="464">
                  <c:v>2.1153131188834728</c:v>
                </c:pt>
                <c:pt idx="465">
                  <c:v>2.1195360918564461</c:v>
                </c:pt>
                <c:pt idx="466">
                  <c:v>2.1237590648294189</c:v>
                </c:pt>
                <c:pt idx="467">
                  <c:v>2.1279820378023917</c:v>
                </c:pt>
                <c:pt idx="468">
                  <c:v>2.1322050107753654</c:v>
                </c:pt>
                <c:pt idx="469">
                  <c:v>2.1364279837483378</c:v>
                </c:pt>
                <c:pt idx="470">
                  <c:v>2.1406509567213114</c:v>
                </c:pt>
                <c:pt idx="471">
                  <c:v>2.1448739296942843</c:v>
                </c:pt>
                <c:pt idx="472">
                  <c:v>2.1490969026672575</c:v>
                </c:pt>
                <c:pt idx="473">
                  <c:v>2.1533198756402303</c:v>
                </c:pt>
                <c:pt idx="474">
                  <c:v>2.1575428486132031</c:v>
                </c:pt>
                <c:pt idx="475">
                  <c:v>2.1617658215861759</c:v>
                </c:pt>
                <c:pt idx="476">
                  <c:v>2.1659887945591496</c:v>
                </c:pt>
                <c:pt idx="477">
                  <c:v>2.170211767532122</c:v>
                </c:pt>
                <c:pt idx="478">
                  <c:v>2.1744347405050957</c:v>
                </c:pt>
                <c:pt idx="479">
                  <c:v>2.1786577134780685</c:v>
                </c:pt>
                <c:pt idx="480">
                  <c:v>2.1828806864510422</c:v>
                </c:pt>
                <c:pt idx="481">
                  <c:v>2.1871036594240145</c:v>
                </c:pt>
                <c:pt idx="482">
                  <c:v>2.1913266323969873</c:v>
                </c:pt>
                <c:pt idx="483">
                  <c:v>2.195549605369961</c:v>
                </c:pt>
                <c:pt idx="484">
                  <c:v>2.1997725783429343</c:v>
                </c:pt>
                <c:pt idx="485">
                  <c:v>2.2039955513159071</c:v>
                </c:pt>
                <c:pt idx="486">
                  <c:v>2.2082185242888799</c:v>
                </c:pt>
                <c:pt idx="487">
                  <c:v>2.2124414972618527</c:v>
                </c:pt>
                <c:pt idx="488">
                  <c:v>2.2166644702348255</c:v>
                </c:pt>
                <c:pt idx="489">
                  <c:v>2.2208874432077992</c:v>
                </c:pt>
                <c:pt idx="490">
                  <c:v>2.225110416180772</c:v>
                </c:pt>
                <c:pt idx="491">
                  <c:v>2.2293333891537448</c:v>
                </c:pt>
                <c:pt idx="492">
                  <c:v>2.2335563621267176</c:v>
                </c:pt>
                <c:pt idx="493">
                  <c:v>2.2377793350996913</c:v>
                </c:pt>
                <c:pt idx="494">
                  <c:v>2.2420023080726637</c:v>
                </c:pt>
                <c:pt idx="495">
                  <c:v>2.2462252810456373</c:v>
                </c:pt>
                <c:pt idx="496">
                  <c:v>2.2504482540186102</c:v>
                </c:pt>
                <c:pt idx="497">
                  <c:v>2.2546712269915838</c:v>
                </c:pt>
                <c:pt idx="498">
                  <c:v>2.2588941999645562</c:v>
                </c:pt>
                <c:pt idx="499">
                  <c:v>2.263117172937529</c:v>
                </c:pt>
                <c:pt idx="500">
                  <c:v>2.2673401459105027</c:v>
                </c:pt>
                <c:pt idx="501">
                  <c:v>2.2715631188834755</c:v>
                </c:pt>
                <c:pt idx="502">
                  <c:v>2.2757860918564483</c:v>
                </c:pt>
                <c:pt idx="503">
                  <c:v>2.2800090648294216</c:v>
                </c:pt>
                <c:pt idx="504">
                  <c:v>2.2842320378023944</c:v>
                </c:pt>
                <c:pt idx="505">
                  <c:v>2.2884550107753672</c:v>
                </c:pt>
                <c:pt idx="506">
                  <c:v>2.2926779837483404</c:v>
                </c:pt>
                <c:pt idx="507">
                  <c:v>2.2969009567213137</c:v>
                </c:pt>
                <c:pt idx="508">
                  <c:v>2.3011239296942865</c:v>
                </c:pt>
                <c:pt idx="509">
                  <c:v>2.3053469026672602</c:v>
                </c:pt>
                <c:pt idx="510">
                  <c:v>2.3095698756402325</c:v>
                </c:pt>
                <c:pt idx="511">
                  <c:v>2.3137928486132058</c:v>
                </c:pt>
                <c:pt idx="512">
                  <c:v>2.3180158215861786</c:v>
                </c:pt>
                <c:pt idx="513">
                  <c:v>2.3222387945591514</c:v>
                </c:pt>
                <c:pt idx="514">
                  <c:v>2.3264617675321242</c:v>
                </c:pt>
                <c:pt idx="515">
                  <c:v>2.330684740505097</c:v>
                </c:pt>
                <c:pt idx="516">
                  <c:v>2.3349077134780707</c:v>
                </c:pt>
                <c:pt idx="517">
                  <c:v>2.3391306864510439</c:v>
                </c:pt>
                <c:pt idx="518">
                  <c:v>2.3433536594240167</c:v>
                </c:pt>
                <c:pt idx="519">
                  <c:v>2.3475766323969895</c:v>
                </c:pt>
                <c:pt idx="520">
                  <c:v>2.3517996053699632</c:v>
                </c:pt>
                <c:pt idx="521">
                  <c:v>2.356022578342936</c:v>
                </c:pt>
                <c:pt idx="522">
                  <c:v>2.3602455513159084</c:v>
                </c:pt>
                <c:pt idx="523">
                  <c:v>2.3644685242888812</c:v>
                </c:pt>
                <c:pt idx="524">
                  <c:v>2.3686914972618553</c:v>
                </c:pt>
                <c:pt idx="525">
                  <c:v>2.3729144702348282</c:v>
                </c:pt>
                <c:pt idx="526">
                  <c:v>2.3771374432078005</c:v>
                </c:pt>
                <c:pt idx="527">
                  <c:v>2.3813604161807738</c:v>
                </c:pt>
                <c:pt idx="528">
                  <c:v>2.385583389153747</c:v>
                </c:pt>
                <c:pt idx="529">
                  <c:v>2.3898063621267198</c:v>
                </c:pt>
                <c:pt idx="530">
                  <c:v>2.3940293350996926</c:v>
                </c:pt>
                <c:pt idx="531">
                  <c:v>2.3982523080726659</c:v>
                </c:pt>
                <c:pt idx="532">
                  <c:v>2.4024752810456391</c:v>
                </c:pt>
                <c:pt idx="533">
                  <c:v>2.4066982540186119</c:v>
                </c:pt>
                <c:pt idx="534">
                  <c:v>2.4109212269915856</c:v>
                </c:pt>
                <c:pt idx="535">
                  <c:v>2.415144199964558</c:v>
                </c:pt>
                <c:pt idx="536">
                  <c:v>2.4193671729375312</c:v>
                </c:pt>
                <c:pt idx="537">
                  <c:v>2.423590145910504</c:v>
                </c:pt>
                <c:pt idx="538">
                  <c:v>2.4278131188834768</c:v>
                </c:pt>
                <c:pt idx="539">
                  <c:v>2.4320360918564496</c:v>
                </c:pt>
                <c:pt idx="540">
                  <c:v>2.4362590648294224</c:v>
                </c:pt>
                <c:pt idx="541">
                  <c:v>2.4404820378023961</c:v>
                </c:pt>
                <c:pt idx="542">
                  <c:v>2.4447050107753694</c:v>
                </c:pt>
                <c:pt idx="543">
                  <c:v>2.4489279837483422</c:v>
                </c:pt>
                <c:pt idx="544">
                  <c:v>2.453150956721315</c:v>
                </c:pt>
                <c:pt idx="545">
                  <c:v>2.4573739296942887</c:v>
                </c:pt>
                <c:pt idx="546">
                  <c:v>2.4615969026672615</c:v>
                </c:pt>
                <c:pt idx="547">
                  <c:v>2.4658198756402339</c:v>
                </c:pt>
                <c:pt idx="548">
                  <c:v>2.4700428486132067</c:v>
                </c:pt>
                <c:pt idx="549">
                  <c:v>2.4742658215861808</c:v>
                </c:pt>
                <c:pt idx="550">
                  <c:v>2.4784887945591536</c:v>
                </c:pt>
                <c:pt idx="551">
                  <c:v>2.482711767532126</c:v>
                </c:pt>
                <c:pt idx="552">
                  <c:v>2.4869347405050988</c:v>
                </c:pt>
                <c:pt idx="553">
                  <c:v>2.4911577134780725</c:v>
                </c:pt>
                <c:pt idx="554">
                  <c:v>2.4953806864510453</c:v>
                </c:pt>
                <c:pt idx="555">
                  <c:v>2.4996036594240181</c:v>
                </c:pt>
                <c:pt idx="556">
                  <c:v>2.5038266323969913</c:v>
                </c:pt>
                <c:pt idx="557">
                  <c:v>2.508049605369965</c:v>
                </c:pt>
                <c:pt idx="558">
                  <c:v>2.5122725783429378</c:v>
                </c:pt>
                <c:pt idx="559">
                  <c:v>2.5164955513159106</c:v>
                </c:pt>
                <c:pt idx="560">
                  <c:v>2.5207185242888834</c:v>
                </c:pt>
                <c:pt idx="561">
                  <c:v>2.5249414972618567</c:v>
                </c:pt>
                <c:pt idx="562">
                  <c:v>2.5291644702348295</c:v>
                </c:pt>
                <c:pt idx="563">
                  <c:v>2.5333874432078023</c:v>
                </c:pt>
                <c:pt idx="564">
                  <c:v>2.5376104161807751</c:v>
                </c:pt>
                <c:pt idx="565">
                  <c:v>2.5418333891537479</c:v>
                </c:pt>
                <c:pt idx="566">
                  <c:v>2.5460563621267216</c:v>
                </c:pt>
                <c:pt idx="567">
                  <c:v>2.5502793350996944</c:v>
                </c:pt>
                <c:pt idx="568">
                  <c:v>2.5545023080726672</c:v>
                </c:pt>
                <c:pt idx="569">
                  <c:v>2.55872528104564</c:v>
                </c:pt>
                <c:pt idx="570">
                  <c:v>2.5629482540186137</c:v>
                </c:pt>
                <c:pt idx="571">
                  <c:v>2.5671712269915865</c:v>
                </c:pt>
                <c:pt idx="572">
                  <c:v>2.5713941999645589</c:v>
                </c:pt>
                <c:pt idx="573">
                  <c:v>2.5756171729375321</c:v>
                </c:pt>
                <c:pt idx="574">
                  <c:v>2.5798401459105058</c:v>
                </c:pt>
                <c:pt idx="575">
                  <c:v>2.5840631188834786</c:v>
                </c:pt>
                <c:pt idx="576">
                  <c:v>2.5882860918564514</c:v>
                </c:pt>
                <c:pt idx="577">
                  <c:v>2.5925090648294242</c:v>
                </c:pt>
                <c:pt idx="578">
                  <c:v>2.5967320378023975</c:v>
                </c:pt>
                <c:pt idx="579">
                  <c:v>2.6009550107753703</c:v>
                </c:pt>
                <c:pt idx="580">
                  <c:v>2.6051779837483431</c:v>
                </c:pt>
                <c:pt idx="581">
                  <c:v>2.6094009567213168</c:v>
                </c:pt>
                <c:pt idx="582">
                  <c:v>2.61362392969429</c:v>
                </c:pt>
                <c:pt idx="583">
                  <c:v>2.6178469026672628</c:v>
                </c:pt>
                <c:pt idx="584">
                  <c:v>2.6220698756402356</c:v>
                </c:pt>
                <c:pt idx="585">
                  <c:v>2.6262928486132089</c:v>
                </c:pt>
                <c:pt idx="586">
                  <c:v>2.6305158215861817</c:v>
                </c:pt>
                <c:pt idx="587">
                  <c:v>2.6347387945591545</c:v>
                </c:pt>
                <c:pt idx="588">
                  <c:v>2.6389617675321269</c:v>
                </c:pt>
                <c:pt idx="589">
                  <c:v>2.6431847405051005</c:v>
                </c:pt>
                <c:pt idx="590">
                  <c:v>2.6474077134780734</c:v>
                </c:pt>
                <c:pt idx="591">
                  <c:v>2.651630686451047</c:v>
                </c:pt>
                <c:pt idx="592">
                  <c:v>2.6558536594240199</c:v>
                </c:pt>
                <c:pt idx="593">
                  <c:v>2.6600766323969927</c:v>
                </c:pt>
                <c:pt idx="594">
                  <c:v>2.6642996053699655</c:v>
                </c:pt>
                <c:pt idx="595">
                  <c:v>2.6685225783429392</c:v>
                </c:pt>
                <c:pt idx="596">
                  <c:v>2.6727455513159115</c:v>
                </c:pt>
                <c:pt idx="597">
                  <c:v>2.6769685242888843</c:v>
                </c:pt>
                <c:pt idx="598">
                  <c:v>2.6811914972618576</c:v>
                </c:pt>
                <c:pt idx="599">
                  <c:v>2.6854144702348313</c:v>
                </c:pt>
                <c:pt idx="600">
                  <c:v>2.6896374432078036</c:v>
                </c:pt>
                <c:pt idx="601">
                  <c:v>2.6938604161807769</c:v>
                </c:pt>
                <c:pt idx="602">
                  <c:v>2.6980833891537497</c:v>
                </c:pt>
                <c:pt idx="603">
                  <c:v>2.7023063621267229</c:v>
                </c:pt>
                <c:pt idx="604">
                  <c:v>2.7065293350996957</c:v>
                </c:pt>
                <c:pt idx="605">
                  <c:v>2.7107523080726685</c:v>
                </c:pt>
                <c:pt idx="606">
                  <c:v>2.7149752810456418</c:v>
                </c:pt>
                <c:pt idx="607">
                  <c:v>2.7191982540186155</c:v>
                </c:pt>
                <c:pt idx="608">
                  <c:v>2.7234212269915883</c:v>
                </c:pt>
                <c:pt idx="609">
                  <c:v>2.7276441999645611</c:v>
                </c:pt>
                <c:pt idx="610">
                  <c:v>2.7318671729375343</c:v>
                </c:pt>
                <c:pt idx="611">
                  <c:v>2.7360902881561069</c:v>
                </c:pt>
                <c:pt idx="612">
                  <c:v>2.7403446299463425</c:v>
                </c:pt>
                <c:pt idx="613">
                  <c:v>2.7446304292038541</c:v>
                </c:pt>
                <c:pt idx="614">
                  <c:v>2.7489479185315449</c:v>
                </c:pt>
                <c:pt idx="615">
                  <c:v>2.7532973322522287</c:v>
                </c:pt>
                <c:pt idx="616">
                  <c:v>2.757678906421352</c:v>
                </c:pt>
                <c:pt idx="617">
                  <c:v>2.7620928788398023</c:v>
                </c:pt>
                <c:pt idx="618">
                  <c:v>2.7665394890668153</c:v>
                </c:pt>
                <c:pt idx="619">
                  <c:v>2.7710189784329771</c:v>
                </c:pt>
                <c:pt idx="620">
                  <c:v>2.77553159005332</c:v>
                </c:pt>
                <c:pt idx="621">
                  <c:v>2.7800775688405177</c:v>
                </c:pt>
                <c:pt idx="622">
                  <c:v>2.7846571615181808</c:v>
                </c:pt>
                <c:pt idx="623">
                  <c:v>2.7892706166342416</c:v>
                </c:pt>
                <c:pt idx="624">
                  <c:v>2.7939181845744483</c:v>
                </c:pt>
                <c:pt idx="625">
                  <c:v>2.798600117575949</c:v>
                </c:pt>
                <c:pt idx="626">
                  <c:v>2.8033166697409881</c:v>
                </c:pt>
                <c:pt idx="627">
                  <c:v>2.8080680970506919</c:v>
                </c:pt>
                <c:pt idx="628">
                  <c:v>2.8128546573789639</c:v>
                </c:pt>
                <c:pt idx="629">
                  <c:v>2.8176766105064779</c:v>
                </c:pt>
                <c:pt idx="630">
                  <c:v>2.8225342181347806</c:v>
                </c:pt>
                <c:pt idx="631">
                  <c:v>2.8274277439004933</c:v>
                </c:pt>
                <c:pt idx="632">
                  <c:v>2.8323574533896183</c:v>
                </c:pt>
                <c:pt idx="633">
                  <c:v>2.8373236141519551</c:v>
                </c:pt>
                <c:pt idx="634">
                  <c:v>2.8423264957156222</c:v>
                </c:pt>
                <c:pt idx="635">
                  <c:v>2.8473663696016818</c:v>
                </c:pt>
                <c:pt idx="636">
                  <c:v>2.8524435093388805</c:v>
                </c:pt>
                <c:pt idx="637">
                  <c:v>2.8575581904784886</c:v>
                </c:pt>
                <c:pt idx="638">
                  <c:v>2.8627106906092616</c:v>
                </c:pt>
                <c:pt idx="639">
                  <c:v>2.8679012893725022</c:v>
                </c:pt>
                <c:pt idx="640">
                  <c:v>2.8731302684772357</c:v>
                </c:pt>
                <c:pt idx="641">
                  <c:v>2.8783979117155019</c:v>
                </c:pt>
                <c:pt idx="642">
                  <c:v>2.8837045049777577</c:v>
                </c:pt>
                <c:pt idx="643">
                  <c:v>2.8890503362683919</c:v>
                </c:pt>
                <c:pt idx="644">
                  <c:v>2.8944356957213553</c:v>
                </c:pt>
                <c:pt idx="645">
                  <c:v>2.8998608756159086</c:v>
                </c:pt>
                <c:pt idx="646">
                  <c:v>2.9053261703924838</c:v>
                </c:pt>
                <c:pt idx="647">
                  <c:v>2.9108318766686678</c:v>
                </c:pt>
                <c:pt idx="648">
                  <c:v>2.9163782932552946</c:v>
                </c:pt>
                <c:pt idx="649">
                  <c:v>2.9219657211726702</c:v>
                </c:pt>
                <c:pt idx="650">
                  <c:v>2.9275944636669018</c:v>
                </c:pt>
                <c:pt idx="651">
                  <c:v>2.9332648262263636</c:v>
                </c:pt>
                <c:pt idx="652">
                  <c:v>2.9389771165982692</c:v>
                </c:pt>
                <c:pt idx="653">
                  <c:v>2.9447316448053824</c:v>
                </c:pt>
                <c:pt idx="654">
                  <c:v>2.9505287231628325</c:v>
                </c:pt>
                <c:pt idx="655">
                  <c:v>2.9563686662950746</c:v>
                </c:pt>
                <c:pt idx="656">
                  <c:v>2.9622517911529598</c:v>
                </c:pt>
                <c:pt idx="657">
                  <c:v>2.9681784170309378</c:v>
                </c:pt>
                <c:pt idx="658">
                  <c:v>2.974148865584386</c:v>
                </c:pt>
                <c:pt idx="659">
                  <c:v>2.9801634608470677</c:v>
                </c:pt>
                <c:pt idx="660">
                  <c:v>2.9862225292487174</c:v>
                </c:pt>
                <c:pt idx="661">
                  <c:v>2.9923263996327578</c:v>
                </c:pt>
                <c:pt idx="662">
                  <c:v>2.9984754032741452</c:v>
                </c:pt>
                <c:pt idx="663">
                  <c:v>3.0046698738973521</c:v>
                </c:pt>
                <c:pt idx="664">
                  <c:v>3.0109101476944757</c:v>
                </c:pt>
                <c:pt idx="665">
                  <c:v>3.0171965633434876</c:v>
                </c:pt>
                <c:pt idx="666">
                  <c:v>3.0235294620266133</c:v>
                </c:pt>
                <c:pt idx="667">
                  <c:v>3.0299091874488462</c:v>
                </c:pt>
                <c:pt idx="668">
                  <c:v>3.0363360858566062</c:v>
                </c:pt>
                <c:pt idx="669">
                  <c:v>3.0428105060565307</c:v>
                </c:pt>
                <c:pt idx="670">
                  <c:v>3.0493327994344015</c:v>
                </c:pt>
                <c:pt idx="671">
                  <c:v>3.0559033199742198</c:v>
                </c:pt>
                <c:pt idx="672">
                  <c:v>3.0625224242774176</c:v>
                </c:pt>
                <c:pt idx="673">
                  <c:v>3.0691904715822065</c:v>
                </c:pt>
                <c:pt idx="674">
                  <c:v>3.0759078237830835</c:v>
                </c:pt>
                <c:pt idx="675">
                  <c:v>3.0826748454504624</c:v>
                </c:pt>
                <c:pt idx="676">
                  <c:v>3.0894919038504685</c:v>
                </c:pt>
                <c:pt idx="677">
                  <c:v>3.0963593689648623</c:v>
                </c:pt>
                <c:pt idx="678">
                  <c:v>3.1032776135111324</c:v>
                </c:pt>
                <c:pt idx="679">
                  <c:v>3.1102470129627084</c:v>
                </c:pt>
                <c:pt idx="680">
                  <c:v>3.1172679455693508</c:v>
                </c:pt>
                <c:pt idx="681">
                  <c:v>3.1243407923776738</c:v>
                </c:pt>
                <c:pt idx="682">
                  <c:v>3.1314659372518312</c:v>
                </c:pt>
                <c:pt idx="683">
                  <c:v>3.138643766894341</c:v>
                </c:pt>
                <c:pt idx="684">
                  <c:v>3.1458746708670833</c:v>
                </c:pt>
                <c:pt idx="685">
                  <c:v>3.1531590416124344</c:v>
                </c:pt>
                <c:pt idx="686">
                  <c:v>3.1604972744745701</c:v>
                </c:pt>
                <c:pt idx="687">
                  <c:v>3.1678897677209217</c:v>
                </c:pt>
                <c:pt idx="688">
                  <c:v>3.1753369225637913</c:v>
                </c:pt>
                <c:pt idx="689">
                  <c:v>3.1828391431821248</c:v>
                </c:pt>
                <c:pt idx="690">
                  <c:v>3.1903968367434499</c:v>
                </c:pt>
                <c:pt idx="691">
                  <c:v>3.1980104134259757</c:v>
                </c:pt>
                <c:pt idx="692">
                  <c:v>3.205680286440848</c:v>
                </c:pt>
                <c:pt idx="693">
                  <c:v>3.213406872054585</c:v>
                </c:pt>
                <c:pt idx="694">
                  <c:v>3.2211905896116599</c:v>
                </c:pt>
                <c:pt idx="695">
                  <c:v>3.2290318615572642</c:v>
                </c:pt>
                <c:pt idx="696">
                  <c:v>3.2369311134602383</c:v>
                </c:pt>
                <c:pt idx="697">
                  <c:v>3.2448887740361627</c:v>
                </c:pt>
                <c:pt idx="698">
                  <c:v>3.2529052751706273</c:v>
                </c:pt>
                <c:pt idx="699">
                  <c:v>3.2609810519426738</c:v>
                </c:pt>
                <c:pt idx="700">
                  <c:v>3.2691165426484052</c:v>
                </c:pt>
                <c:pt idx="701">
                  <c:v>3.2773121888247765</c:v>
                </c:pt>
                <c:pt idx="702">
                  <c:v>3.2855684352735528</c:v>
                </c:pt>
                <c:pt idx="703">
                  <c:v>3.2938857300854596</c:v>
                </c:pt>
                <c:pt idx="704">
                  <c:v>3.3022645246644902</c:v>
                </c:pt>
                <c:pt idx="705">
                  <c:v>3.3107052737524163</c:v>
                </c:pt>
                <c:pt idx="706">
                  <c:v>3.3192084354534579</c:v>
                </c:pt>
                <c:pt idx="707">
                  <c:v>3.3277744712591542</c:v>
                </c:pt>
                <c:pt idx="708">
                  <c:v>3.3364038460734031</c:v>
                </c:pt>
                <c:pt idx="709">
                  <c:v>3.3450970282377015</c:v>
                </c:pt>
                <c:pt idx="710">
                  <c:v>3.3538544895565532</c:v>
                </c:pt>
                <c:pt idx="711">
                  <c:v>3.3626767053230826</c:v>
                </c:pt>
                <c:pt idx="712">
                  <c:v>3.3715641543448274</c:v>
                </c:pt>
                <c:pt idx="713">
                  <c:v>3.380517318969726</c:v>
                </c:pt>
                <c:pt idx="714">
                  <c:v>3.3895366851122959</c:v>
                </c:pt>
                <c:pt idx="715">
                  <c:v>3.3986227422800042</c:v>
                </c:pt>
                <c:pt idx="716">
                  <c:v>3.4077759835998371</c:v>
                </c:pt>
                <c:pt idx="717">
                  <c:v>3.4169969058450582</c:v>
                </c:pt>
                <c:pt idx="718">
                  <c:v>3.4262860094621796</c:v>
                </c:pt>
                <c:pt idx="719">
                  <c:v>3.4356437985981123</c:v>
                </c:pt>
                <c:pt idx="720">
                  <c:v>3.4450707811275314</c:v>
                </c:pt>
                <c:pt idx="721">
                  <c:v>3.4545674686804406</c:v>
                </c:pt>
                <c:pt idx="722">
                  <c:v>3.4641343766699451</c:v>
                </c:pt>
                <c:pt idx="723">
                  <c:v>3.4737720243202115</c:v>
                </c:pt>
                <c:pt idx="724">
                  <c:v>3.4834809346946618</c:v>
                </c:pt>
                <c:pt idx="725">
                  <c:v>3.4932616347243504</c:v>
                </c:pt>
                <c:pt idx="726">
                  <c:v>3.5031146552365704</c:v>
                </c:pt>
                <c:pt idx="727">
                  <c:v>3.5130405309836563</c:v>
                </c:pt>
                <c:pt idx="728">
                  <c:v>3.5230398006720165</c:v>
                </c:pt>
                <c:pt idx="729">
                  <c:v>3.5331130069913543</c:v>
                </c:pt>
                <c:pt idx="730">
                  <c:v>3.543260696644138</c:v>
                </c:pt>
                <c:pt idx="731">
                  <c:v>3.553483420375263</c:v>
                </c:pt>
                <c:pt idx="732">
                  <c:v>3.5637817330019459</c:v>
                </c:pt>
                <c:pt idx="733">
                  <c:v>3.5741561934438306</c:v>
                </c:pt>
                <c:pt idx="734">
                  <c:v>3.5846073647533303</c:v>
                </c:pt>
                <c:pt idx="735">
                  <c:v>3.5951358141461789</c:v>
                </c:pt>
                <c:pt idx="736">
                  <c:v>3.6057421130322225</c:v>
                </c:pt>
                <c:pt idx="737">
                  <c:v>3.6164268370464234</c:v>
                </c:pt>
                <c:pt idx="738">
                  <c:v>3.6271905660801091</c:v>
                </c:pt>
                <c:pt idx="739">
                  <c:v>3.638033884312438</c:v>
                </c:pt>
                <c:pt idx="740">
                  <c:v>3.6489573802421122</c:v>
                </c:pt>
                <c:pt idx="741">
                  <c:v>3.6599616467193106</c:v>
                </c:pt>
                <c:pt idx="742">
                  <c:v>3.6710472809778647</c:v>
                </c:pt>
                <c:pt idx="743">
                  <c:v>3.6822148846676779</c:v>
                </c:pt>
                <c:pt idx="744">
                  <c:v>3.6934650638873712</c:v>
                </c:pt>
                <c:pt idx="745">
                  <c:v>3.7047984292171856</c:v>
                </c:pt>
                <c:pt idx="746">
                  <c:v>3.7162155957521135</c:v>
                </c:pt>
                <c:pt idx="747">
                  <c:v>3.727717183135288</c:v>
                </c:pt>
                <c:pt idx="748">
                  <c:v>3.7393038155916041</c:v>
                </c:pt>
                <c:pt idx="749">
                  <c:v>3.7509761219616102</c:v>
                </c:pt>
                <c:pt idx="750">
                  <c:v>3.7627347357356209</c:v>
                </c:pt>
                <c:pt idx="751">
                  <c:v>3.7745802950881151</c:v>
                </c:pt>
                <c:pt idx="752">
                  <c:v>3.7865134429123533</c:v>
                </c:pt>
                <c:pt idx="753">
                  <c:v>3.7985348268552914</c:v>
                </c:pt>
                <c:pt idx="754">
                  <c:v>3.8106450993527079</c:v>
                </c:pt>
                <c:pt idx="755">
                  <c:v>3.8228449176646313</c:v>
                </c:pt>
                <c:pt idx="756">
                  <c:v>3.8351349439109987</c:v>
                </c:pt>
                <c:pt idx="757">
                  <c:v>3.8475158451076008</c:v>
                </c:pt>
                <c:pt idx="758">
                  <c:v>3.8599882932022758</c:v>
                </c:pt>
                <c:pt idx="759">
                  <c:v>3.8725529651113835</c:v>
                </c:pt>
                <c:pt idx="760">
                  <c:v>3.8852105427565378</c:v>
                </c:pt>
                <c:pt idx="761">
                  <c:v>3.8979617131016187</c:v>
                </c:pt>
                <c:pt idx="762">
                  <c:v>3.9108071681900607</c:v>
                </c:pt>
                <c:pt idx="763">
                  <c:v>3.9237476051824074</c:v>
                </c:pt>
                <c:pt idx="764">
                  <c:v>3.9367837263941441</c:v>
                </c:pt>
                <c:pt idx="765">
                  <c:v>3.9499162393338252</c:v>
                </c:pt>
                <c:pt idx="766">
                  <c:v>3.9631458567414639</c:v>
                </c:pt>
                <c:pt idx="767">
                  <c:v>3.9764732966272196</c:v>
                </c:pt>
                <c:pt idx="768">
                  <c:v>3.9898992823103643</c:v>
                </c:pt>
                <c:pt idx="769">
                  <c:v>4.0034245424585384</c:v>
                </c:pt>
                <c:pt idx="770">
                  <c:v>4.017049811127297</c:v>
                </c:pt>
                <c:pt idx="771">
                  <c:v>4.0307758277999568</c:v>
                </c:pt>
                <c:pt idx="772">
                  <c:v>4.0446033374277208</c:v>
                </c:pt>
                <c:pt idx="773">
                  <c:v>4.0585330904701102</c:v>
                </c:pt>
                <c:pt idx="774">
                  <c:v>4.0725658429357026</c:v>
                </c:pt>
                <c:pt idx="775">
                  <c:v>4.0867023564231486</c:v>
                </c:pt>
                <c:pt idx="776">
                  <c:v>4.1009433981625243</c:v>
                </c:pt>
                <c:pt idx="777">
                  <c:v>4.1152897410569471</c:v>
                </c:pt>
                <c:pt idx="778">
                  <c:v>4.1297421637245515</c:v>
                </c:pt>
                <c:pt idx="779">
                  <c:v>4.1443014505407199</c:v>
                </c:pt>
                <c:pt idx="780">
                  <c:v>4.158968391680677</c:v>
                </c:pt>
                <c:pt idx="781">
                  <c:v>4.1737437831623527</c:v>
                </c:pt>
                <c:pt idx="782">
                  <c:v>4.1886284268896059</c:v>
                </c:pt>
                <c:pt idx="783">
                  <c:v>4.2036231306957257</c:v>
                </c:pt>
                <c:pt idx="784">
                  <c:v>4.2187287083872897</c:v>
                </c:pt>
                <c:pt idx="785">
                  <c:v>4.233945979788329</c:v>
                </c:pt>
                <c:pt idx="786">
                  <c:v>4.2492757707848154</c:v>
                </c:pt>
                <c:pt idx="787">
                  <c:v>4.2647189133694887</c:v>
                </c:pt>
                <c:pt idx="788">
                  <c:v>4.2802762456870163</c:v>
                </c:pt>
                <c:pt idx="789">
                  <c:v>4.2959486120794752</c:v>
                </c:pt>
                <c:pt idx="790">
                  <c:v>4.3117368631321789</c:v>
                </c:pt>
                <c:pt idx="791">
                  <c:v>4.3276418557198442</c:v>
                </c:pt>
                <c:pt idx="792">
                  <c:v>4.3436644530530888</c:v>
                </c:pt>
                <c:pt idx="793">
                  <c:v>4.3598055247252878</c:v>
                </c:pt>
                <c:pt idx="794">
                  <c:v>4.3760659467597698</c:v>
                </c:pt>
                <c:pt idx="795">
                  <c:v>4.3924466016573502</c:v>
                </c:pt>
                <c:pt idx="796">
                  <c:v>4.4089483784442391</c:v>
                </c:pt>
                <c:pt idx="797">
                  <c:v>4.4255721727202877</c:v>
                </c:pt>
                <c:pt idx="798">
                  <c:v>4.4423188867075929</c:v>
                </c:pt>
                <c:pt idx="799">
                  <c:v>4.4591894292994665</c:v>
                </c:pt>
                <c:pt idx="800">
                  <c:v>4.476184716109759</c:v>
                </c:pt>
                <c:pt idx="801">
                  <c:v>4.4933056695225595</c:v>
                </c:pt>
                <c:pt idx="802">
                  <c:v>4.5105532187422464</c:v>
                </c:pt>
                <c:pt idx="803">
                  <c:v>4.5279282998439339</c:v>
                </c:pt>
                <c:pt idx="804">
                  <c:v>4.5454318558242575</c:v>
                </c:pt>
                <c:pt idx="805">
                  <c:v>4.563064836652563</c:v>
                </c:pt>
                <c:pt idx="806">
                  <c:v>4.580828199322462</c:v>
                </c:pt>
                <c:pt idx="807">
                  <c:v>4.5987229079037757</c:v>
                </c:pt>
                <c:pt idx="808">
                  <c:v>4.6167499335948445</c:v>
                </c:pt>
                <c:pt idx="809">
                  <c:v>4.6349102547752601</c:v>
                </c:pt>
                <c:pt idx="810">
                  <c:v>4.653204857058939</c:v>
                </c:pt>
                <c:pt idx="811">
                  <c:v>4.6716347333476334</c:v>
                </c:pt>
                <c:pt idx="812">
                  <c:v>4.690200883884807</c:v>
                </c:pt>
                <c:pt idx="813">
                  <c:v>4.7089043163099422</c:v>
                </c:pt>
                <c:pt idx="814">
                  <c:v>4.7277460457131877</c:v>
                </c:pt>
                <c:pt idx="815">
                  <c:v>4.7467270946904918</c:v>
                </c:pt>
                <c:pt idx="816">
                  <c:v>4.7658484933990923</c:v>
                </c:pt>
                <c:pt idx="817">
                  <c:v>4.7851112796133943</c:v>
                </c:pt>
                <c:pt idx="818">
                  <c:v>4.8045164987813411</c:v>
                </c:pt>
                <c:pt idx="819">
                  <c:v>4.8240652040811147</c:v>
                </c:pt>
                <c:pt idx="820">
                  <c:v>4.8437584564783212</c:v>
                </c:pt>
                <c:pt idx="821">
                  <c:v>4.8635973247835516</c:v>
                </c:pt>
                <c:pt idx="822">
                  <c:v>4.8835828857104122</c:v>
                </c:pt>
                <c:pt idx="823">
                  <c:v>4.9037162239339382</c:v>
                </c:pt>
                <c:pt idx="824">
                  <c:v>4.9239984321494745</c:v>
                </c:pt>
                <c:pt idx="825">
                  <c:v>4.9444306111319793</c:v>
                </c:pt>
                <c:pt idx="826">
                  <c:v>4.9650138697957598</c:v>
                </c:pt>
                <c:pt idx="827">
                  <c:v>4.985749325254667</c:v>
                </c:pt>
                <c:pt idx="828">
                  <c:v>5.0066381028827216</c:v>
                </c:pt>
                <c:pt idx="829">
                  <c:v>5.0276813363751769</c:v>
                </c:pt>
                <c:pt idx="830">
                  <c:v>5.0488801678100668</c:v>
                </c:pt>
                <c:pt idx="831">
                  <c:v>5.0702357477101794</c:v>
                </c:pt>
                <c:pt idx="832">
                  <c:v>5.0917492351055031</c:v>
                </c:pt>
                <c:pt idx="833">
                  <c:v>5.1134217975961258</c:v>
                </c:pt>
                <c:pt idx="834">
                  <c:v>5.1352546114156192</c:v>
                </c:pt>
                <c:pt idx="835">
                  <c:v>5.1572488614948488</c:v>
                </c:pt>
                <c:pt idx="836">
                  <c:v>5.1794057415263151</c:v>
                </c:pt>
                <c:pt idx="837">
                  <c:v>5.2017264540289077</c:v>
                </c:pt>
                <c:pt idx="838">
                  <c:v>5.2242122104132065</c:v>
                </c:pt>
                <c:pt idx="839">
                  <c:v>5.2468642310471774</c:v>
                </c:pt>
                <c:pt idx="840">
                  <c:v>5.2696837453224594</c:v>
                </c:pt>
                <c:pt idx="841">
                  <c:v>5.2926719917210638</c:v>
                </c:pt>
                <c:pt idx="842">
                  <c:v>5.3158302178825645</c:v>
                </c:pt>
                <c:pt idx="843">
                  <c:v>5.3391596806718633</c:v>
                </c:pt>
                <c:pt idx="844">
                  <c:v>5.362661646247358</c:v>
                </c:pt>
                <c:pt idx="845">
                  <c:v>5.3863373901296949</c:v>
                </c:pt>
                <c:pt idx="846">
                  <c:v>5.4101881972709611</c:v>
                </c:pt>
                <c:pt idx="847">
                  <c:v>5.4342153621244575</c:v>
                </c:pt>
                <c:pt idx="848">
                  <c:v>5.458420188714924</c:v>
                </c:pt>
                <c:pt idx="849">
                  <c:v>5.4828039907093267</c:v>
                </c:pt>
                <c:pt idx="850">
                  <c:v>5.5073680914881535</c:v>
                </c:pt>
                <c:pt idx="851">
                  <c:v>5.5321138242172356</c:v>
                </c:pt>
                <c:pt idx="852">
                  <c:v>5.5570425319201009</c:v>
                </c:pt>
                <c:pt idx="853">
                  <c:v>5.5821555675508705</c:v>
                </c:pt>
                <c:pt idx="854">
                  <c:v>5.607454294067689</c:v>
                </c:pt>
                <c:pt idx="855">
                  <c:v>5.632940084506675</c:v>
                </c:pt>
                <c:pt idx="856">
                  <c:v>5.6586143220564651</c:v>
                </c:pt>
                <c:pt idx="857">
                  <c:v>5.68447840013327</c:v>
                </c:pt>
                <c:pt idx="858">
                  <c:v>5.7105337224564998</c:v>
                </c:pt>
                <c:pt idx="859">
                  <c:v>5.7367817031249642</c:v>
                </c:pt>
                <c:pt idx="860">
                  <c:v>5.763223766693593</c:v>
                </c:pt>
                <c:pt idx="861">
                  <c:v>5.7898613482507653</c:v>
                </c:pt>
                <c:pt idx="862">
                  <c:v>5.8166958934962034</c:v>
                </c:pt>
                <c:pt idx="863">
                  <c:v>5.843728858819432</c:v>
                </c:pt>
                <c:pt idx="864">
                  <c:v>5.8709617113787882</c:v>
                </c:pt>
                <c:pt idx="865">
                  <c:v>5.8983959291811017</c:v>
                </c:pt>
                <c:pt idx="866">
                  <c:v>5.9260330011618896</c:v>
                </c:pt>
                <c:pt idx="867">
                  <c:v>5.9538744272661273</c:v>
                </c:pt>
                <c:pt idx="868">
                  <c:v>5.9819217185297235</c:v>
                </c:pt>
                <c:pt idx="869">
                  <c:v>6.0101763971614739</c:v>
                </c:pt>
                <c:pt idx="870">
                  <c:v>6.0386399966256947</c:v>
                </c:pt>
                <c:pt idx="871">
                  <c:v>6.0673140617254608</c:v>
                </c:pt>
                <c:pt idx="872">
                  <c:v>6.0962001486864326</c:v>
                </c:pt>
                <c:pt idx="873">
                  <c:v>6.1252998252413082</c:v>
                </c:pt>
                <c:pt idx="874">
                  <c:v>6.1546146707149276</c:v>
                </c:pt>
                <c:pt idx="875">
                  <c:v>6.1841462761099777</c:v>
                </c:pt>
                <c:pt idx="876">
                  <c:v>6.2138962441933412</c:v>
                </c:pt>
                <c:pt idx="877">
                  <c:v>6.2438661895830814</c:v>
                </c:pt>
                <c:pt idx="878">
                  <c:v>6.2740577388360927</c:v>
                </c:pt>
                <c:pt idx="879">
                  <c:v>6.3044725305363363</c:v>
                </c:pt>
                <c:pt idx="880">
                  <c:v>6.3351122153838197</c:v>
                </c:pt>
                <c:pt idx="881">
                  <c:v>6.3659784562841457</c:v>
                </c:pt>
                <c:pt idx="882">
                  <c:v>6.3970729284387842</c:v>
                </c:pt>
                <c:pt idx="883">
                  <c:v>6.4283973194359785</c:v>
                </c:pt>
                <c:pt idx="884">
                  <c:v>6.4599533293423583</c:v>
                </c:pt>
                <c:pt idx="885">
                  <c:v>6.4917426707951762</c:v>
                </c:pt>
                <c:pt idx="886">
                  <c:v>6.5237670690952783</c:v>
                </c:pt>
                <c:pt idx="887">
                  <c:v>6.5560282623007282</c:v>
                </c:pt>
                <c:pt idx="888">
                  <c:v>6.588528001321162</c:v>
                </c:pt>
                <c:pt idx="889">
                  <c:v>6.6212680500127732</c:v>
                </c:pt>
                <c:pt idx="890">
                  <c:v>6.6542501852740861</c:v>
                </c:pt>
                <c:pt idx="891">
                  <c:v>6.6874761971423773</c:v>
                </c:pt>
                <c:pt idx="892">
                  <c:v>6.7209478888907874</c:v>
                </c:pt>
                <c:pt idx="893">
                  <c:v>6.7546670771262667</c:v>
                </c:pt>
                <c:pt idx="894">
                  <c:v>6.7886355918881023</c:v>
                </c:pt>
                <c:pt idx="895">
                  <c:v>6.8228552767472701</c:v>
                </c:pt>
                <c:pt idx="896">
                  <c:v>6.8573279889064773</c:v>
                </c:pt>
                <c:pt idx="897">
                  <c:v>6.8920555993009769</c:v>
                </c:pt>
                <c:pt idx="898">
                  <c:v>6.9270399927000987</c:v>
                </c:pt>
                <c:pt idx="899">
                  <c:v>6.962283067809528</c:v>
                </c:pt>
                <c:pt idx="900">
                  <c:v>6.9977867373743683</c:v>
                </c:pt>
                <c:pt idx="901">
                  <c:v>7.033552928282953</c:v>
                </c:pt>
                <c:pt idx="902">
                  <c:v>7.0695835816714085</c:v>
                </c:pt>
                <c:pt idx="903">
                  <c:v>7.1058806530290397</c:v>
                </c:pt>
                <c:pt idx="904">
                  <c:v>7.1424461123044143</c:v>
                </c:pt>
                <c:pt idx="905">
                  <c:v>7.1792819440123061</c:v>
                </c:pt>
                <c:pt idx="906">
                  <c:v>7.2163901473413903</c:v>
                </c:pt>
                <c:pt idx="907">
                  <c:v>7.253772736262766</c:v>
                </c:pt>
                <c:pt idx="908">
                  <c:v>7.2914317396392194</c:v>
                </c:pt>
                <c:pt idx="909">
                  <c:v>7.3293692013353855</c:v>
                </c:pt>
                <c:pt idx="910">
                  <c:v>7.3675871803286288</c:v>
                </c:pt>
                <c:pt idx="911">
                  <c:v>7.40608775082082</c:v>
                </c:pt>
                <c:pt idx="912">
                  <c:v>7.4448730023508913</c:v>
                </c:pt>
                <c:pt idx="913">
                  <c:v>7.4839450399082761</c:v>
                </c:pt>
                <c:pt idx="914">
                  <c:v>7.5233059840470817</c:v>
                </c:pt>
                <c:pt idx="915">
                  <c:v>7.5629579710012562</c:v>
                </c:pt>
                <c:pt idx="916">
                  <c:v>7.6029031528005175</c:v>
                </c:pt>
                <c:pt idx="917">
                  <c:v>7.643143697387063</c:v>
                </c:pt>
                <c:pt idx="918">
                  <c:v>7.6836817887333533</c:v>
                </c:pt>
                <c:pt idx="919">
                  <c:v>7.7245196269605563</c:v>
                </c:pt>
                <c:pt idx="920">
                  <c:v>7.7656594284579903</c:v>
                </c:pt>
                <c:pt idx="921">
                  <c:v>7.8071034260033967</c:v>
                </c:pt>
                <c:pt idx="922">
                  <c:v>7.848853868884154</c:v>
                </c:pt>
                <c:pt idx="923">
                  <c:v>7.890913023019305</c:v>
                </c:pt>
                <c:pt idx="924">
                  <c:v>7.9332831710825573</c:v>
                </c:pt>
                <c:pt idx="925">
                  <c:v>7.9759666126261974</c:v>
                </c:pt>
                <c:pt idx="926">
                  <c:v>8.0189656642058402</c:v>
                </c:pt>
                <c:pt idx="927">
                  <c:v>8.0622826595061863</c:v>
                </c:pt>
                <c:pt idx="928">
                  <c:v>8.105919949467701</c:v>
                </c:pt>
                <c:pt idx="929">
                  <c:v>8.1498799024141508</c:v>
                </c:pt>
                <c:pt idx="930">
                  <c:v>8.1941649041811857</c:v>
                </c:pt>
                <c:pt idx="931">
                  <c:v>8.2387773582457999</c:v>
                </c:pt>
                <c:pt idx="932">
                  <c:v>8.2837196858567808</c:v>
                </c:pt>
                <c:pt idx="933">
                  <c:v>8.328994326166141</c:v>
                </c:pt>
                <c:pt idx="934">
                  <c:v>8.3746037363614718</c:v>
                </c:pt>
                <c:pt idx="935">
                  <c:v>8.4205503917992974</c:v>
                </c:pt>
                <c:pt idx="936">
                  <c:v>8.4668367861394351</c:v>
                </c:pt>
                <c:pt idx="937">
                  <c:v>8.5134654314803235</c:v>
                </c:pt>
                <c:pt idx="938">
                  <c:v>8.5604388584954023</c:v>
                </c:pt>
                <c:pt idx="939">
                  <c:v>8.6077596165703607</c:v>
                </c:pt>
                <c:pt idx="940">
                  <c:v>8.6554302739416205</c:v>
                </c:pt>
                <c:pt idx="941">
                  <c:v>8.7034534178356502</c:v>
                </c:pt>
                <c:pt idx="942">
                  <c:v>8.7518316546093775</c:v>
                </c:pt>
                <c:pt idx="943">
                  <c:v>8.8005676098916901</c:v>
                </c:pt>
                <c:pt idx="944">
                  <c:v>8.8496639287258869</c:v>
                </c:pt>
                <c:pt idx="945">
                  <c:v>8.8991232757132632</c:v>
                </c:pt>
                <c:pt idx="946">
                  <c:v>8.9489483351577075</c:v>
                </c:pt>
                <c:pt idx="947">
                  <c:v>8.9991418112114214</c:v>
                </c:pt>
                <c:pt idx="948">
                  <c:v>9.0497064280216364</c:v>
                </c:pt>
                <c:pt idx="949">
                  <c:v>9.1006449298784826</c:v>
                </c:pt>
                <c:pt idx="950">
                  <c:v>9.1519600813639261</c:v>
                </c:pt>
                <c:pt idx="951">
                  <c:v>9.2036546675018371</c:v>
                </c:pt>
                <c:pt idx="952">
                  <c:v>9.2557314939090833</c:v>
                </c:pt>
                <c:pt idx="953">
                  <c:v>9.3081933869478704</c:v>
                </c:pt>
                <c:pt idx="954">
                  <c:v>9.3610431938790697</c:v>
                </c:pt>
                <c:pt idx="955">
                  <c:v>9.4142837830167903</c:v>
                </c:pt>
                <c:pt idx="956">
                  <c:v>9.4679180438840369</c:v>
                </c:pt>
                <c:pt idx="957">
                  <c:v>9.5219488873695362</c:v>
                </c:pt>
                <c:pt idx="958">
                  <c:v>9.576379245885704</c:v>
                </c:pt>
                <c:pt idx="959">
                  <c:v>9.6312120735278288</c:v>
                </c:pt>
                <c:pt idx="960">
                  <c:v>9.6864503462343858</c:v>
                </c:pt>
                <c:pt idx="961">
                  <c:v>9.7420970619485168</c:v>
                </c:pt>
                <c:pt idx="962">
                  <c:v>9.7981552407807655</c:v>
                </c:pt>
                <c:pt idx="963">
                  <c:v>9.8546279251730304</c:v>
                </c:pt>
                <c:pt idx="964">
                  <c:v>9.9115181800635668</c:v>
                </c:pt>
                <c:pt idx="965">
                  <c:v>9.9688290930534738</c:v>
                </c:pt>
                <c:pt idx="966">
                  <c:v>10.026563774574194</c:v>
                </c:pt>
                <c:pt idx="967">
                  <c:v>10.084725358056273</c:v>
                </c:pt>
                <c:pt idx="968">
                  <c:v>10.143317000099541</c:v>
                </c:pt>
                <c:pt idx="969">
                  <c:v>10.202341880644356</c:v>
                </c:pt>
                <c:pt idx="970">
                  <c:v>10.261803203144181</c:v>
                </c:pt>
                <c:pt idx="971">
                  <c:v>10.321704194739464</c:v>
                </c:pt>
                <c:pt idx="972">
                  <c:v>10.382048106432817</c:v>
                </c:pt>
                <c:pt idx="973">
                  <c:v>10.442838213265397</c:v>
                </c:pt>
                <c:pt idx="974">
                  <c:v>10.504077814494684</c:v>
                </c:pt>
                <c:pt idx="975">
                  <c:v>10.565770233773543</c:v>
                </c:pt>
                <c:pt idx="976">
                  <c:v>10.627918819330606</c:v>
                </c:pt>
                <c:pt idx="977">
                  <c:v>10.690526944151955</c:v>
                </c:pt>
                <c:pt idx="978">
                  <c:v>10.753598006164294</c:v>
                </c:pt>
                <c:pt idx="979">
                  <c:v>10.817135428419213</c:v>
                </c:pt>
                <c:pt idx="980">
                  <c:v>10.881142659279071</c:v>
                </c:pt>
                <c:pt idx="981">
                  <c:v>10.945623172604108</c:v>
                </c:pt>
                <c:pt idx="982">
                  <c:v>11.010580467940999</c:v>
                </c:pt>
                <c:pt idx="983">
                  <c:v>11.076018070712767</c:v>
                </c:pt>
                <c:pt idx="984">
                  <c:v>11.141939532410159</c:v>
                </c:pt>
                <c:pt idx="985">
                  <c:v>11.208348430784335</c:v>
                </c:pt>
                <c:pt idx="986">
                  <c:v>11.275248370041073</c:v>
                </c:pt>
                <c:pt idx="987">
                  <c:v>11.342642981036402</c:v>
                </c:pt>
                <c:pt idx="988">
                  <c:v>11.410535921473652</c:v>
                </c:pt>
                <c:pt idx="989">
                  <c:v>11.478930876101883</c:v>
                </c:pt>
                <c:pt idx="990">
                  <c:v>11.547831556916009</c:v>
                </c:pt>
                <c:pt idx="991">
                  <c:v>11.617241703358186</c:v>
                </c:pt>
                <c:pt idx="992">
                  <c:v>11.687165082520695</c:v>
                </c:pt>
                <c:pt idx="993">
                  <c:v>11.757605489350549</c:v>
                </c:pt>
                <c:pt idx="994">
                  <c:v>11.828566746855316</c:v>
                </c:pt>
                <c:pt idx="995">
                  <c:v>11.900052706310664</c:v>
                </c:pt>
                <c:pt idx="996">
                  <c:v>11.972067247469399</c:v>
                </c:pt>
                <c:pt idx="997">
                  <c:v>12.044614278772</c:v>
                </c:pt>
                <c:pt idx="998">
                  <c:v>12.117697737558737</c:v>
                </c:pt>
                <c:pt idx="999">
                  <c:v>12.191321590283376</c:v>
                </c:pt>
                <c:pt idx="1000">
                  <c:v>12.26548983272845</c:v>
                </c:pt>
              </c:numCache>
            </c:numRef>
          </c:xVal>
          <c:yVal>
            <c:numRef>
              <c:f>Production_Forecast!$N$12:$N$1012</c:f>
              <c:numCache>
                <c:formatCode>0.00</c:formatCode>
                <c:ptCount val="1001"/>
                <c:pt idx="0">
                  <c:v>0.37633</c:v>
                </c:pt>
                <c:pt idx="1">
                  <c:v>0.37861445494800561</c:v>
                </c:pt>
                <c:pt idx="2">
                  <c:v>0.38091277733790929</c:v>
                </c:pt>
                <c:pt idx="3">
                  <c:v>0.38322505134994173</c:v>
                </c:pt>
                <c:pt idx="4">
                  <c:v>0.38555136167533721</c:v>
                </c:pt>
                <c:pt idx="5">
                  <c:v>0.38789179351943559</c:v>
                </c:pt>
                <c:pt idx="6">
                  <c:v>0.39024643260480291</c:v>
                </c:pt>
                <c:pt idx="7">
                  <c:v>0.39261536517437112</c:v>
                </c:pt>
                <c:pt idx="8">
                  <c:v>0.39499867799459709</c:v>
                </c:pt>
                <c:pt idx="9">
                  <c:v>0.3973964583586404</c:v>
                </c:pt>
                <c:pt idx="10">
                  <c:v>0.39980879408956099</c:v>
                </c:pt>
                <c:pt idx="11">
                  <c:v>0.40223577354353501</c:v>
                </c:pt>
                <c:pt idx="12">
                  <c:v>0.40467748561309208</c:v>
                </c:pt>
                <c:pt idx="13">
                  <c:v>0.40713401973037033</c:v>
                </c:pt>
                <c:pt idx="14">
                  <c:v>0.40960546587039232</c:v>
                </c:pt>
                <c:pt idx="15">
                  <c:v>0.41209191455436062</c:v>
                </c:pt>
                <c:pt idx="16">
                  <c:v>0.41459345685297311</c:v>
                </c:pt>
                <c:pt idx="17">
                  <c:v>0.41711018438975878</c:v>
                </c:pt>
                <c:pt idx="18">
                  <c:v>0.41964218934443348</c:v>
                </c:pt>
                <c:pt idx="19">
                  <c:v>0.42218956445627637</c:v>
                </c:pt>
                <c:pt idx="20">
                  <c:v>0.42475240302752626</c:v>
                </c:pt>
                <c:pt idx="21">
                  <c:v>0.42733079892679959</c:v>
                </c:pt>
                <c:pt idx="22">
                  <c:v>0.42992484659252789</c:v>
                </c:pt>
                <c:pt idx="23">
                  <c:v>0.43253464103641726</c:v>
                </c:pt>
                <c:pt idx="24">
                  <c:v>0.43516027784692796</c:v>
                </c:pt>
                <c:pt idx="25">
                  <c:v>0.43780185319277587</c:v>
                </c:pt>
                <c:pt idx="26">
                  <c:v>0.44045946382645451</c:v>
                </c:pt>
                <c:pt idx="27">
                  <c:v>0.44313320708777898</c:v>
                </c:pt>
                <c:pt idx="28">
                  <c:v>0.44582318090745138</c:v>
                </c:pt>
                <c:pt idx="29">
                  <c:v>0.44852948381064706</c:v>
                </c:pt>
                <c:pt idx="30">
                  <c:v>0.45125221492062417</c:v>
                </c:pt>
                <c:pt idx="31">
                  <c:v>0.45399147396235323</c:v>
                </c:pt>
                <c:pt idx="32">
                  <c:v>0.45674736126617088</c:v>
                </c:pt>
                <c:pt idx="33">
                  <c:v>0.45951997777145354</c:v>
                </c:pt>
                <c:pt idx="34">
                  <c:v>0.4623094250303153</c:v>
                </c:pt>
                <c:pt idx="35">
                  <c:v>0.46511580521132712</c:v>
                </c:pt>
                <c:pt idx="36">
                  <c:v>0.46793922110325881</c:v>
                </c:pt>
                <c:pt idx="37">
                  <c:v>0.4707797761188442</c:v>
                </c:pt>
                <c:pt idx="38">
                  <c:v>0.47363757429856862</c:v>
                </c:pt>
                <c:pt idx="39">
                  <c:v>0.4765127203144795</c:v>
                </c:pt>
                <c:pt idx="40">
                  <c:v>0.47940531947402043</c:v>
                </c:pt>
                <c:pt idx="41">
                  <c:v>0.482315477723888</c:v>
                </c:pt>
                <c:pt idx="42">
                  <c:v>0.48524330165391233</c:v>
                </c:pt>
                <c:pt idx="43">
                  <c:v>0.48818889850096114</c:v>
                </c:pt>
                <c:pt idx="44">
                  <c:v>0.4911523761528675</c:v>
                </c:pt>
                <c:pt idx="45">
                  <c:v>0.49413384315238168</c:v>
                </c:pt>
                <c:pt idx="46">
                  <c:v>0.49713340870114608</c:v>
                </c:pt>
                <c:pt idx="47">
                  <c:v>0.50015118266369551</c:v>
                </c:pt>
                <c:pt idx="48">
                  <c:v>0.50318727557148113</c:v>
                </c:pt>
                <c:pt idx="49">
                  <c:v>0.50624179862691854</c:v>
                </c:pt>
                <c:pt idx="50">
                  <c:v>0.50931486370746104</c:v>
                </c:pt>
                <c:pt idx="51">
                  <c:v>0.51240658336969713</c:v>
                </c:pt>
                <c:pt idx="52">
                  <c:v>0.51551707085347354</c:v>
                </c:pt>
                <c:pt idx="53">
                  <c:v>0.51864644008604233</c:v>
                </c:pt>
                <c:pt idx="54">
                  <c:v>0.52179480568623382</c:v>
                </c:pt>
                <c:pt idx="55">
                  <c:v>0.52496228296865499</c:v>
                </c:pt>
                <c:pt idx="56">
                  <c:v>0.52814898794791276</c:v>
                </c:pt>
                <c:pt idx="57">
                  <c:v>0.53135503734286349</c:v>
                </c:pt>
                <c:pt idx="58">
                  <c:v>0.53458054858088766</c:v>
                </c:pt>
                <c:pt idx="59">
                  <c:v>0.53782563980219111</c:v>
                </c:pt>
                <c:pt idx="60">
                  <c:v>0.54109042986413258</c:v>
                </c:pt>
                <c:pt idx="61">
                  <c:v>0.5443750383455761</c:v>
                </c:pt>
                <c:pt idx="62">
                  <c:v>0.54767958555127139</c:v>
                </c:pt>
                <c:pt idx="63">
                  <c:v>0.55100419251626032</c:v>
                </c:pt>
                <c:pt idx="64">
                  <c:v>0.55434898101030983</c:v>
                </c:pt>
                <c:pt idx="65">
                  <c:v>0.55771407354237179</c:v>
                </c:pt>
                <c:pt idx="66">
                  <c:v>0.56109959336507065</c:v>
                </c:pt>
                <c:pt idx="67">
                  <c:v>0.56450566447921724</c:v>
                </c:pt>
                <c:pt idx="68">
                  <c:v>0.56793241163835095</c:v>
                </c:pt>
                <c:pt idx="69">
                  <c:v>0.57137996035330851</c:v>
                </c:pt>
                <c:pt idx="70">
                  <c:v>0.57484843689682197</c:v>
                </c:pt>
                <c:pt idx="71">
                  <c:v>0.57833796830814244</c:v>
                </c:pt>
                <c:pt idx="72">
                  <c:v>0.58184868239769427</c:v>
                </c:pt>
                <c:pt idx="73">
                  <c:v>0.58538070775175588</c:v>
                </c:pt>
                <c:pt idx="74">
                  <c:v>0.58893417373716905</c:v>
                </c:pt>
                <c:pt idx="75">
                  <c:v>0.59250921050607797</c:v>
                </c:pt>
                <c:pt idx="76">
                  <c:v>0.5961059490006958</c:v>
                </c:pt>
                <c:pt idx="77">
                  <c:v>0.59972452095810092</c:v>
                </c:pt>
                <c:pt idx="78">
                  <c:v>0.60336505891506165</c:v>
                </c:pt>
                <c:pt idx="79">
                  <c:v>0.60702769621289132</c:v>
                </c:pt>
                <c:pt idx="80">
                  <c:v>0.61071256700233145</c:v>
                </c:pt>
                <c:pt idx="81">
                  <c:v>0.61441980624846571</c:v>
                </c:pt>
                <c:pt idx="82">
                  <c:v>0.61814954973566305</c:v>
                </c:pt>
                <c:pt idx="83">
                  <c:v>0.62190193407255123</c:v>
                </c:pt>
                <c:pt idx="84">
                  <c:v>0.62567709669701999</c:v>
                </c:pt>
                <c:pt idx="85">
                  <c:v>0.62947517588125534</c:v>
                </c:pt>
                <c:pt idx="86">
                  <c:v>0.63329631073680404</c:v>
                </c:pt>
                <c:pt idx="87">
                  <c:v>0.63714064121966862</c:v>
                </c:pt>
                <c:pt idx="88">
                  <c:v>0.64100830813543341</c:v>
                </c:pt>
                <c:pt idx="89">
                  <c:v>0.6448994531444221</c:v>
                </c:pt>
                <c:pt idx="90">
                  <c:v>0.64881421876688627</c:v>
                </c:pt>
                <c:pt idx="91">
                  <c:v>0.65275274838822506</c:v>
                </c:pt>
                <c:pt idx="92">
                  <c:v>0.65671518626423742</c:v>
                </c:pt>
                <c:pt idx="93">
                  <c:v>0.66070167752640574</c:v>
                </c:pt>
                <c:pt idx="94">
                  <c:v>0.66471236818721102</c:v>
                </c:pt>
                <c:pt idx="95">
                  <c:v>0.66874740514548114</c:v>
                </c:pt>
                <c:pt idx="96">
                  <c:v>0.67280693619177168</c:v>
                </c:pt>
                <c:pt idx="97">
                  <c:v>0.67689111001377855</c:v>
                </c:pt>
                <c:pt idx="98">
                  <c:v>0.68100007620178382</c:v>
                </c:pt>
                <c:pt idx="99">
                  <c:v>0.68513398525413516</c:v>
                </c:pt>
                <c:pt idx="100">
                  <c:v>0.689292988582758</c:v>
                </c:pt>
                <c:pt idx="101">
                  <c:v>0.69347723851870113</c:v>
                </c:pt>
                <c:pt idx="102">
                  <c:v>0.69768688831771619</c:v>
                </c:pt>
                <c:pt idx="103">
                  <c:v>0.70192209216587098</c:v>
                </c:pt>
                <c:pt idx="104">
                  <c:v>0.7061830051851965</c:v>
                </c:pt>
                <c:pt idx="105">
                  <c:v>0.71046978343936917</c:v>
                </c:pt>
                <c:pt idx="106">
                  <c:v>0.71478258393942651</c:v>
                </c:pt>
                <c:pt idx="107">
                  <c:v>0.71912156464951782</c:v>
                </c:pt>
                <c:pt idx="108">
                  <c:v>0.72348688449269061</c:v>
                </c:pt>
                <c:pt idx="109">
                  <c:v>0.72787870335671023</c:v>
                </c:pt>
                <c:pt idx="110">
                  <c:v>0.73229718209991734</c:v>
                </c:pt>
                <c:pt idx="111">
                  <c:v>0.73674248255711927</c:v>
                </c:pt>
                <c:pt idx="112">
                  <c:v>0.74121476754551663</c:v>
                </c:pt>
                <c:pt idx="113">
                  <c:v>0.74571420087066798</c:v>
                </c:pt>
                <c:pt idx="114">
                  <c:v>0.75024094733248892</c:v>
                </c:pt>
                <c:pt idx="115">
                  <c:v>0.75479517273128827</c:v>
                </c:pt>
                <c:pt idx="116">
                  <c:v>0.75937704387384064</c:v>
                </c:pt>
                <c:pt idx="117">
                  <c:v>0.76398672857949657</c:v>
                </c:pt>
                <c:pt idx="118">
                  <c:v>0.76862439568632868</c:v>
                </c:pt>
                <c:pt idx="119">
                  <c:v>0.77329021505731543</c:v>
                </c:pt>
                <c:pt idx="120">
                  <c:v>0.77798435758656381</c:v>
                </c:pt>
                <c:pt idx="121">
                  <c:v>0.78270699520556741</c:v>
                </c:pt>
                <c:pt idx="122">
                  <c:v>0.78745830088950441</c:v>
                </c:pt>
                <c:pt idx="123">
                  <c:v>0.79223844866357274</c:v>
                </c:pt>
                <c:pt idx="124">
                  <c:v>0.79704761360936449</c:v>
                </c:pt>
                <c:pt idx="125">
                  <c:v>0.8018859718712783</c:v>
                </c:pt>
                <c:pt idx="126">
                  <c:v>0.80675370066297081</c:v>
                </c:pt>
                <c:pt idx="127">
                  <c:v>0.81165097827384791</c:v>
                </c:pt>
                <c:pt idx="128">
                  <c:v>0.81657798407559468</c:v>
                </c:pt>
                <c:pt idx="129">
                  <c:v>0.82153489852874473</c:v>
                </c:pt>
                <c:pt idx="130">
                  <c:v>0.82652190318929075</c:v>
                </c:pt>
                <c:pt idx="131">
                  <c:v>0.83153918071533395</c:v>
                </c:pt>
                <c:pt idx="132">
                  <c:v>0.83658691487377401</c:v>
                </c:pt>
                <c:pt idx="133">
                  <c:v>0.84166529054703987</c:v>
                </c:pt>
                <c:pt idx="134">
                  <c:v>0.84677449373986202</c:v>
                </c:pt>
                <c:pt idx="135">
                  <c:v>0.85191471158608478</c:v>
                </c:pt>
                <c:pt idx="136">
                  <c:v>0.85708613235552022</c:v>
                </c:pt>
                <c:pt idx="137">
                  <c:v>0.86228894546084434</c:v>
                </c:pt>
                <c:pt idx="138">
                  <c:v>0.86752334146453403</c:v>
                </c:pt>
                <c:pt idx="139">
                  <c:v>0.8727895120858481</c:v>
                </c:pt>
                <c:pt idx="140">
                  <c:v>0.87808765020784718</c:v>
                </c:pt>
                <c:pt idx="141">
                  <c:v>0.88341794988446054</c:v>
                </c:pt>
                <c:pt idx="142">
                  <c:v>0.88878060634759293</c:v>
                </c:pt>
                <c:pt idx="143">
                  <c:v>0.89417581601427432</c:v>
                </c:pt>
                <c:pt idx="144">
                  <c:v>0.89960377649385559</c:v>
                </c:pt>
                <c:pt idx="145">
                  <c:v>0.90506468659524508</c:v>
                </c:pt>
                <c:pt idx="146">
                  <c:v>0.91055874633419154</c:v>
                </c:pt>
                <c:pt idx="147">
                  <c:v>0.91608615694060869</c:v>
                </c:pt>
                <c:pt idx="148">
                  <c:v>0.9216471208659468</c:v>
                </c:pt>
                <c:pt idx="149">
                  <c:v>0.92724184179060698</c:v>
                </c:pt>
                <c:pt idx="150">
                  <c:v>0.93287052463140208</c:v>
                </c:pt>
                <c:pt idx="151">
                  <c:v>0.93853337554906147</c:v>
                </c:pt>
                <c:pt idx="152">
                  <c:v>0.9442306019557829</c:v>
                </c:pt>
                <c:pt idx="153">
                  <c:v>0.94996241252282865</c:v>
                </c:pt>
                <c:pt idx="154">
                  <c:v>0.95572901718816805</c:v>
                </c:pt>
                <c:pt idx="155">
                  <c:v>0.96153062716416804</c:v>
                </c:pt>
                <c:pt idx="156">
                  <c:v>0.96736745494532861</c:v>
                </c:pt>
                <c:pt idx="157">
                  <c:v>0.9732397143160656</c:v>
                </c:pt>
                <c:pt idx="158">
                  <c:v>0.97914762035854153</c:v>
                </c:pt>
                <c:pt idx="159">
                  <c:v>0.98509138946054231</c:v>
                </c:pt>
                <c:pt idx="160">
                  <c:v>0.99107123932340457</c:v>
                </c:pt>
                <c:pt idx="161">
                  <c:v>0.99708738896998717</c:v>
                </c:pt>
                <c:pt idx="162">
                  <c:v>1.0031400587526953</c:v>
                </c:pt>
                <c:pt idx="163">
                  <c:v>1.0092294703615501</c:v>
                </c:pt>
                <c:pt idx="164">
                  <c:v>1.0153558468323087</c:v>
                </c:pt>
                <c:pt idx="165">
                  <c:v>1.0215194125546339</c:v>
                </c:pt>
                <c:pt idx="166">
                  <c:v>1.0277203932803116</c:v>
                </c:pt>
                <c:pt idx="167">
                  <c:v>1.0339590161315206</c:v>
                </c:pt>
                <c:pt idx="168">
                  <c:v>1.0402355096091516</c:v>
                </c:pt>
                <c:pt idx="169">
                  <c:v>1.046550103601174</c:v>
                </c:pt>
                <c:pt idx="170">
                  <c:v>1.0529030293910593</c:v>
                </c:pt>
                <c:pt idx="171">
                  <c:v>1.0592945196662502</c:v>
                </c:pt>
                <c:pt idx="172">
                  <c:v>1.0657248085266833</c:v>
                </c:pt>
                <c:pt idx="173">
                  <c:v>1.072194131493365</c:v>
                </c:pt>
                <c:pt idx="174">
                  <c:v>1.078702725516995</c:v>
                </c:pt>
                <c:pt idx="175">
                  <c:v>1.0852508289866478</c:v>
                </c:pt>
                <c:pt idx="176">
                  <c:v>1.0918386817385035</c:v>
                </c:pt>
                <c:pt idx="177">
                  <c:v>1.098466525064631</c:v>
                </c:pt>
                <c:pt idx="178">
                  <c:v>1.1051346017218269</c:v>
                </c:pt>
                <c:pt idx="179">
                  <c:v>1.1118431559405064</c:v>
                </c:pt>
                <c:pt idx="180">
                  <c:v>1.1185924334336494</c:v>
                </c:pt>
                <c:pt idx="181">
                  <c:v>1.1253826814057997</c:v>
                </c:pt>
                <c:pt idx="182">
                  <c:v>1.1322141485621182</c:v>
                </c:pt>
                <c:pt idx="183">
                  <c:v>1.1390870851174943</c:v>
                </c:pt>
                <c:pt idx="184">
                  <c:v>1.1460017428057099</c:v>
                </c:pt>
                <c:pt idx="185">
                  <c:v>1.1529583748886574</c:v>
                </c:pt>
                <c:pt idx="186">
                  <c:v>1.159957236165619</c:v>
                </c:pt>
                <c:pt idx="187">
                  <c:v>1.1669985829825977</c:v>
                </c:pt>
                <c:pt idx="188">
                  <c:v>1.1740826732417058</c:v>
                </c:pt>
                <c:pt idx="189">
                  <c:v>1.1812097664106127</c:v>
                </c:pt>
                <c:pt idx="190">
                  <c:v>1.1883801235320473</c:v>
                </c:pt>
                <c:pt idx="191">
                  <c:v>1.1955940072333582</c:v>
                </c:pt>
                <c:pt idx="192">
                  <c:v>1.2028516817361357</c:v>
                </c:pt>
                <c:pt idx="193">
                  <c:v>1.2101534128658864</c:v>
                </c:pt>
                <c:pt idx="194">
                  <c:v>1.2174994680617715</c:v>
                </c:pt>
                <c:pt idx="195">
                  <c:v>1.2248901163864014</c:v>
                </c:pt>
                <c:pt idx="196">
                  <c:v>1.2323256285356909</c:v>
                </c:pt>
                <c:pt idx="197">
                  <c:v>1.2398062768487741</c:v>
                </c:pt>
                <c:pt idx="198">
                  <c:v>1.2473323353179786</c:v>
                </c:pt>
                <c:pt idx="199">
                  <c:v>1.2549040795988615</c:v>
                </c:pt>
                <c:pt idx="200">
                  <c:v>1.2625217870203058</c:v>
                </c:pt>
                <c:pt idx="201">
                  <c:v>1.2701857365946783</c:v>
                </c:pt>
                <c:pt idx="202">
                  <c:v>1.2778962090280475</c:v>
                </c:pt>
                <c:pt idx="203">
                  <c:v>1.2856534867304681</c:v>
                </c:pt>
                <c:pt idx="204">
                  <c:v>1.2934578538263206</c:v>
                </c:pt>
                <c:pt idx="205">
                  <c:v>1.3013095961647212</c:v>
                </c:pt>
                <c:pt idx="206">
                  <c:v>1.3092090013299906</c:v>
                </c:pt>
                <c:pt idx="207">
                  <c:v>1.3171563586521862</c:v>
                </c:pt>
                <c:pt idx="208">
                  <c:v>1.3251519592177008</c:v>
                </c:pt>
                <c:pt idx="209">
                  <c:v>1.3331960958799238</c:v>
                </c:pt>
                <c:pt idx="210">
                  <c:v>1.3412890632699663</c:v>
                </c:pt>
                <c:pt idx="211">
                  <c:v>1.3494311578074547</c:v>
                </c:pt>
                <c:pt idx="212">
                  <c:v>1.3576226777113856</c:v>
                </c:pt>
                <c:pt idx="213">
                  <c:v>1.3658639230110494</c:v>
                </c:pt>
                <c:pt idx="214">
                  <c:v>1.3741551955570197</c:v>
                </c:pt>
                <c:pt idx="215">
                  <c:v>1.3824967990322088</c:v>
                </c:pt>
                <c:pt idx="216">
                  <c:v>1.3908890389629909</c:v>
                </c:pt>
                <c:pt idx="217">
                  <c:v>1.3993322227303917</c:v>
                </c:pt>
                <c:pt idx="218">
                  <c:v>1.4078266595813473</c:v>
                </c:pt>
                <c:pt idx="219">
                  <c:v>1.4163726606400326</c:v>
                </c:pt>
                <c:pt idx="220">
                  <c:v>1.4249705389192533</c:v>
                </c:pt>
                <c:pt idx="221">
                  <c:v>1.4336206093319133</c:v>
                </c:pt>
                <c:pt idx="222">
                  <c:v>1.4423231887025487</c:v>
                </c:pt>
                <c:pt idx="223">
                  <c:v>1.4510785957789307</c:v>
                </c:pt>
                <c:pt idx="224">
                  <c:v>1.4598871512437419</c:v>
                </c:pt>
                <c:pt idx="225">
                  <c:v>1.4687491777263204</c:v>
                </c:pt>
                <c:pt idx="226">
                  <c:v>1.4776649998144773</c:v>
                </c:pt>
                <c:pt idx="227">
                  <c:v>1.4866349440663866</c:v>
                </c:pt>
                <c:pt idx="228">
                  <c:v>1.4956593390225439</c:v>
                </c:pt>
                <c:pt idx="229">
                  <c:v>1.5047385152178003</c:v>
                </c:pt>
                <c:pt idx="230">
                  <c:v>1.5138728051934707</c:v>
                </c:pt>
                <c:pt idx="231">
                  <c:v>1.5230625435095111</c:v>
                </c:pt>
                <c:pt idx="232">
                  <c:v>1.5323080667567741</c:v>
                </c:pt>
                <c:pt idx="233">
                  <c:v>1.5416097135693365</c:v>
                </c:pt>
                <c:pt idx="234">
                  <c:v>1.5509678246369021</c:v>
                </c:pt>
                <c:pt idx="235">
                  <c:v>1.5603827427172823</c:v>
                </c:pt>
                <c:pt idx="236">
                  <c:v>1.5698548126489467</c:v>
                </c:pt>
                <c:pt idx="237">
                  <c:v>1.5793843813636552</c:v>
                </c:pt>
                <c:pt idx="238">
                  <c:v>1.5889717978991671</c:v>
                </c:pt>
                <c:pt idx="239">
                  <c:v>1.5986174134120208</c:v>
                </c:pt>
                <c:pt idx="240">
                  <c:v>1.6083215811903993</c:v>
                </c:pt>
                <c:pt idx="241">
                  <c:v>1.6180846566670681</c:v>
                </c:pt>
                <c:pt idx="242">
                  <c:v>1.6279069974323939</c:v>
                </c:pt>
                <c:pt idx="243">
                  <c:v>1.6377889632474436</c:v>
                </c:pt>
                <c:pt idx="244">
                  <c:v>1.6477309160571576</c:v>
                </c:pt>
                <c:pt idx="245">
                  <c:v>1.6577332200036106</c:v>
                </c:pt>
                <c:pt idx="246">
                  <c:v>1.667796241439347</c:v>
                </c:pt>
                <c:pt idx="247">
                  <c:v>1.6779203489407992</c:v>
                </c:pt>
                <c:pt idx="248">
                  <c:v>1.6881059133217871</c:v>
                </c:pt>
                <c:pt idx="249">
                  <c:v>1.6983533076471018</c:v>
                </c:pt>
                <c:pt idx="250">
                  <c:v>1.7086629072461665</c:v>
                </c:pt>
                <c:pt idx="251">
                  <c:v>1.7190350897267885</c:v>
                </c:pt>
                <c:pt idx="252">
                  <c:v>1.7294702349889832</c:v>
                </c:pt>
                <c:pt idx="253">
                  <c:v>1.7399687252388947</c:v>
                </c:pt>
                <c:pt idx="254">
                  <c:v>1.7505309450027911</c:v>
                </c:pt>
                <c:pt idx="255">
                  <c:v>1.7611572811411504</c:v>
                </c:pt>
                <c:pt idx="256">
                  <c:v>1.7718481228628282</c:v>
                </c:pt>
                <c:pt idx="257">
                  <c:v>1.7826038617393161</c:v>
                </c:pt>
                <c:pt idx="258">
                  <c:v>1.7934248917190792</c:v>
                </c:pt>
                <c:pt idx="259">
                  <c:v>1.8043116091419908</c:v>
                </c:pt>
                <c:pt idx="260">
                  <c:v>1.8152644127538435</c:v>
                </c:pt>
                <c:pt idx="261">
                  <c:v>1.8262837037209576</c:v>
                </c:pt>
                <c:pt idx="262">
                  <c:v>1.8373698856448746</c:v>
                </c:pt>
                <c:pt idx="263">
                  <c:v>1.8485233645771364</c:v>
                </c:pt>
                <c:pt idx="264">
                  <c:v>1.8597445490341615</c:v>
                </c:pt>
                <c:pt idx="265">
                  <c:v>1.8710338500122066</c:v>
                </c:pt>
                <c:pt idx="266">
                  <c:v>1.8823916810024186</c:v>
                </c:pt>
                <c:pt idx="267">
                  <c:v>1.8938184580059814</c:v>
                </c:pt>
                <c:pt idx="268">
                  <c:v>1.9053145995493512</c:v>
                </c:pt>
                <c:pt idx="269">
                  <c:v>1.9168805266995861</c:v>
                </c:pt>
                <c:pt idx="270">
                  <c:v>1.9285166630797701</c:v>
                </c:pt>
                <c:pt idx="271">
                  <c:v>1.9402234348845266</c:v>
                </c:pt>
                <c:pt idx="272">
                  <c:v>1.9520012708956298</c:v>
                </c:pt>
                <c:pt idx="273">
                  <c:v>1.9638506024977103</c:v>
                </c:pt>
                <c:pt idx="274">
                  <c:v>1.9757718636940533</c:v>
                </c:pt>
                <c:pt idx="275">
                  <c:v>1.9877654911224973</c:v>
                </c:pt>
                <c:pt idx="276">
                  <c:v>1.9998319240714246</c:v>
                </c:pt>
                <c:pt idx="277">
                  <c:v>2.011971604495852</c:v>
                </c:pt>
                <c:pt idx="278">
                  <c:v>2.024184977033618</c:v>
                </c:pt>
                <c:pt idx="279">
                  <c:v>2.0364724890216688</c:v>
                </c:pt>
                <c:pt idx="280">
                  <c:v>2.0488345905124428</c:v>
                </c:pt>
                <c:pt idx="281">
                  <c:v>2.0612717342903544</c:v>
                </c:pt>
                <c:pt idx="282">
                  <c:v>2.0737843758883767</c:v>
                </c:pt>
                <c:pt idx="283">
                  <c:v>2.0863729736047296</c:v>
                </c:pt>
                <c:pt idx="284">
                  <c:v>2.0990379885196626</c:v>
                </c:pt>
                <c:pt idx="285">
                  <c:v>2.1117798845123437</c:v>
                </c:pt>
                <c:pt idx="286">
                  <c:v>2.1245991282778505</c:v>
                </c:pt>
                <c:pt idx="287">
                  <c:v>2.1374961893442626</c:v>
                </c:pt>
                <c:pt idx="288">
                  <c:v>2.1504715400898604</c:v>
                </c:pt>
                <c:pt idx="289">
                  <c:v>2.1635256557604254</c:v>
                </c:pt>
                <c:pt idx="290">
                  <c:v>2.1766590144866478</c:v>
                </c:pt>
                <c:pt idx="291">
                  <c:v>2.1898720973016372</c:v>
                </c:pt>
                <c:pt idx="292">
                  <c:v>2.2031653881585456</c:v>
                </c:pt>
                <c:pt idx="293">
                  <c:v>2.2165393739482875</c:v>
                </c:pt>
                <c:pt idx="294">
                  <c:v>2.2299945445173774</c:v>
                </c:pt>
                <c:pt idx="295">
                  <c:v>2.2435313926858695</c:v>
                </c:pt>
                <c:pt idx="296">
                  <c:v>2.2571504142654066</c:v>
                </c:pt>
                <c:pt idx="297">
                  <c:v>2.2708521080773849</c:v>
                </c:pt>
                <c:pt idx="298">
                  <c:v>2.2846369759712188</c:v>
                </c:pt>
                <c:pt idx="299">
                  <c:v>2.2985055228427256</c:v>
                </c:pt>
                <c:pt idx="300">
                  <c:v>2.3124582566526173</c:v>
                </c:pt>
                <c:pt idx="301">
                  <c:v>2.326495688445104</c:v>
                </c:pt>
                <c:pt idx="302">
                  <c:v>2.3406183323666152</c:v>
                </c:pt>
                <c:pt idx="303">
                  <c:v>2.3548267056846282</c:v>
                </c:pt>
                <c:pt idx="304">
                  <c:v>2.3691213288066146</c:v>
                </c:pt>
                <c:pt idx="305">
                  <c:v>2.383502725299103</c:v>
                </c:pt>
                <c:pt idx="306">
                  <c:v>2.3979714219068531</c:v>
                </c:pt>
                <c:pt idx="307">
                  <c:v>2.41252794857215</c:v>
                </c:pt>
                <c:pt idx="308">
                  <c:v>2.4271728384542155</c:v>
                </c:pt>
                <c:pt idx="309">
                  <c:v>2.4419066279487329</c:v>
                </c:pt>
                <c:pt idx="310">
                  <c:v>2.4567298567074967</c:v>
                </c:pt>
                <c:pt idx="311">
                  <c:v>2.4716430676581744</c:v>
                </c:pt>
                <c:pt idx="312">
                  <c:v>2.486646807024198</c:v>
                </c:pt>
                <c:pt idx="313">
                  <c:v>2.5017416243447652</c:v>
                </c:pt>
                <c:pt idx="314">
                  <c:v>2.5169280724949692</c:v>
                </c:pt>
                <c:pt idx="315">
                  <c:v>2.5322067077060484</c:v>
                </c:pt>
                <c:pt idx="316">
                  <c:v>2.5475780895857616</c:v>
                </c:pt>
                <c:pt idx="317">
                  <c:v>2.5630427811388792</c:v>
                </c:pt>
                <c:pt idx="318">
                  <c:v>2.5786013487878128</c:v>
                </c:pt>
                <c:pt idx="319">
                  <c:v>2.5942543623933521</c:v>
                </c:pt>
                <c:pt idx="320">
                  <c:v>2.6100023952755422</c:v>
                </c:pt>
                <c:pt idx="321">
                  <c:v>2.6258460242346846</c:v>
                </c:pt>
                <c:pt idx="322">
                  <c:v>2.6417858295724574</c:v>
                </c:pt>
                <c:pt idx="323">
                  <c:v>2.6578223951131741</c:v>
                </c:pt>
                <c:pt idx="324">
                  <c:v>2.6739563082251681</c:v>
                </c:pt>
                <c:pt idx="325">
                  <c:v>2.6901881598423016</c:v>
                </c:pt>
                <c:pt idx="326">
                  <c:v>2.7065185444856152</c:v>
                </c:pt>
                <c:pt idx="327">
                  <c:v>2.7229480602850979</c:v>
                </c:pt>
                <c:pt idx="328">
                  <c:v>2.7394773090015985</c:v>
                </c:pt>
                <c:pt idx="329">
                  <c:v>2.7561068960488662</c:v>
                </c:pt>
                <c:pt idx="330">
                  <c:v>2.7728374305157208</c:v>
                </c:pt>
                <c:pt idx="331">
                  <c:v>2.789669525188367</c:v>
                </c:pt>
                <c:pt idx="332">
                  <c:v>2.8066037965728357</c:v>
                </c:pt>
                <c:pt idx="333">
                  <c:v>2.8236408649175666</c:v>
                </c:pt>
                <c:pt idx="334">
                  <c:v>2.840781354236122</c:v>
                </c:pt>
                <c:pt idx="335">
                  <c:v>2.8580258923300468</c:v>
                </c:pt>
                <c:pt idx="336">
                  <c:v>2.8753751108118637</c:v>
                </c:pt>
                <c:pt idx="337">
                  <c:v>2.8928296451281987</c:v>
                </c:pt>
                <c:pt idx="338">
                  <c:v>2.9103901345830669</c:v>
                </c:pt>
                <c:pt idx="339">
                  <c:v>2.9280572223612817</c:v>
                </c:pt>
                <c:pt idx="340">
                  <c:v>2.9458315555520103</c:v>
                </c:pt>
                <c:pt idx="341">
                  <c:v>2.9637137851724815</c:v>
                </c:pt>
                <c:pt idx="342">
                  <c:v>2.9817045661918273</c:v>
                </c:pt>
                <c:pt idx="343">
                  <c:v>2.9998045575550667</c:v>
                </c:pt>
                <c:pt idx="344">
                  <c:v>3.0180144222072509</c:v>
                </c:pt>
                <c:pt idx="345">
                  <c:v>3.0363348271177397</c:v>
                </c:pt>
                <c:pt idx="346">
                  <c:v>3.0547664433046262</c:v>
                </c:pt>
                <c:pt idx="347">
                  <c:v>3.073309945859322</c:v>
                </c:pt>
                <c:pt idx="348">
                  <c:v>3.0919660139712803</c:v>
                </c:pt>
                <c:pt idx="349">
                  <c:v>3.1107353309528722</c:v>
                </c:pt>
                <c:pt idx="350">
                  <c:v>3.1296185842644104</c:v>
                </c:pt>
                <c:pt idx="351">
                  <c:v>3.1486164655393378</c:v>
                </c:pt>
                <c:pt idx="352">
                  <c:v>3.1677296706095524</c:v>
                </c:pt>
                <c:pt idx="353">
                  <c:v>3.1869588995308931</c:v>
                </c:pt>
                <c:pt idx="354">
                  <c:v>3.2063048566087877</c:v>
                </c:pt>
                <c:pt idx="355">
                  <c:v>3.2257682504240428</c:v>
                </c:pt>
                <c:pt idx="356">
                  <c:v>3.2453497938587961</c:v>
                </c:pt>
                <c:pt idx="357">
                  <c:v>3.2650502041226326</c:v>
                </c:pt>
                <c:pt idx="358">
                  <c:v>3.284870202778853</c:v>
                </c:pt>
                <c:pt idx="359">
                  <c:v>3.3048105157708929</c:v>
                </c:pt>
                <c:pt idx="360">
                  <c:v>3.3248718734489251</c:v>
                </c:pt>
                <c:pt idx="361">
                  <c:v>3.3450550105966035</c:v>
                </c:pt>
                <c:pt idx="362">
                  <c:v>3.3653606664579714</c:v>
                </c:pt>
                <c:pt idx="363">
                  <c:v>3.3857895847645465</c:v>
                </c:pt>
                <c:pt idx="364">
                  <c:v>3.4063425137625569</c:v>
                </c:pt>
                <c:pt idx="365">
                  <c:v>3.427020206240349</c:v>
                </c:pt>
                <c:pt idx="366">
                  <c:v>3.4478234195559523</c:v>
                </c:pt>
                <c:pt idx="367">
                  <c:v>3.4687529156648305</c:v>
                </c:pt>
                <c:pt idx="368">
                  <c:v>3.489809461147785</c:v>
                </c:pt>
                <c:pt idx="369">
                  <c:v>3.510993827239024</c:v>
                </c:pt>
                <c:pt idx="370">
                  <c:v>3.5323067898544238</c:v>
                </c:pt>
                <c:pt idx="371">
                  <c:v>3.5537491296199422</c:v>
                </c:pt>
                <c:pt idx="372">
                  <c:v>3.5753216319002035</c:v>
                </c:pt>
                <c:pt idx="373">
                  <c:v>3.5970250868272786</c:v>
                </c:pt>
                <c:pt idx="374">
                  <c:v>3.6188602893296129</c:v>
                </c:pt>
                <c:pt idx="375">
                  <c:v>3.6408280391611445</c:v>
                </c:pt>
                <c:pt idx="376">
                  <c:v>3.6629291409306002</c:v>
                </c:pt>
                <c:pt idx="377">
                  <c:v>3.6851644041309659</c:v>
                </c:pt>
                <c:pt idx="378">
                  <c:v>3.7075346431691272</c:v>
                </c:pt>
                <c:pt idx="379">
                  <c:v>3.73004067739571</c:v>
                </c:pt>
                <c:pt idx="380">
                  <c:v>3.7526833311350867</c:v>
                </c:pt>
                <c:pt idx="381">
                  <c:v>3.7754634337155606</c:v>
                </c:pt>
                <c:pt idx="382">
                  <c:v>3.7983818194997552</c:v>
                </c:pt>
                <c:pt idx="383">
                  <c:v>3.8214393279151637</c:v>
                </c:pt>
                <c:pt idx="384">
                  <c:v>3.8446368034849026</c:v>
                </c:pt>
                <c:pt idx="385">
                  <c:v>3.8679750958586321</c:v>
                </c:pt>
                <c:pt idx="386">
                  <c:v>3.8914550598436901</c:v>
                </c:pt>
                <c:pt idx="387">
                  <c:v>3.9150775554363939</c:v>
                </c:pt>
                <c:pt idx="388">
                  <c:v>3.9388434478535346</c:v>
                </c:pt>
                <c:pt idx="389">
                  <c:v>3.962753607564077</c:v>
                </c:pt>
                <c:pt idx="390">
                  <c:v>3.9868089103210393</c:v>
                </c:pt>
                <c:pt idx="391">
                  <c:v>4.0110102371935605</c:v>
                </c:pt>
                <c:pt idx="392">
                  <c:v>4.0353584745991835</c:v>
                </c:pt>
                <c:pt idx="393">
                  <c:v>4.0598545143363163</c:v>
                </c:pt>
                <c:pt idx="394">
                  <c:v>4.0844992536168911</c:v>
                </c:pt>
                <c:pt idx="395">
                  <c:v>4.1092935950992349</c:v>
                </c:pt>
                <c:pt idx="396">
                  <c:v>4.1342384469211275</c:v>
                </c:pt>
                <c:pt idx="397">
                  <c:v>4.1593347227330586</c:v>
                </c:pt>
                <c:pt idx="398">
                  <c:v>4.1845833417317015</c:v>
                </c:pt>
                <c:pt idx="399">
                  <c:v>4.2099852286935731</c:v>
                </c:pt>
                <c:pt idx="400">
                  <c:v>4.2355413140089082</c:v>
                </c:pt>
                <c:pt idx="401">
                  <c:v>4.2612525337157354</c:v>
                </c:pt>
                <c:pt idx="402">
                  <c:v>4.287119829534161</c:v>
                </c:pt>
                <c:pt idx="403">
                  <c:v>4.3131441489008688</c:v>
                </c:pt>
                <c:pt idx="404">
                  <c:v>4.339326445003806</c:v>
                </c:pt>
                <c:pt idx="405">
                  <c:v>4.3656676768171101</c:v>
                </c:pt>
                <c:pt idx="406">
                  <c:v>4.3921688091362281</c:v>
                </c:pt>
                <c:pt idx="407">
                  <c:v>4.4188308126132494</c:v>
                </c:pt>
                <c:pt idx="408">
                  <c:v>4.4456546637924648</c:v>
                </c:pt>
                <c:pt idx="409">
                  <c:v>4.4726413451461315</c:v>
                </c:pt>
                <c:pt idx="410">
                  <c:v>4.4997918451104555</c:v>
                </c:pt>
                <c:pt idx="411">
                  <c:v>4.5271071581217956</c:v>
                </c:pt>
                <c:pt idx="412">
                  <c:v>4.5545882846530956</c:v>
                </c:pt>
                <c:pt idx="413">
                  <c:v>4.5822362312505076</c:v>
                </c:pt>
                <c:pt idx="414">
                  <c:v>4.6100520105702829</c:v>
                </c:pt>
                <c:pt idx="415">
                  <c:v>4.6380366414158471</c:v>
                </c:pt>
                <c:pt idx="416">
                  <c:v>4.6661911487751171</c:v>
                </c:pt>
                <c:pt idx="417">
                  <c:v>4.6945165638580484</c:v>
                </c:pt>
                <c:pt idx="418">
                  <c:v>4.7230139241344018</c:v>
                </c:pt>
                <c:pt idx="419">
                  <c:v>4.7516842733717439</c:v>
                </c:pt>
                <c:pt idx="420">
                  <c:v>4.7805286616736726</c:v>
                </c:pt>
                <c:pt idx="421">
                  <c:v>4.8095481455182849</c:v>
                </c:pt>
                <c:pt idx="422">
                  <c:v>4.838743787796874</c:v>
                </c:pt>
                <c:pt idx="423">
                  <c:v>4.8681166578528465</c:v>
                </c:pt>
                <c:pt idx="424">
                  <c:v>4.8976678315209057</c:v>
                </c:pt>
                <c:pt idx="425">
                  <c:v>4.927398391166447</c:v>
                </c:pt>
                <c:pt idx="426">
                  <c:v>4.9573094257251995</c:v>
                </c:pt>
                <c:pt idx="427">
                  <c:v>4.9874020307431168</c:v>
                </c:pt>
                <c:pt idx="428">
                  <c:v>5.0176773084165029</c:v>
                </c:pt>
                <c:pt idx="429">
                  <c:v>5.0481363676323712</c:v>
                </c:pt>
                <c:pt idx="430">
                  <c:v>5.0787803240090748</c:v>
                </c:pt>
                <c:pt idx="431">
                  <c:v>5.1096102999371622</c:v>
                </c:pt>
                <c:pt idx="432">
                  <c:v>5.1406274246204768</c:v>
                </c:pt>
                <c:pt idx="433">
                  <c:v>5.1718328341175344</c:v>
                </c:pt>
                <c:pt idx="434">
                  <c:v>5.2032276713831207</c:v>
                </c:pt>
                <c:pt idx="435">
                  <c:v>5.2348130863101572</c:v>
                </c:pt>
                <c:pt idx="436">
                  <c:v>5.2665902357718162</c:v>
                </c:pt>
                <c:pt idx="437">
                  <c:v>5.2985602836638979</c:v>
                </c:pt>
                <c:pt idx="438">
                  <c:v>5.3307244009474601</c:v>
                </c:pt>
                <c:pt idx="439">
                  <c:v>5.3630837656916972</c:v>
                </c:pt>
                <c:pt idx="440">
                  <c:v>5.3956395631171032</c:v>
                </c:pt>
                <c:pt idx="441">
                  <c:v>5.4283929856388768</c:v>
                </c:pt>
                <c:pt idx="442">
                  <c:v>5.4613452329105838</c:v>
                </c:pt>
                <c:pt idx="443">
                  <c:v>5.4944975118681203</c:v>
                </c:pt>
                <c:pt idx="444">
                  <c:v>5.5278510367739013</c:v>
                </c:pt>
                <c:pt idx="445">
                  <c:v>5.5614070292613365</c:v>
                </c:pt>
                <c:pt idx="446">
                  <c:v>5.5951667183795815</c:v>
                </c:pt>
                <c:pt idx="447">
                  <c:v>5.6291313406385557</c:v>
                </c:pt>
                <c:pt idx="448">
                  <c:v>5.6633021400542161</c:v>
                </c:pt>
                <c:pt idx="449">
                  <c:v>5.6976803681941401</c:v>
                </c:pt>
                <c:pt idx="450">
                  <c:v>5.732267284223358</c:v>
                </c:pt>
                <c:pt idx="451">
                  <c:v>5.7670641549504751</c:v>
                </c:pt>
                <c:pt idx="452">
                  <c:v>5.8020722548740595</c:v>
                </c:pt>
                <c:pt idx="453">
                  <c:v>5.8372928662293413</c:v>
                </c:pt>
                <c:pt idx="454">
                  <c:v>5.8727272790351677</c:v>
                </c:pt>
                <c:pt idx="455">
                  <c:v>5.9083767911412437</c:v>
                </c:pt>
                <c:pt idx="456">
                  <c:v>5.9442427082756852</c:v>
                </c:pt>
                <c:pt idx="457">
                  <c:v>5.980326344092834</c:v>
                </c:pt>
                <c:pt idx="458">
                  <c:v>6.0166290202213695</c:v>
                </c:pt>
                <c:pt idx="459">
                  <c:v>6.0531520663127214</c:v>
                </c:pt>
                <c:pt idx="460">
                  <c:v>6.0898968200897787</c:v>
                </c:pt>
                <c:pt idx="461">
                  <c:v>6.1268646273958609</c:v>
                </c:pt>
                <c:pt idx="462">
                  <c:v>6.1640568422440403</c:v>
                </c:pt>
                <c:pt idx="463">
                  <c:v>6.2014748268667201</c:v>
                </c:pt>
                <c:pt idx="464">
                  <c:v>6.2391199517655265</c:v>
                </c:pt>
                <c:pt idx="465">
                  <c:v>6.2769935957615184</c:v>
                </c:pt>
                <c:pt idx="466">
                  <c:v>6.3150971460456802</c:v>
                </c:pt>
                <c:pt idx="467">
                  <c:v>6.3534319982297207</c:v>
                </c:pt>
                <c:pt idx="468">
                  <c:v>6.3919995563972147</c:v>
                </c:pt>
                <c:pt idx="469">
                  <c:v>6.4308012331550115</c:v>
                </c:pt>
                <c:pt idx="470">
                  <c:v>6.4698384496849792</c:v>
                </c:pt>
                <c:pt idx="471">
                  <c:v>6.5091126357960523</c:v>
                </c:pt>
                <c:pt idx="472">
                  <c:v>6.5486252299766123</c:v>
                </c:pt>
                <c:pt idx="473">
                  <c:v>6.5883776794471727</c:v>
                </c:pt>
                <c:pt idx="474">
                  <c:v>6.6283714402133693</c:v>
                </c:pt>
                <c:pt idx="475">
                  <c:v>6.668607977119315</c:v>
                </c:pt>
                <c:pt idx="476">
                  <c:v>6.7090887639012387</c:v>
                </c:pt>
                <c:pt idx="477">
                  <c:v>6.7498152832414542</c:v>
                </c:pt>
                <c:pt idx="478">
                  <c:v>6.7907890268226865</c:v>
                </c:pt>
                <c:pt idx="479">
                  <c:v>6.8320114953826954</c:v>
                </c:pt>
                <c:pt idx="480">
                  <c:v>6.8734841987692405</c:v>
                </c:pt>
                <c:pt idx="481">
                  <c:v>6.9152086559953911</c:v>
                </c:pt>
                <c:pt idx="482">
                  <c:v>6.9571863952951576</c:v>
                </c:pt>
                <c:pt idx="483">
                  <c:v>6.9994189541794603</c:v>
                </c:pt>
                <c:pt idx="484">
                  <c:v>7.041907879492455</c:v>
                </c:pt>
                <c:pt idx="485">
                  <c:v>7.0846547274681857</c:v>
                </c:pt>
                <c:pt idx="486">
                  <c:v>7.1276610637875795</c:v>
                </c:pt>
                <c:pt idx="487">
                  <c:v>7.1709284636357875</c:v>
                </c:pt>
                <c:pt idx="488">
                  <c:v>7.2144585117598998</c:v>
                </c:pt>
                <c:pt idx="489">
                  <c:v>7.2582528025269744</c:v>
                </c:pt>
                <c:pt idx="490">
                  <c:v>7.3023129399824205</c:v>
                </c:pt>
                <c:pt idx="491">
                  <c:v>7.346640537908784</c:v>
                </c:pt>
                <c:pt idx="492">
                  <c:v>7.3912372198848315</c:v>
                </c:pt>
                <c:pt idx="493">
                  <c:v>7.4361046193450111</c:v>
                </c:pt>
                <c:pt idx="494">
                  <c:v>7.4812443796393016</c:v>
                </c:pt>
                <c:pt idx="495">
                  <c:v>7.5266581540933908</c:v>
                </c:pt>
                <c:pt idx="496">
                  <c:v>7.5723476060692256</c:v>
                </c:pt>
                <c:pt idx="497">
                  <c:v>7.6183144090259471</c:v>
                </c:pt>
                <c:pt idx="498">
                  <c:v>7.6645602465811864</c:v>
                </c:pt>
                <c:pt idx="499">
                  <c:v>7.7110868125727094</c:v>
                </c:pt>
                <c:pt idx="500">
                  <c:v>7.7578958111204814</c:v>
                </c:pt>
                <c:pt idx="501">
                  <c:v>7.8049889566890718</c:v>
                </c:pt>
                <c:pt idx="502">
                  <c:v>7.8523679741504422</c:v>
                </c:pt>
                <c:pt idx="503">
                  <c:v>7.9000345988471414</c:v>
                </c:pt>
                <c:pt idx="504">
                  <c:v>7.9479905766558518</c:v>
                </c:pt>
                <c:pt idx="505">
                  <c:v>7.9962376640513435</c:v>
                </c:pt>
                <c:pt idx="506">
                  <c:v>8.0447776281707899</c:v>
                </c:pt>
                <c:pt idx="507">
                  <c:v>8.0936122468785179</c:v>
                </c:pt>
                <c:pt idx="508">
                  <c:v>8.1427433088311183</c:v>
                </c:pt>
                <c:pt idx="509">
                  <c:v>8.1921726135429385</c:v>
                </c:pt>
                <c:pt idx="510">
                  <c:v>8.2419019714520196</c:v>
                </c:pt>
                <c:pt idx="511">
                  <c:v>8.291933203986396</c:v>
                </c:pt>
                <c:pt idx="512">
                  <c:v>8.3422681436308022</c:v>
                </c:pt>
                <c:pt idx="513">
                  <c:v>8.3929086339937999</c:v>
                </c:pt>
                <c:pt idx="514">
                  <c:v>8.4438565298753083</c:v>
                </c:pt>
                <c:pt idx="515">
                  <c:v>8.4951136973345154</c:v>
                </c:pt>
                <c:pt idx="516">
                  <c:v>8.5466820137582555</c:v>
                </c:pt>
                <c:pt idx="517">
                  <c:v>8.5985633679297599</c:v>
                </c:pt>
                <c:pt idx="518">
                  <c:v>8.6507596600978225</c:v>
                </c:pt>
                <c:pt idx="519">
                  <c:v>8.7032728020464258</c:v>
                </c:pt>
                <c:pt idx="520">
                  <c:v>8.7561047171647477</c:v>
                </c:pt>
                <c:pt idx="521">
                  <c:v>8.8092573405176129</c:v>
                </c:pt>
                <c:pt idx="522">
                  <c:v>8.8627326189163611</c:v>
                </c:pt>
                <c:pt idx="523">
                  <c:v>8.9165325109901641</c:v>
                </c:pt>
                <c:pt idx="524">
                  <c:v>8.9706589872577638</c:v>
                </c:pt>
                <c:pt idx="525">
                  <c:v>9.0251140301996298</c:v>
                </c:pt>
                <c:pt idx="526">
                  <c:v>9.0798996343305909</c:v>
                </c:pt>
                <c:pt idx="527">
                  <c:v>9.1350178062728826</c:v>
                </c:pt>
                <c:pt idx="528">
                  <c:v>9.1904705648296261</c:v>
                </c:pt>
                <c:pt idx="529">
                  <c:v>9.2462599410588009</c:v>
                </c:pt>
                <c:pt idx="530">
                  <c:v>9.3023879783476158</c:v>
                </c:pt>
                <c:pt idx="531">
                  <c:v>9.3588567324873466</c:v>
                </c:pt>
                <c:pt idx="532">
                  <c:v>9.4156682717486504</c:v>
                </c:pt>
                <c:pt idx="533">
                  <c:v>9.4728246769573161</c:v>
                </c:pt>
                <c:pt idx="534">
                  <c:v>9.5303280415704617</c:v>
                </c:pt>
                <c:pt idx="535">
                  <c:v>9.5881804717532333</c:v>
                </c:pt>
                <c:pt idx="536">
                  <c:v>9.6463840864559351</c:v>
                </c:pt>
                <c:pt idx="537">
                  <c:v>9.7049410174916453</c:v>
                </c:pt>
                <c:pt idx="538">
                  <c:v>9.7638534096142813</c:v>
                </c:pt>
                <c:pt idx="539">
                  <c:v>9.8231234205971827</c:v>
                </c:pt>
                <c:pt idx="540">
                  <c:v>9.8827532213121252</c:v>
                </c:pt>
                <c:pt idx="541">
                  <c:v>9.9427449958088303</c:v>
                </c:pt>
                <c:pt idx="542">
                  <c:v>10.003100941394976</c:v>
                </c:pt>
                <c:pt idx="543">
                  <c:v>10.063823268716664</c:v>
                </c:pt>
                <c:pt idx="544">
                  <c:v>10.124914201839388</c:v>
                </c:pt>
                <c:pt idx="545">
                  <c:v>10.186375978329501</c:v>
                </c:pt>
                <c:pt idx="546">
                  <c:v>10.248210849336177</c:v>
                </c:pt>
                <c:pt idx="547">
                  <c:v>10.310421079673835</c:v>
                </c:pt>
                <c:pt idx="548">
                  <c:v>10.373008947905129</c:v>
                </c:pt>
                <c:pt idx="549">
                  <c:v>10.435976746424382</c:v>
                </c:pt>
                <c:pt idx="550">
                  <c:v>10.499326781541541</c:v>
                </c:pt>
                <c:pt idx="551">
                  <c:v>10.563061373566681</c:v>
                </c:pt>
                <c:pt idx="552">
                  <c:v>10.627182856894965</c:v>
                </c:pt>
                <c:pt idx="553">
                  <c:v>10.691693580092144</c:v>
                </c:pt>
                <c:pt idx="554">
                  <c:v>10.756595905980598</c:v>
                </c:pt>
                <c:pt idx="555">
                  <c:v>10.82189221172586</c:v>
                </c:pt>
                <c:pt idx="556">
                  <c:v>10.887584888923698</c:v>
                </c:pt>
                <c:pt idx="557">
                  <c:v>10.953676343687691</c:v>
                </c:pt>
                <c:pt idx="558">
                  <c:v>11.020168996737381</c:v>
                </c:pt>
                <c:pt idx="559">
                  <c:v>11.087065283486925</c:v>
                </c:pt>
                <c:pt idx="560">
                  <c:v>11.154367654134292</c:v>
                </c:pt>
                <c:pt idx="561">
                  <c:v>11.222078573751016</c:v>
                </c:pt>
                <c:pt idx="562">
                  <c:v>11.290200522372478</c:v>
                </c:pt>
                <c:pt idx="563">
                  <c:v>11.358735995088738</c:v>
                </c:pt>
                <c:pt idx="564">
                  <c:v>11.42768750213593</c:v>
                </c:pt>
                <c:pt idx="565">
                  <c:v>11.497057568988211</c:v>
                </c:pt>
                <c:pt idx="566">
                  <c:v>11.566848736450227</c:v>
                </c:pt>
                <c:pt idx="567">
                  <c:v>11.637063560750219</c:v>
                </c:pt>
                <c:pt idx="568">
                  <c:v>11.707704613633631</c:v>
                </c:pt>
                <c:pt idx="569">
                  <c:v>11.77877448245728</c:v>
                </c:pt>
                <c:pt idx="570">
                  <c:v>11.850275770284165</c:v>
                </c:pt>
                <c:pt idx="571">
                  <c:v>11.922211095978788</c:v>
                </c:pt>
                <c:pt idx="572">
                  <c:v>11.994583094303072</c:v>
                </c:pt>
                <c:pt idx="573">
                  <c:v>12.067394416012863</c:v>
                </c:pt>
                <c:pt idx="574">
                  <c:v>12.140647727955031</c:v>
                </c:pt>
                <c:pt idx="575">
                  <c:v>12.214345713165146</c:v>
                </c:pt>
                <c:pt idx="576">
                  <c:v>12.288491070965724</c:v>
                </c:pt>
                <c:pt idx="577">
                  <c:v>12.363086517065133</c:v>
                </c:pt>
                <c:pt idx="578">
                  <c:v>12.438134783657043</c:v>
                </c:pt>
                <c:pt idx="579">
                  <c:v>12.513638619520478</c:v>
                </c:pt>
                <c:pt idx="580">
                  <c:v>12.58960079012053</c:v>
                </c:pt>
                <c:pt idx="581">
                  <c:v>12.666024077709636</c:v>
                </c:pt>
                <c:pt idx="582">
                  <c:v>12.742911281429464</c:v>
                </c:pt>
                <c:pt idx="583">
                  <c:v>12.820265217413462</c:v>
                </c:pt>
                <c:pt idx="584">
                  <c:v>12.898088718890005</c:v>
                </c:pt>
                <c:pt idx="585">
                  <c:v>12.976384636286131</c:v>
                </c:pt>
                <c:pt idx="586">
                  <c:v>13.055155837331988</c:v>
                </c:pt>
                <c:pt idx="587">
                  <c:v>13.134405207165857</c:v>
                </c:pt>
                <c:pt idx="588">
                  <c:v>13.214135648439795</c:v>
                </c:pt>
                <c:pt idx="589">
                  <c:v>13.294350081425996</c:v>
                </c:pt>
                <c:pt idx="590">
                  <c:v>13.375051444123715</c:v>
                </c:pt>
                <c:pt idx="591">
                  <c:v>13.456242692366905</c:v>
                </c:pt>
                <c:pt idx="592">
                  <c:v>13.537926799932453</c:v>
                </c:pt>
                <c:pt idx="593">
                  <c:v>13.620106758649122</c:v>
                </c:pt>
                <c:pt idx="594">
                  <c:v>13.702785578507127</c:v>
                </c:pt>
                <c:pt idx="595">
                  <c:v>13.785966287768362</c:v>
                </c:pt>
                <c:pt idx="596">
                  <c:v>13.869651933077352</c:v>
                </c:pt>
                <c:pt idx="597">
                  <c:v>13.95384557957281</c:v>
                </c:pt>
                <c:pt idx="598">
                  <c:v>14.038550310999916</c:v>
                </c:pt>
                <c:pt idx="599">
                  <c:v>14.12376922982326</c:v>
                </c:pt>
                <c:pt idx="600">
                  <c:v>14.209505457340498</c:v>
                </c:pt>
                <c:pt idx="601">
                  <c:v>14.295762133796627</c:v>
                </c:pt>
                <c:pt idx="602">
                  <c:v>14.38254241849905</c:v>
                </c:pt>
                <c:pt idx="603">
                  <c:v>14.469849489933278</c:v>
                </c:pt>
                <c:pt idx="604">
                  <c:v>14.557686545879323</c:v>
                </c:pt>
                <c:pt idx="605">
                  <c:v>14.646056803528857</c:v>
                </c:pt>
                <c:pt idx="606">
                  <c:v>14.73496349960303</c:v>
                </c:pt>
                <c:pt idx="607">
                  <c:v>14.824409890471028</c:v>
                </c:pt>
                <c:pt idx="608">
                  <c:v>14.914399252269314</c:v>
                </c:pt>
                <c:pt idx="609">
                  <c:v>15.004934881021683</c:v>
                </c:pt>
                <c:pt idx="610">
                  <c:v>15.096020092759929</c:v>
                </c:pt>
                <c:pt idx="611">
                  <c:v>15.187658223645318</c:v>
                </c:pt>
                <c:pt idx="612">
                  <c:v>15.27985263009079</c:v>
                </c:pt>
                <c:pt idx="613">
                  <c:v>15.372606688883899</c:v>
                </c:pt>
                <c:pt idx="614">
                  <c:v>15.465923797310454</c:v>
                </c:pt>
                <c:pt idx="615">
                  <c:v>15.559807373279003</c:v>
                </c:pt>
                <c:pt idx="616">
                  <c:v>15.654260855445996</c:v>
                </c:pt>
                <c:pt idx="617">
                  <c:v>15.749287703341711</c:v>
                </c:pt>
                <c:pt idx="618">
                  <c:v>15.844891397497008</c:v>
                </c:pt>
                <c:pt idx="619">
                  <c:v>15.941075439570792</c:v>
                </c:pt>
                <c:pt idx="620">
                  <c:v>16.037843352478237</c:v>
                </c:pt>
                <c:pt idx="621">
                  <c:v>16.135198680519871</c:v>
                </c:pt>
                <c:pt idx="622">
                  <c:v>16.233144989511359</c:v>
                </c:pt>
                <c:pt idx="623">
                  <c:v>16.331685866914132</c:v>
                </c:pt>
                <c:pt idx="624">
                  <c:v>16.430824921966735</c:v>
                </c:pt>
                <c:pt idx="625">
                  <c:v>16.530565785817082</c:v>
                </c:pt>
                <c:pt idx="626">
                  <c:v>16.63091211165543</c:v>
                </c:pt>
                <c:pt idx="627">
                  <c:v>16.731867574848156</c:v>
                </c:pt>
                <c:pt idx="628">
                  <c:v>16.833435873072418</c:v>
                </c:pt>
                <c:pt idx="629">
                  <c:v>16.935620726451575</c:v>
                </c:pt>
                <c:pt idx="630">
                  <c:v>17.038425877691417</c:v>
                </c:pt>
                <c:pt idx="631">
                  <c:v>17.141855092217284</c:v>
                </c:pt>
                <c:pt idx="632">
                  <c:v>17.245912158311974</c:v>
                </c:pt>
                <c:pt idx="633">
                  <c:v>17.350600887254458</c:v>
                </c:pt>
                <c:pt idx="634">
                  <c:v>17.455925113459543</c:v>
                </c:pt>
                <c:pt idx="635">
                  <c:v>17.561888694618265</c:v>
                </c:pt>
                <c:pt idx="636">
                  <c:v>17.668495511839176</c:v>
                </c:pt>
                <c:pt idx="637">
                  <c:v>17.775749469790536</c:v>
                </c:pt>
                <c:pt idx="638">
                  <c:v>17.88365449684332</c:v>
                </c:pt>
                <c:pt idx="639">
                  <c:v>17.992214545215063</c:v>
                </c:pt>
                <c:pt idx="640">
                  <c:v>18.10143359111466</c:v>
                </c:pt>
                <c:pt idx="641">
                  <c:v>18.211315634887981</c:v>
                </c:pt>
                <c:pt idx="642">
                  <c:v>18.321864701164419</c:v>
                </c:pt>
                <c:pt idx="643">
                  <c:v>18.433084839004245</c:v>
                </c:pt>
                <c:pt idx="644">
                  <c:v>18.544980122046979</c:v>
                </c:pt>
                <c:pt idx="645">
                  <c:v>18.657554648660518</c:v>
                </c:pt>
                <c:pt idx="646">
                  <c:v>18.770812542091321</c:v>
                </c:pt>
                <c:pt idx="647">
                  <c:v>18.884757950615398</c:v>
                </c:pt>
                <c:pt idx="648">
                  <c:v>18.999395047690228</c:v>
                </c:pt>
                <c:pt idx="649">
                  <c:v>19.114728032107642</c:v>
                </c:pt>
                <c:pt idx="650">
                  <c:v>19.230761128147634</c:v>
                </c:pt>
                <c:pt idx="651">
                  <c:v>19.347498585733021</c:v>
                </c:pt>
                <c:pt idx="652">
                  <c:v>19.464944680585162</c:v>
                </c:pt>
                <c:pt idx="653">
                  <c:v>19.583103714380552</c:v>
                </c:pt>
                <c:pt idx="654">
                  <c:v>19.701980014908337</c:v>
                </c:pt>
                <c:pt idx="655">
                  <c:v>19.821577936228884</c:v>
                </c:pt>
                <c:pt idx="656">
                  <c:v>19.941901858833241</c:v>
                </c:pt>
                <c:pt idx="657">
                  <c:v>20.062956189803536</c:v>
                </c:pt>
                <c:pt idx="658">
                  <c:v>20.184745362974461</c:v>
                </c:pt>
                <c:pt idx="659">
                  <c:v>20.307273839095632</c:v>
                </c:pt>
                <c:pt idx="660">
                  <c:v>20.43054610599496</c:v>
                </c:pt>
                <c:pt idx="661">
                  <c:v>20.554566678743072</c:v>
                </c:pt>
                <c:pt idx="662">
                  <c:v>20.679340099818624</c:v>
                </c:pt>
                <c:pt idx="663">
                  <c:v>20.804870939274739</c:v>
                </c:pt>
                <c:pt idx="664">
                  <c:v>20.931163794906343</c:v>
                </c:pt>
                <c:pt idx="665">
                  <c:v>21.058223292418596</c:v>
                </c:pt>
                <c:pt idx="666">
                  <c:v>21.186054085596329</c:v>
                </c:pt>
                <c:pt idx="667">
                  <c:v>21.314660856474422</c:v>
                </c:pt>
                <c:pt idx="668">
                  <c:v>21.444048315509395</c:v>
                </c:pt>
                <c:pt idx="669">
                  <c:v>21.574221201751879</c:v>
                </c:pt>
                <c:pt idx="670">
                  <c:v>21.705184283020195</c:v>
                </c:pt>
                <c:pt idx="671">
                  <c:v>21.836942356075006</c:v>
                </c:pt>
                <c:pt idx="672">
                  <c:v>21.96950024679499</c:v>
                </c:pt>
                <c:pt idx="673">
                  <c:v>22.102862810353567</c:v>
                </c:pt>
                <c:pt idx="674">
                  <c:v>22.237034931396796</c:v>
                </c:pt>
                <c:pt idx="675">
                  <c:v>22.372021524222241</c:v>
                </c:pt>
                <c:pt idx="676">
                  <c:v>22.507827532958974</c:v>
                </c:pt>
                <c:pt idx="677">
                  <c:v>22.644457931748654</c:v>
                </c:pt>
                <c:pt idx="678">
                  <c:v>22.781917724927762</c:v>
                </c:pt>
                <c:pt idx="679">
                  <c:v>22.92021194721077</c:v>
                </c:pt>
                <c:pt idx="680">
                  <c:v>23.059345663874709</c:v>
                </c:pt>
                <c:pt idx="681">
                  <c:v>23.199323970944587</c:v>
                </c:pt>
                <c:pt idx="682">
                  <c:v>23.340151995380072</c:v>
                </c:pt>
                <c:pt idx="683">
                  <c:v>23.481834895263294</c:v>
                </c:pt>
                <c:pt idx="684">
                  <c:v>23.624377859987693</c:v>
                </c:pt>
                <c:pt idx="685">
                  <c:v>23.767786110448188</c:v>
                </c:pt>
                <c:pt idx="686">
                  <c:v>23.912064899232366</c:v>
                </c:pt>
                <c:pt idx="687">
                  <c:v>24.057219510812839</c:v>
                </c:pt>
                <c:pt idx="688">
                  <c:v>24.203255261740825</c:v>
                </c:pt>
                <c:pt idx="689">
                  <c:v>24.3501775008409</c:v>
                </c:pt>
                <c:pt idx="690">
                  <c:v>24.49799160940681</c:v>
                </c:pt>
                <c:pt idx="691">
                  <c:v>24.646703001398691</c:v>
                </c:pt>
                <c:pt idx="692">
                  <c:v>24.796317123641316</c:v>
                </c:pt>
                <c:pt idx="693">
                  <c:v>24.946839456023572</c:v>
                </c:pt>
                <c:pt idx="694">
                  <c:v>25.098275511699207</c:v>
                </c:pt>
                <c:pt idx="695">
                  <c:v>25.250630837288757</c:v>
                </c:pt>
                <c:pt idx="696">
                  <c:v>25.403911013082613</c:v>
                </c:pt>
                <c:pt idx="697">
                  <c:v>25.558121653245578</c:v>
                </c:pt>
                <c:pt idx="698">
                  <c:v>25.713268406022348</c:v>
                </c:pt>
                <c:pt idx="699">
                  <c:v>25.869356953944465</c:v>
                </c:pt>
                <c:pt idx="700">
                  <c:v>26.026393014038423</c:v>
                </c:pt>
                <c:pt idx="701">
                  <c:v>26.184382338035082</c:v>
                </c:pt>
                <c:pt idx="702">
                  <c:v>26.343330712580272</c:v>
                </c:pt>
                <c:pt idx="703">
                  <c:v>26.503243959446845</c:v>
                </c:pt>
                <c:pt idx="704">
                  <c:v>26.664127935747846</c:v>
                </c:pt>
                <c:pt idx="705">
                  <c:v>26.82598853415103</c:v>
                </c:pt>
                <c:pt idx="706">
                  <c:v>26.98883168309472</c:v>
                </c:pt>
                <c:pt idx="707">
                  <c:v>27.152663347004964</c:v>
                </c:pt>
                <c:pt idx="708">
                  <c:v>27.317489526513882</c:v>
                </c:pt>
                <c:pt idx="709">
                  <c:v>27.483316258679618</c:v>
                </c:pt>
                <c:pt idx="710">
                  <c:v>27.650149617207347</c:v>
                </c:pt>
                <c:pt idx="711">
                  <c:v>27.81799571267176</c:v>
                </c:pt>
                <c:pt idx="712">
                  <c:v>27.98686069274089</c:v>
                </c:pt>
                <c:pt idx="713">
                  <c:v>28.156750742401222</c:v>
                </c:pt>
                <c:pt idx="714">
                  <c:v>28.327672084184321</c:v>
                </c:pt>
                <c:pt idx="715">
                  <c:v>28.499630978394698</c:v>
                </c:pt>
                <c:pt idx="716">
                  <c:v>28.672633723339096</c:v>
                </c:pt>
                <c:pt idx="717">
                  <c:v>28.846686655557178</c:v>
                </c:pt>
                <c:pt idx="718">
                  <c:v>29.021796150053657</c:v>
                </c:pt>
                <c:pt idx="719">
                  <c:v>29.197968620531686</c:v>
                </c:pt>
                <c:pt idx="720">
                  <c:v>29.375210519627906</c:v>
                </c:pt>
                <c:pt idx="721">
                  <c:v>29.553528339148716</c:v>
                </c:pt>
                <c:pt idx="722">
                  <c:v>29.732928610308036</c:v>
                </c:pt>
                <c:pt idx="723">
                  <c:v>29.913417903966565</c:v>
                </c:pt>
                <c:pt idx="724">
                  <c:v>30.095002830872421</c:v>
                </c:pt>
                <c:pt idx="725">
                  <c:v>30.277690041903231</c:v>
                </c:pt>
                <c:pt idx="726">
                  <c:v>30.461486228309848</c:v>
                </c:pt>
                <c:pt idx="727">
                  <c:v>30.646398121961333</c:v>
                </c:pt>
                <c:pt idx="728">
                  <c:v>30.832432495591547</c:v>
                </c:pt>
                <c:pt idx="729">
                  <c:v>31.019596163047233</c:v>
                </c:pt>
                <c:pt idx="730">
                  <c:v>31.207895979537589</c:v>
                </c:pt>
                <c:pt idx="731">
                  <c:v>31.397338841885247</c:v>
                </c:pt>
                <c:pt idx="732">
                  <c:v>31.587931688779065</c:v>
                </c:pt>
                <c:pt idx="733">
                  <c:v>31.779681501028129</c:v>
                </c:pt>
                <c:pt idx="734">
                  <c:v>31.972595301817492</c:v>
                </c:pt>
                <c:pt idx="735">
                  <c:v>32.166680156965406</c:v>
                </c:pt>
                <c:pt idx="736">
                  <c:v>32.361943175182127</c:v>
                </c:pt>
                <c:pt idx="737">
                  <c:v>32.558391508330203</c:v>
                </c:pt>
                <c:pt idx="738">
                  <c:v>32.756032351686585</c:v>
                </c:pt>
                <c:pt idx="739">
                  <c:v>32.954872944206009</c:v>
                </c:pt>
                <c:pt idx="740">
                  <c:v>33.15492056878626</c:v>
                </c:pt>
                <c:pt idx="741">
                  <c:v>33.356182552534833</c:v>
                </c:pt>
                <c:pt idx="742">
                  <c:v>33.558666267037296</c:v>
                </c:pt>
                <c:pt idx="743">
                  <c:v>33.762379128627387</c:v>
                </c:pt>
                <c:pt idx="744">
                  <c:v>33.967328598658554</c:v>
                </c:pt>
                <c:pt idx="745">
                  <c:v>34.173522183777287</c:v>
                </c:pt>
                <c:pt idx="746">
                  <c:v>34.380967436198048</c:v>
                </c:pt>
                <c:pt idx="747">
                  <c:v>34.589671953979909</c:v>
                </c:pt>
                <c:pt idx="748">
                  <c:v>34.799643381304747</c:v>
                </c:pt>
                <c:pt idx="749">
                  <c:v>35.010889408757372</c:v>
                </c:pt>
                <c:pt idx="750">
                  <c:v>35.223417773607132</c:v>
                </c:pt>
                <c:pt idx="751">
                  <c:v>35.437236260091282</c:v>
                </c:pt>
                <c:pt idx="752">
                  <c:v>35.652352699700145</c:v>
                </c:pt>
                <c:pt idx="753">
                  <c:v>35.868774971463964</c:v>
                </c:pt>
                <c:pt idx="754">
                  <c:v>36.086511002241359</c:v>
                </c:pt>
                <c:pt idx="755">
                  <c:v>36.305568767009845</c:v>
                </c:pt>
                <c:pt idx="756">
                  <c:v>36.525956289157818</c:v>
                </c:pt>
                <c:pt idx="757">
                  <c:v>36.747681640778467</c:v>
                </c:pt>
                <c:pt idx="758">
                  <c:v>36.97075294296539</c:v>
                </c:pt>
                <c:pt idx="759">
                  <c:v>37.19517836611012</c:v>
                </c:pt>
                <c:pt idx="760">
                  <c:v>37.420966130201229</c:v>
                </c:pt>
                <c:pt idx="761">
                  <c:v>37.648124505125587</c:v>
                </c:pt>
                <c:pt idx="762">
                  <c:v>37.87666181097115</c:v>
                </c:pt>
                <c:pt idx="763">
                  <c:v>38.106586418331716</c:v>
                </c:pt>
                <c:pt idx="764">
                  <c:v>38.33790674861357</c:v>
                </c:pt>
                <c:pt idx="765">
                  <c:v>38.570631274343761</c:v>
                </c:pt>
                <c:pt idx="766">
                  <c:v>38.804768519480653</c:v>
                </c:pt>
                <c:pt idx="767">
                  <c:v>39.04032705972601</c:v>
                </c:pt>
                <c:pt idx="768">
                  <c:v>39.277315522839082</c:v>
                </c:pt>
                <c:pt idx="769">
                  <c:v>39.515742588952662</c:v>
                </c:pt>
                <c:pt idx="770">
                  <c:v>39.755616990890999</c:v>
                </c:pt>
                <c:pt idx="771">
                  <c:v>39.996947514489577</c:v>
                </c:pt>
                <c:pt idx="772">
                  <c:v>40.239742998917052</c:v>
                </c:pt>
                <c:pt idx="773">
                  <c:v>40.484012336998909</c:v>
                </c:pt>
                <c:pt idx="774">
                  <c:v>40.729764475543192</c:v>
                </c:pt>
                <c:pt idx="775">
                  <c:v>40.977008415668216</c:v>
                </c:pt>
                <c:pt idx="776">
                  <c:v>41.225753213132279</c:v>
                </c:pt>
                <c:pt idx="777">
                  <c:v>41.476007978665166</c:v>
                </c:pt>
                <c:pt idx="778">
                  <c:v>41.727781878302125</c:v>
                </c:pt>
                <c:pt idx="779">
                  <c:v>41.981084133719392</c:v>
                </c:pt>
                <c:pt idx="780">
                  <c:v>42.235924022572014</c:v>
                </c:pt>
                <c:pt idx="781">
                  <c:v>42.492310878833671</c:v>
                </c:pt>
                <c:pt idx="782">
                  <c:v>42.750254093138544</c:v>
                </c:pt>
                <c:pt idx="783">
                  <c:v>43.009763113125153</c:v>
                </c:pt>
                <c:pt idx="784">
                  <c:v>43.270847443782614</c:v>
                </c:pt>
                <c:pt idx="785">
                  <c:v>43.533516647798606</c:v>
                </c:pt>
                <c:pt idx="786">
                  <c:v>43.797780345909679</c:v>
                </c:pt>
                <c:pt idx="787">
                  <c:v>44.063648217253636</c:v>
                </c:pt>
                <c:pt idx="788">
                  <c:v>44.331129999724055</c:v>
                </c:pt>
                <c:pt idx="789">
                  <c:v>44.600235490326831</c:v>
                </c:pt>
                <c:pt idx="790">
                  <c:v>44.870974545539248</c:v>
                </c:pt>
                <c:pt idx="791">
                  <c:v>45.143357081670786</c:v>
                </c:pt>
                <c:pt idx="792">
                  <c:v>45.41739307522645</c:v>
                </c:pt>
                <c:pt idx="793">
                  <c:v>45.69309256327211</c:v>
                </c:pt>
                <c:pt idx="794">
                  <c:v>45.970465643802072</c:v>
                </c:pt>
                <c:pt idx="795">
                  <c:v>46.249522476109085</c:v>
                </c:pt>
                <c:pt idx="796">
                  <c:v>46.530273281156347</c:v>
                </c:pt>
                <c:pt idx="797">
                  <c:v>46.812728341951882</c:v>
                </c:pt>
                <c:pt idx="798">
                  <c:v>47.096898003925176</c:v>
                </c:pt>
                <c:pt idx="799">
                  <c:v>47.382792675306121</c:v>
                </c:pt>
                <c:pt idx="800">
                  <c:v>47.670422827506101</c:v>
                </c:pt>
                <c:pt idx="801">
                  <c:v>47.959798995501778</c:v>
                </c:pt>
                <c:pt idx="802">
                  <c:v>48.250931778220718</c:v>
                </c:pt>
                <c:pt idx="803">
                  <c:v>48.543831838929755</c:v>
                </c:pt>
                <c:pt idx="804">
                  <c:v>48.838509905625443</c:v>
                </c:pt>
                <c:pt idx="805">
                  <c:v>49.134976771427098</c:v>
                </c:pt>
                <c:pt idx="806">
                  <c:v>49.433243294971916</c:v>
                </c:pt>
                <c:pt idx="807">
                  <c:v>49.73332040081295</c:v>
                </c:pt>
                <c:pt idx="808">
                  <c:v>50.035219079819086</c:v>
                </c:pt>
                <c:pt idx="809">
                  <c:v>50.338950389577619</c:v>
                </c:pt>
                <c:pt idx="810">
                  <c:v>50.644525454799286</c:v>
                </c:pt>
                <c:pt idx="811">
                  <c:v>50.951955467725774</c:v>
                </c:pt>
                <c:pt idx="812">
                  <c:v>51.261251688539417</c:v>
                </c:pt>
                <c:pt idx="813">
                  <c:v>51.572425445775991</c:v>
                </c:pt>
                <c:pt idx="814">
                  <c:v>51.885488136739362</c:v>
                </c:pt>
                <c:pt idx="815">
                  <c:v>52.200451227919054</c:v>
                </c:pt>
                <c:pt idx="816">
                  <c:v>52.51732625541019</c:v>
                </c:pt>
                <c:pt idx="817">
                  <c:v>52.836124825336064</c:v>
                </c:pt>
                <c:pt idx="818">
                  <c:v>53.156858614273091</c:v>
                </c:pt>
                <c:pt idx="819">
                  <c:v>53.479539369678733</c:v>
                </c:pt>
                <c:pt idx="820">
                  <c:v>53.804178910321561</c:v>
                </c:pt>
                <c:pt idx="821">
                  <c:v>54.130789126714241</c:v>
                </c:pt>
                <c:pt idx="822">
                  <c:v>54.459381981549043</c:v>
                </c:pt>
                <c:pt idx="823">
                  <c:v>54.789969510135833</c:v>
                </c:pt>
                <c:pt idx="824">
                  <c:v>55.12256382084319</c:v>
                </c:pt>
                <c:pt idx="825">
                  <c:v>55.45717709554166</c:v>
                </c:pt>
                <c:pt idx="826">
                  <c:v>55.793821590050008</c:v>
                </c:pt>
                <c:pt idx="827">
                  <c:v>56.132509634584125</c:v>
                </c:pt>
                <c:pt idx="828">
                  <c:v>56.473253634208675</c:v>
                </c:pt>
                <c:pt idx="829">
                  <c:v>56.816066069291274</c:v>
                </c:pt>
                <c:pt idx="830">
                  <c:v>57.160959495959894</c:v>
                </c:pt>
                <c:pt idx="831">
                  <c:v>57.507946546562515</c:v>
                </c:pt>
                <c:pt idx="832">
                  <c:v>57.857039930129936</c:v>
                </c:pt>
                <c:pt idx="833">
                  <c:v>58.208252432841221</c:v>
                </c:pt>
                <c:pt idx="834">
                  <c:v>58.561596918492036</c:v>
                </c:pt>
                <c:pt idx="835">
                  <c:v>58.917086328965695</c:v>
                </c:pt>
                <c:pt idx="836">
                  <c:v>59.274733684707385</c:v>
                </c:pt>
                <c:pt idx="837">
                  <c:v>59.634552085200937</c:v>
                </c:pt>
                <c:pt idx="838">
                  <c:v>59.99655470944861</c:v>
                </c:pt>
                <c:pt idx="839">
                  <c:v>60.360754816453841</c:v>
                </c:pt>
                <c:pt idx="840">
                  <c:v>60.727165745706927</c:v>
                </c:pt>
                <c:pt idx="841">
                  <c:v>61.095800917673365</c:v>
                </c:pt>
                <c:pt idx="842">
                  <c:v>61.466673834285743</c:v>
                </c:pt>
                <c:pt idx="843">
                  <c:v>61.839798079438054</c:v>
                </c:pt>
                <c:pt idx="844">
                  <c:v>62.21518731948332</c:v>
                </c:pt>
                <c:pt idx="845">
                  <c:v>62.592855303734112</c:v>
                </c:pt>
                <c:pt idx="846">
                  <c:v>62.972815864966023</c:v>
                </c:pt>
                <c:pt idx="847">
                  <c:v>63.355082919924591</c:v>
                </c:pt>
                <c:pt idx="848">
                  <c:v>63.739670469834827</c:v>
                </c:pt>
                <c:pt idx="849">
                  <c:v>64.12659260091408</c:v>
                </c:pt>
                <c:pt idx="850">
                  <c:v>64.515863484887944</c:v>
                </c:pt>
                <c:pt idx="851">
                  <c:v>64.907497379509479</c:v>
                </c:pt>
                <c:pt idx="852">
                  <c:v>65.301508629081056</c:v>
                </c:pt>
                <c:pt idx="853">
                  <c:v>65.697911664980197</c:v>
                </c:pt>
                <c:pt idx="854">
                  <c:v>66.096721006187892</c:v>
                </c:pt>
                <c:pt idx="855">
                  <c:v>66.497951259820397</c:v>
                </c:pt>
                <c:pt idx="856">
                  <c:v>66.90161712166433</c:v>
                </c:pt>
                <c:pt idx="857">
                  <c:v>67.307733376714879</c:v>
                </c:pt>
                <c:pt idx="858">
                  <c:v>67.716314899717219</c:v>
                </c:pt>
                <c:pt idx="859">
                  <c:v>68.127376655711572</c:v>
                </c:pt>
                <c:pt idx="860">
                  <c:v>68.540933700581164</c:v>
                </c:pt>
                <c:pt idx="861">
                  <c:v>68.957001181603687</c:v>
                </c:pt>
                <c:pt idx="862">
                  <c:v>69.375594338006138</c:v>
                </c:pt>
                <c:pt idx="863">
                  <c:v>69.796728501522992</c:v>
                </c:pt>
                <c:pt idx="864">
                  <c:v>70.220419096957585</c:v>
                </c:pt>
                <c:pt idx="865">
                  <c:v>70.646681642747353</c:v>
                </c:pt>
                <c:pt idx="866">
                  <c:v>71.07553175153204</c:v>
                </c:pt>
                <c:pt idx="867">
                  <c:v>71.506985130725582</c:v>
                </c:pt>
                <c:pt idx="868">
                  <c:v>71.941057583091435</c:v>
                </c:pt>
                <c:pt idx="869">
                  <c:v>72.377765007321401</c:v>
                </c:pt>
                <c:pt idx="870">
                  <c:v>72.817123398617738</c:v>
                </c:pt>
                <c:pt idx="871">
                  <c:v>73.259148849279384</c:v>
                </c:pt>
                <c:pt idx="872">
                  <c:v>73.703857549291087</c:v>
                </c:pt>
                <c:pt idx="873">
                  <c:v>74.151265786916497</c:v>
                </c:pt>
                <c:pt idx="874">
                  <c:v>74.60138994929477</c:v>
                </c:pt>
                <c:pt idx="875">
                  <c:v>75.054246523040561</c:v>
                </c:pt>
                <c:pt idx="876">
                  <c:v>75.509852094848227</c:v>
                </c:pt>
                <c:pt idx="877">
                  <c:v>75.968223352099145</c:v>
                </c:pt>
                <c:pt idx="878">
                  <c:v>76.429377083472914</c:v>
                </c:pt>
                <c:pt idx="879">
                  <c:v>76.893330179562284</c:v>
                </c:pt>
                <c:pt idx="880">
                  <c:v>77.360099633491942</c:v>
                </c:pt>
                <c:pt idx="881">
                  <c:v>77.829702541540527</c:v>
                </c:pt>
                <c:pt idx="882">
                  <c:v>78.302156103767345</c:v>
                </c:pt>
                <c:pt idx="883">
                  <c:v>78.777477624641961</c:v>
                </c:pt>
                <c:pt idx="884">
                  <c:v>79.25568451367819</c:v>
                </c:pt>
                <c:pt idx="885">
                  <c:v>79.736794286071657</c:v>
                </c:pt>
                <c:pt idx="886">
                  <c:v>80.220824563341438</c:v>
                </c:pt>
                <c:pt idx="887">
                  <c:v>80.707793073975196</c:v>
                </c:pt>
                <c:pt idx="888">
                  <c:v>81.197717654078957</c:v>
                </c:pt>
                <c:pt idx="889">
                  <c:v>81.69061624803004</c:v>
                </c:pt>
                <c:pt idx="890">
                  <c:v>82.186506909134451</c:v>
                </c:pt>
                <c:pt idx="891">
                  <c:v>82.685407800288118</c:v>
                </c:pt>
                <c:pt idx="892">
                  <c:v>83.18733719464214</c:v>
                </c:pt>
                <c:pt idx="893">
                  <c:v>83.692313476271821</c:v>
                </c:pt>
                <c:pt idx="894">
                  <c:v>84.200355140850505</c:v>
                </c:pt>
                <c:pt idx="895">
                  <c:v>84.711480796326626</c:v>
                </c:pt>
                <c:pt idx="896">
                  <c:v>85.225709163605458</c:v>
                </c:pt>
                <c:pt idx="897">
                  <c:v>85.743059077234648</c:v>
                </c:pt>
                <c:pt idx="898">
                  <c:v>86.263549486094277</c:v>
                </c:pt>
                <c:pt idx="899">
                  <c:v>86.787199454090498</c:v>
                </c:pt>
                <c:pt idx="900">
                  <c:v>87.314028160854335</c:v>
                </c:pt>
                <c:pt idx="901">
                  <c:v>87.844054902443773</c:v>
                </c:pt>
                <c:pt idx="902">
                  <c:v>88.377299092050649</c:v>
                </c:pt>
                <c:pt idx="903">
                  <c:v>88.913780260711718</c:v>
                </c:pt>
                <c:pt idx="904">
                  <c:v>89.453518058023789</c:v>
                </c:pt>
                <c:pt idx="905">
                  <c:v>89.99653225286383</c:v>
                </c:pt>
                <c:pt idx="906">
                  <c:v>90.542842734112696</c:v>
                </c:pt>
                <c:pt idx="907">
                  <c:v>91.092469511383783</c:v>
                </c:pt>
                <c:pt idx="908">
                  <c:v>91.645432715755788</c:v>
                </c:pt>
                <c:pt idx="909">
                  <c:v>92.201752600510233</c:v>
                </c:pt>
                <c:pt idx="910">
                  <c:v>92.761449541872892</c:v>
                </c:pt>
                <c:pt idx="911">
                  <c:v>93.324544039760625</c:v>
                </c:pt>
                <c:pt idx="912">
                  <c:v>93.891056718531885</c:v>
                </c:pt>
                <c:pt idx="913">
                  <c:v>94.461008327742192</c:v>
                </c:pt>
                <c:pt idx="914">
                  <c:v>95.034419742904134</c:v>
                </c:pt>
                <c:pt idx="915">
                  <c:v>95.611311966252103</c:v>
                </c:pt>
                <c:pt idx="916">
                  <c:v>95.761589999999998</c:v>
                </c:pt>
                <c:pt idx="917">
                  <c:v>95.761589999999998</c:v>
                </c:pt>
                <c:pt idx="918">
                  <c:v>95.761589999999998</c:v>
                </c:pt>
                <c:pt idx="919">
                  <c:v>95.761589999999998</c:v>
                </c:pt>
                <c:pt idx="920">
                  <c:v>95.761589999999998</c:v>
                </c:pt>
                <c:pt idx="921">
                  <c:v>95.761589999999998</c:v>
                </c:pt>
                <c:pt idx="922">
                  <c:v>95.761589999999998</c:v>
                </c:pt>
                <c:pt idx="923">
                  <c:v>95.761589999999998</c:v>
                </c:pt>
                <c:pt idx="924">
                  <c:v>95.761589999999998</c:v>
                </c:pt>
                <c:pt idx="925">
                  <c:v>95.761589999999998</c:v>
                </c:pt>
                <c:pt idx="926">
                  <c:v>95.761589999999998</c:v>
                </c:pt>
                <c:pt idx="927">
                  <c:v>95.761589999999998</c:v>
                </c:pt>
                <c:pt idx="928">
                  <c:v>95.761589999999998</c:v>
                </c:pt>
                <c:pt idx="929">
                  <c:v>95.761589999999998</c:v>
                </c:pt>
                <c:pt idx="930">
                  <c:v>95.761589999999998</c:v>
                </c:pt>
                <c:pt idx="931">
                  <c:v>95.761589999999998</c:v>
                </c:pt>
                <c:pt idx="932">
                  <c:v>95.761589999999998</c:v>
                </c:pt>
                <c:pt idx="933">
                  <c:v>95.761589999999998</c:v>
                </c:pt>
                <c:pt idx="934">
                  <c:v>95.761589999999998</c:v>
                </c:pt>
                <c:pt idx="935">
                  <c:v>95.761589999999998</c:v>
                </c:pt>
                <c:pt idx="936">
                  <c:v>95.761589999999998</c:v>
                </c:pt>
                <c:pt idx="937">
                  <c:v>95.761589999999998</c:v>
                </c:pt>
                <c:pt idx="938">
                  <c:v>95.761589999999998</c:v>
                </c:pt>
                <c:pt idx="939">
                  <c:v>95.761589999999998</c:v>
                </c:pt>
                <c:pt idx="940">
                  <c:v>95.761589999999998</c:v>
                </c:pt>
                <c:pt idx="941">
                  <c:v>95.761589999999998</c:v>
                </c:pt>
                <c:pt idx="942">
                  <c:v>95.761589999999998</c:v>
                </c:pt>
                <c:pt idx="943">
                  <c:v>95.761589999999998</c:v>
                </c:pt>
                <c:pt idx="944">
                  <c:v>95.761589999999998</c:v>
                </c:pt>
                <c:pt idx="945">
                  <c:v>95.761589999999998</c:v>
                </c:pt>
                <c:pt idx="946">
                  <c:v>95.761589999999998</c:v>
                </c:pt>
                <c:pt idx="947">
                  <c:v>95.761589999999998</c:v>
                </c:pt>
                <c:pt idx="948">
                  <c:v>95.761589999999998</c:v>
                </c:pt>
                <c:pt idx="949">
                  <c:v>95.761589999999998</c:v>
                </c:pt>
                <c:pt idx="950">
                  <c:v>95.761589999999998</c:v>
                </c:pt>
                <c:pt idx="951">
                  <c:v>95.761589999999998</c:v>
                </c:pt>
                <c:pt idx="952">
                  <c:v>95.761589999999998</c:v>
                </c:pt>
                <c:pt idx="953">
                  <c:v>95.761589999999998</c:v>
                </c:pt>
                <c:pt idx="954">
                  <c:v>95.761589999999998</c:v>
                </c:pt>
                <c:pt idx="955">
                  <c:v>95.761589999999998</c:v>
                </c:pt>
                <c:pt idx="956">
                  <c:v>95.761589999999998</c:v>
                </c:pt>
                <c:pt idx="957">
                  <c:v>95.761589999999998</c:v>
                </c:pt>
                <c:pt idx="958">
                  <c:v>95.761589999999998</c:v>
                </c:pt>
                <c:pt idx="959">
                  <c:v>95.761589999999998</c:v>
                </c:pt>
                <c:pt idx="960">
                  <c:v>95.761589999999998</c:v>
                </c:pt>
                <c:pt idx="961">
                  <c:v>95.761589999999998</c:v>
                </c:pt>
                <c:pt idx="962">
                  <c:v>95.761589999999998</c:v>
                </c:pt>
                <c:pt idx="963">
                  <c:v>95.761589999999998</c:v>
                </c:pt>
                <c:pt idx="964">
                  <c:v>95.761589999999998</c:v>
                </c:pt>
                <c:pt idx="965">
                  <c:v>95.761589999999998</c:v>
                </c:pt>
                <c:pt idx="966">
                  <c:v>95.761589999999998</c:v>
                </c:pt>
                <c:pt idx="967">
                  <c:v>95.761589999999998</c:v>
                </c:pt>
                <c:pt idx="968">
                  <c:v>95.761589999999998</c:v>
                </c:pt>
                <c:pt idx="969">
                  <c:v>95.761589999999998</c:v>
                </c:pt>
                <c:pt idx="970">
                  <c:v>95.761589999999998</c:v>
                </c:pt>
                <c:pt idx="971">
                  <c:v>95.761589999999998</c:v>
                </c:pt>
                <c:pt idx="972">
                  <c:v>95.761589999999998</c:v>
                </c:pt>
                <c:pt idx="973">
                  <c:v>95.761589999999998</c:v>
                </c:pt>
                <c:pt idx="974">
                  <c:v>95.761589999999998</c:v>
                </c:pt>
                <c:pt idx="975">
                  <c:v>95.761589999999998</c:v>
                </c:pt>
                <c:pt idx="976">
                  <c:v>95.761589999999998</c:v>
                </c:pt>
                <c:pt idx="977">
                  <c:v>95.761589999999998</c:v>
                </c:pt>
                <c:pt idx="978">
                  <c:v>95.761589999999998</c:v>
                </c:pt>
                <c:pt idx="979">
                  <c:v>95.761589999999998</c:v>
                </c:pt>
                <c:pt idx="980">
                  <c:v>95.761589999999998</c:v>
                </c:pt>
                <c:pt idx="981">
                  <c:v>95.761589999999998</c:v>
                </c:pt>
                <c:pt idx="982">
                  <c:v>95.761589999999998</c:v>
                </c:pt>
                <c:pt idx="983">
                  <c:v>95.761589999999998</c:v>
                </c:pt>
                <c:pt idx="984">
                  <c:v>95.761589999999998</c:v>
                </c:pt>
                <c:pt idx="985">
                  <c:v>95.761589999999998</c:v>
                </c:pt>
                <c:pt idx="986">
                  <c:v>95.761589999999998</c:v>
                </c:pt>
                <c:pt idx="987">
                  <c:v>95.761589999999998</c:v>
                </c:pt>
                <c:pt idx="988">
                  <c:v>95.761589999999998</c:v>
                </c:pt>
                <c:pt idx="989">
                  <c:v>95.761589999999998</c:v>
                </c:pt>
                <c:pt idx="990">
                  <c:v>95.761589999999998</c:v>
                </c:pt>
                <c:pt idx="991">
                  <c:v>95.761589999999998</c:v>
                </c:pt>
                <c:pt idx="992">
                  <c:v>95.761589999999998</c:v>
                </c:pt>
                <c:pt idx="993">
                  <c:v>95.761589999999998</c:v>
                </c:pt>
                <c:pt idx="994">
                  <c:v>95.761589999999998</c:v>
                </c:pt>
                <c:pt idx="995">
                  <c:v>95.761589999999998</c:v>
                </c:pt>
                <c:pt idx="996">
                  <c:v>95.761589999999998</c:v>
                </c:pt>
                <c:pt idx="997">
                  <c:v>95.761589999999998</c:v>
                </c:pt>
                <c:pt idx="998">
                  <c:v>95.761589999999998</c:v>
                </c:pt>
                <c:pt idx="999">
                  <c:v>95.761589999999998</c:v>
                </c:pt>
                <c:pt idx="1000">
                  <c:v>95.761589999999998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3F6-4EAF-9638-95FAEB4BBA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145424"/>
        <c:axId val="1518139984"/>
      </c:scatterChart>
      <c:valAx>
        <c:axId val="15181427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51408"/>
        <c:crosses val="autoZero"/>
        <c:crossBetween val="midCat"/>
      </c:valAx>
      <c:valAx>
        <c:axId val="15181514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Water Rate (STB/d)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42704"/>
        <c:crosses val="autoZero"/>
        <c:crossBetween val="midCat"/>
      </c:valAx>
      <c:valAx>
        <c:axId val="151813998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Watercut (%)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45424"/>
        <c:crosses val="max"/>
        <c:crossBetween val="midCat"/>
      </c:valAx>
      <c:valAx>
        <c:axId val="1518145424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518139984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rgbClr val="CCECFF"/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25400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 i="0" cap="all" baseline="0">
                <a:solidFill>
                  <a:sysClr val="windowText" lastClr="000000"/>
                </a:solidFill>
              </a:rPr>
              <a:t>Reservoir Pressure vs Time</a:t>
            </a:r>
          </a:p>
        </c:rich>
      </c:tx>
      <c:layout>
        <c:manualLayout>
          <c:xMode val="edge"/>
          <c:yMode val="edge"/>
          <c:x val="0.10571831152059799"/>
          <c:y val="2.76189603755991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05470622949303"/>
          <c:y val="0.1393853397158184"/>
          <c:w val="0.85217756412742163"/>
          <c:h val="0.59882809278440519"/>
        </c:manualLayout>
      </c:layout>
      <c:scatterChart>
        <c:scatterStyle val="smoothMarker"/>
        <c:varyColors val="0"/>
        <c:ser>
          <c:idx val="3"/>
          <c:order val="3"/>
          <c:tx>
            <c:strRef>
              <c:f>Production_Forecast!$O$10</c:f>
              <c:strCache>
                <c:ptCount val="1"/>
                <c:pt idx="0">
                  <c:v>Pres</c:v>
                </c:pt>
              </c:strCache>
            </c:strRef>
          </c:tx>
          <c:spPr>
            <a:ln w="50800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Production_Forecast!$K$13:$K$1012</c:f>
              <c:numCache>
                <c:formatCode>0.00</c:formatCode>
                <c:ptCount val="1000"/>
                <c:pt idx="0">
                  <c:v>2.990366109806172E-2</c:v>
                </c:pt>
                <c:pt idx="1">
                  <c:v>5.6372837931266531E-2</c:v>
                </c:pt>
                <c:pt idx="2">
                  <c:v>7.9801986620785331E-2</c:v>
                </c:pt>
                <c:pt idx="3">
                  <c:v>0.10054025935871833</c:v>
                </c:pt>
                <c:pt idx="4">
                  <c:v>0.11889670763826224</c:v>
                </c:pt>
                <c:pt idx="5">
                  <c:v>0.1351448878844034</c:v>
                </c:pt>
                <c:pt idx="6">
                  <c:v>0.14952693812041182</c:v>
                </c:pt>
                <c:pt idx="7">
                  <c:v>0.16225718642253756</c:v>
                </c:pt>
                <c:pt idx="8">
                  <c:v>0.17352534493779748</c:v>
                </c:pt>
                <c:pt idx="9">
                  <c:v>0.18349933706360874</c:v>
                </c:pt>
                <c:pt idx="10">
                  <c:v>0.19232779992122867</c:v>
                </c:pt>
                <c:pt idx="11">
                  <c:v>0.20014229941603701</c:v>
                </c:pt>
                <c:pt idx="12">
                  <c:v>0.20705929089453118</c:v>
                </c:pt>
                <c:pt idx="13">
                  <c:v>0.21318185461666689</c:v>
                </c:pt>
                <c:pt idx="14">
                  <c:v>0.21860123190636871</c:v>
                </c:pt>
                <c:pt idx="15">
                  <c:v>0.22339818487264843</c:v>
                </c:pt>
                <c:pt idx="16">
                  <c:v>0.22764419996453475</c:v>
                </c:pt>
                <c:pt idx="17">
                  <c:v>0.23186717293750775</c:v>
                </c:pt>
                <c:pt idx="18">
                  <c:v>0.23609014591048072</c:v>
                </c:pt>
                <c:pt idx="19">
                  <c:v>0.24031311888345366</c:v>
                </c:pt>
                <c:pt idx="20">
                  <c:v>0.24453609185642666</c:v>
                </c:pt>
                <c:pt idx="21">
                  <c:v>0.24875906482939963</c:v>
                </c:pt>
                <c:pt idx="22">
                  <c:v>0.25298203780237261</c:v>
                </c:pt>
                <c:pt idx="23">
                  <c:v>0.25720501077534558</c:v>
                </c:pt>
                <c:pt idx="24">
                  <c:v>0.26142798374831855</c:v>
                </c:pt>
                <c:pt idx="25">
                  <c:v>0.26565095672129152</c:v>
                </c:pt>
                <c:pt idx="26">
                  <c:v>0.26987392969426449</c:v>
                </c:pt>
                <c:pt idx="27">
                  <c:v>0.27409690266723746</c:v>
                </c:pt>
                <c:pt idx="28">
                  <c:v>0.27831987564021043</c:v>
                </c:pt>
                <c:pt idx="29">
                  <c:v>0.28254284861318341</c:v>
                </c:pt>
                <c:pt idx="30">
                  <c:v>0.28676582158615638</c:v>
                </c:pt>
                <c:pt idx="31">
                  <c:v>0.29098879455912929</c:v>
                </c:pt>
                <c:pt idx="32">
                  <c:v>0.29521176753210226</c:v>
                </c:pt>
                <c:pt idx="33">
                  <c:v>0.29943474050507524</c:v>
                </c:pt>
                <c:pt idx="34">
                  <c:v>0.30365771347804821</c:v>
                </c:pt>
                <c:pt idx="35">
                  <c:v>0.30788068645102118</c:v>
                </c:pt>
                <c:pt idx="36">
                  <c:v>0.31210365942399415</c:v>
                </c:pt>
                <c:pt idx="37">
                  <c:v>0.31632663239696712</c:v>
                </c:pt>
                <c:pt idx="38">
                  <c:v>0.32054960536994009</c:v>
                </c:pt>
                <c:pt idx="39">
                  <c:v>0.32477257834291301</c:v>
                </c:pt>
                <c:pt idx="40">
                  <c:v>0.32899555131588593</c:v>
                </c:pt>
                <c:pt idx="41">
                  <c:v>0.3332185242888589</c:v>
                </c:pt>
                <c:pt idx="42">
                  <c:v>0.33744149726183187</c:v>
                </c:pt>
                <c:pt idx="43">
                  <c:v>0.34166447023480484</c:v>
                </c:pt>
                <c:pt idx="44">
                  <c:v>0.34588744320777776</c:v>
                </c:pt>
                <c:pt idx="45">
                  <c:v>0.35011041618075067</c:v>
                </c:pt>
                <c:pt idx="46">
                  <c:v>0.3543333891537237</c:v>
                </c:pt>
                <c:pt idx="47">
                  <c:v>0.35855636212669667</c:v>
                </c:pt>
                <c:pt idx="48">
                  <c:v>0.36277933509966959</c:v>
                </c:pt>
                <c:pt idx="49">
                  <c:v>0.36700230807264256</c:v>
                </c:pt>
                <c:pt idx="50">
                  <c:v>0.37122528104561553</c:v>
                </c:pt>
                <c:pt idx="51">
                  <c:v>0.3754482540185885</c:v>
                </c:pt>
                <c:pt idx="52">
                  <c:v>0.37967122699156142</c:v>
                </c:pt>
                <c:pt idx="53">
                  <c:v>0.38389419996453439</c:v>
                </c:pt>
                <c:pt idx="54">
                  <c:v>0.38811717293750736</c:v>
                </c:pt>
                <c:pt idx="55">
                  <c:v>0.39234014591048039</c:v>
                </c:pt>
                <c:pt idx="56">
                  <c:v>0.39656311888345336</c:v>
                </c:pt>
                <c:pt idx="57">
                  <c:v>0.40078609185642633</c:v>
                </c:pt>
                <c:pt idx="58">
                  <c:v>0.40500906482939925</c:v>
                </c:pt>
                <c:pt idx="59">
                  <c:v>0.40923203780237222</c:v>
                </c:pt>
                <c:pt idx="60">
                  <c:v>0.41345501077534519</c:v>
                </c:pt>
                <c:pt idx="61">
                  <c:v>0.41767798374831816</c:v>
                </c:pt>
                <c:pt idx="62">
                  <c:v>0.42190095672129113</c:v>
                </c:pt>
                <c:pt idx="63">
                  <c:v>0.42612392969426405</c:v>
                </c:pt>
                <c:pt idx="64">
                  <c:v>0.43034690266723702</c:v>
                </c:pt>
                <c:pt idx="65">
                  <c:v>0.43456987564020999</c:v>
                </c:pt>
                <c:pt idx="66">
                  <c:v>0.43879284861318302</c:v>
                </c:pt>
                <c:pt idx="67">
                  <c:v>0.44301582158615599</c:v>
                </c:pt>
                <c:pt idx="68">
                  <c:v>0.44723879455912885</c:v>
                </c:pt>
                <c:pt idx="69">
                  <c:v>0.45146176753210182</c:v>
                </c:pt>
                <c:pt idx="70">
                  <c:v>0.45568474050507479</c:v>
                </c:pt>
                <c:pt idx="71">
                  <c:v>0.45990771347804771</c:v>
                </c:pt>
                <c:pt idx="72">
                  <c:v>0.46413068645102068</c:v>
                </c:pt>
                <c:pt idx="73">
                  <c:v>0.46835365942399365</c:v>
                </c:pt>
                <c:pt idx="74">
                  <c:v>0.47257663239696662</c:v>
                </c:pt>
                <c:pt idx="75">
                  <c:v>0.47679960536993954</c:v>
                </c:pt>
                <c:pt idx="76">
                  <c:v>0.48102257834291251</c:v>
                </c:pt>
                <c:pt idx="77">
                  <c:v>0.48524555131588548</c:v>
                </c:pt>
                <c:pt idx="78">
                  <c:v>0.48946852428885845</c:v>
                </c:pt>
                <c:pt idx="79">
                  <c:v>0.49369149726183137</c:v>
                </c:pt>
                <c:pt idx="80">
                  <c:v>0.49791447023480434</c:v>
                </c:pt>
                <c:pt idx="81">
                  <c:v>0.50213744320777731</c:v>
                </c:pt>
                <c:pt idx="82">
                  <c:v>0.50636041618075023</c:v>
                </c:pt>
                <c:pt idx="83">
                  <c:v>0.51058338915372325</c:v>
                </c:pt>
                <c:pt idx="84">
                  <c:v>0.51480636212669617</c:v>
                </c:pt>
                <c:pt idx="85">
                  <c:v>0.5190293350996692</c:v>
                </c:pt>
                <c:pt idx="86">
                  <c:v>0.52325230807264211</c:v>
                </c:pt>
                <c:pt idx="87">
                  <c:v>0.52747528104561503</c:v>
                </c:pt>
                <c:pt idx="88">
                  <c:v>0.53169825401858806</c:v>
                </c:pt>
                <c:pt idx="89">
                  <c:v>0.53592122699156108</c:v>
                </c:pt>
                <c:pt idx="90">
                  <c:v>0.540144199964534</c:v>
                </c:pt>
                <c:pt idx="91">
                  <c:v>0.54436717293750703</c:v>
                </c:pt>
                <c:pt idx="92">
                  <c:v>0.54859014591047994</c:v>
                </c:pt>
                <c:pt idx="93">
                  <c:v>0.55281311888345286</c:v>
                </c:pt>
                <c:pt idx="94">
                  <c:v>0.55703609185642577</c:v>
                </c:pt>
                <c:pt idx="95">
                  <c:v>0.56125906482939869</c:v>
                </c:pt>
                <c:pt idx="96">
                  <c:v>0.56548203780237172</c:v>
                </c:pt>
                <c:pt idx="97">
                  <c:v>0.56970501077534463</c:v>
                </c:pt>
                <c:pt idx="98">
                  <c:v>0.57392798374831755</c:v>
                </c:pt>
                <c:pt idx="99">
                  <c:v>0.57815095672129058</c:v>
                </c:pt>
                <c:pt idx="100">
                  <c:v>0.58237392969426349</c:v>
                </c:pt>
                <c:pt idx="101">
                  <c:v>0.58659690266723652</c:v>
                </c:pt>
                <c:pt idx="102">
                  <c:v>0.59081987564020955</c:v>
                </c:pt>
                <c:pt idx="103">
                  <c:v>0.59504284861318235</c:v>
                </c:pt>
                <c:pt idx="104">
                  <c:v>0.59926582158615538</c:v>
                </c:pt>
                <c:pt idx="105">
                  <c:v>0.60348879455912829</c:v>
                </c:pt>
                <c:pt idx="106">
                  <c:v>0.60771176753210132</c:v>
                </c:pt>
                <c:pt idx="107">
                  <c:v>0.61193474050507435</c:v>
                </c:pt>
                <c:pt idx="108">
                  <c:v>0.61615771347804726</c:v>
                </c:pt>
                <c:pt idx="109">
                  <c:v>0.62038068645102018</c:v>
                </c:pt>
                <c:pt idx="110">
                  <c:v>0.6246036594239931</c:v>
                </c:pt>
                <c:pt idx="111">
                  <c:v>0.62882663239696601</c:v>
                </c:pt>
                <c:pt idx="112">
                  <c:v>0.63304960536993893</c:v>
                </c:pt>
                <c:pt idx="113">
                  <c:v>0.63727257834291184</c:v>
                </c:pt>
                <c:pt idx="114">
                  <c:v>0.64149555131588487</c:v>
                </c:pt>
                <c:pt idx="115">
                  <c:v>0.64571852428885779</c:v>
                </c:pt>
                <c:pt idx="116">
                  <c:v>0.64994149726183081</c:v>
                </c:pt>
                <c:pt idx="117">
                  <c:v>0.65416447023480373</c:v>
                </c:pt>
                <c:pt idx="118">
                  <c:v>0.65838744320777665</c:v>
                </c:pt>
                <c:pt idx="119">
                  <c:v>0.66261041618074956</c:v>
                </c:pt>
                <c:pt idx="120">
                  <c:v>0.66683338915372248</c:v>
                </c:pt>
                <c:pt idx="121">
                  <c:v>0.67105636212669539</c:v>
                </c:pt>
                <c:pt idx="122">
                  <c:v>0.67527933509966842</c:v>
                </c:pt>
                <c:pt idx="123">
                  <c:v>0.67950230807264134</c:v>
                </c:pt>
                <c:pt idx="124">
                  <c:v>0.68372528104561436</c:v>
                </c:pt>
                <c:pt idx="125">
                  <c:v>0.68794825401858728</c:v>
                </c:pt>
                <c:pt idx="126">
                  <c:v>0.69217122699156008</c:v>
                </c:pt>
                <c:pt idx="127">
                  <c:v>0.69639419996453311</c:v>
                </c:pt>
                <c:pt idx="128">
                  <c:v>0.70061717293750603</c:v>
                </c:pt>
                <c:pt idx="129">
                  <c:v>0.70484014591047917</c:v>
                </c:pt>
                <c:pt idx="130">
                  <c:v>0.70906311888345219</c:v>
                </c:pt>
                <c:pt idx="131">
                  <c:v>0.71328609185642522</c:v>
                </c:pt>
                <c:pt idx="132">
                  <c:v>0.71750906482939814</c:v>
                </c:pt>
                <c:pt idx="133">
                  <c:v>0.72173203780237116</c:v>
                </c:pt>
                <c:pt idx="134">
                  <c:v>0.72595501077534419</c:v>
                </c:pt>
                <c:pt idx="135">
                  <c:v>0.73017798374831722</c:v>
                </c:pt>
                <c:pt idx="136">
                  <c:v>0.73440095672129024</c:v>
                </c:pt>
                <c:pt idx="137">
                  <c:v>0.73862392969426327</c:v>
                </c:pt>
                <c:pt idx="138">
                  <c:v>0.7428469026672363</c:v>
                </c:pt>
                <c:pt idx="139">
                  <c:v>0.74706987564020921</c:v>
                </c:pt>
                <c:pt idx="140">
                  <c:v>0.75129284861318224</c:v>
                </c:pt>
                <c:pt idx="141">
                  <c:v>0.75551582158615527</c:v>
                </c:pt>
                <c:pt idx="142">
                  <c:v>0.75973879455912829</c:v>
                </c:pt>
                <c:pt idx="143">
                  <c:v>0.76396176753210132</c:v>
                </c:pt>
                <c:pt idx="144">
                  <c:v>0.76818474050507435</c:v>
                </c:pt>
                <c:pt idx="145">
                  <c:v>0.77240771347804726</c:v>
                </c:pt>
                <c:pt idx="146">
                  <c:v>0.77663068645102018</c:v>
                </c:pt>
                <c:pt idx="147">
                  <c:v>0.78085365942399321</c:v>
                </c:pt>
                <c:pt idx="148">
                  <c:v>0.78507663239696601</c:v>
                </c:pt>
                <c:pt idx="149">
                  <c:v>0.78929960536993904</c:v>
                </c:pt>
                <c:pt idx="150">
                  <c:v>0.79352257834291196</c:v>
                </c:pt>
                <c:pt idx="151">
                  <c:v>0.79774555131588487</c:v>
                </c:pt>
                <c:pt idx="152">
                  <c:v>0.8019685242888579</c:v>
                </c:pt>
                <c:pt idx="153">
                  <c:v>0.80619149726183092</c:v>
                </c:pt>
                <c:pt idx="154">
                  <c:v>0.81041447023480395</c:v>
                </c:pt>
                <c:pt idx="155">
                  <c:v>0.81463744320777698</c:v>
                </c:pt>
                <c:pt idx="156">
                  <c:v>0.81886041618075001</c:v>
                </c:pt>
                <c:pt idx="157">
                  <c:v>0.82308338915372292</c:v>
                </c:pt>
                <c:pt idx="158">
                  <c:v>0.82730636212669595</c:v>
                </c:pt>
                <c:pt idx="159">
                  <c:v>0.83152933509966898</c:v>
                </c:pt>
                <c:pt idx="160">
                  <c:v>0.835752308072642</c:v>
                </c:pt>
                <c:pt idx="161">
                  <c:v>0.83997528104561503</c:v>
                </c:pt>
                <c:pt idx="162">
                  <c:v>0.84419825401858806</c:v>
                </c:pt>
                <c:pt idx="163">
                  <c:v>0.84842122699156108</c:v>
                </c:pt>
                <c:pt idx="164">
                  <c:v>0.85264419996453422</c:v>
                </c:pt>
                <c:pt idx="165">
                  <c:v>0.85686717293750725</c:v>
                </c:pt>
                <c:pt idx="166">
                  <c:v>0.86109014591048028</c:v>
                </c:pt>
                <c:pt idx="167">
                  <c:v>0.8653131188834533</c:v>
                </c:pt>
                <c:pt idx="168">
                  <c:v>0.86953609185642633</c:v>
                </c:pt>
                <c:pt idx="169">
                  <c:v>0.87375906482939936</c:v>
                </c:pt>
                <c:pt idx="170">
                  <c:v>0.87798203780237238</c:v>
                </c:pt>
                <c:pt idx="171">
                  <c:v>0.88220501077534541</c:v>
                </c:pt>
                <c:pt idx="172">
                  <c:v>0.88642798374831866</c:v>
                </c:pt>
                <c:pt idx="173">
                  <c:v>0.89065095672129146</c:v>
                </c:pt>
                <c:pt idx="174">
                  <c:v>0.89487392969426471</c:v>
                </c:pt>
                <c:pt idx="175">
                  <c:v>0.89909690266723774</c:v>
                </c:pt>
                <c:pt idx="176">
                  <c:v>0.90331987564021077</c:v>
                </c:pt>
                <c:pt idx="177">
                  <c:v>0.90754284861318379</c:v>
                </c:pt>
                <c:pt idx="178">
                  <c:v>0.91176582158615682</c:v>
                </c:pt>
                <c:pt idx="179">
                  <c:v>0.91598879455912985</c:v>
                </c:pt>
                <c:pt idx="180">
                  <c:v>0.92021176753210288</c:v>
                </c:pt>
                <c:pt idx="181">
                  <c:v>0.9244347405050759</c:v>
                </c:pt>
                <c:pt idx="182">
                  <c:v>0.92865771347804893</c:v>
                </c:pt>
                <c:pt idx="183">
                  <c:v>0.93288068645102196</c:v>
                </c:pt>
                <c:pt idx="184">
                  <c:v>0.93710365942399509</c:v>
                </c:pt>
                <c:pt idx="185">
                  <c:v>0.94132663239696812</c:v>
                </c:pt>
                <c:pt idx="186">
                  <c:v>0.94554960536994115</c:v>
                </c:pt>
                <c:pt idx="187">
                  <c:v>0.94977257834291418</c:v>
                </c:pt>
                <c:pt idx="188">
                  <c:v>0.9539955513158872</c:v>
                </c:pt>
                <c:pt idx="189">
                  <c:v>0.95821852428886023</c:v>
                </c:pt>
                <c:pt idx="190">
                  <c:v>0.96244149726183326</c:v>
                </c:pt>
                <c:pt idx="191">
                  <c:v>0.96666447023480628</c:v>
                </c:pt>
                <c:pt idx="192">
                  <c:v>0.97088744320777931</c:v>
                </c:pt>
                <c:pt idx="193">
                  <c:v>0.97511041618075234</c:v>
                </c:pt>
                <c:pt idx="194">
                  <c:v>0.97933338915372536</c:v>
                </c:pt>
                <c:pt idx="195">
                  <c:v>0.98355636212669839</c:v>
                </c:pt>
                <c:pt idx="196">
                  <c:v>0.98777933509967153</c:v>
                </c:pt>
                <c:pt idx="197">
                  <c:v>0.99200230807264467</c:v>
                </c:pt>
                <c:pt idx="198">
                  <c:v>0.99622528104561758</c:v>
                </c:pt>
                <c:pt idx="199">
                  <c:v>1.0004482540185906</c:v>
                </c:pt>
                <c:pt idx="200">
                  <c:v>1.0046712269915636</c:v>
                </c:pt>
                <c:pt idx="201">
                  <c:v>1.0088941999645367</c:v>
                </c:pt>
                <c:pt idx="202">
                  <c:v>1.0131171729375097</c:v>
                </c:pt>
                <c:pt idx="203">
                  <c:v>1.0173401459104827</c:v>
                </c:pt>
                <c:pt idx="204">
                  <c:v>1.0215631188834555</c:v>
                </c:pt>
                <c:pt idx="205">
                  <c:v>1.0257860918564286</c:v>
                </c:pt>
                <c:pt idx="206">
                  <c:v>1.0300090648294018</c:v>
                </c:pt>
                <c:pt idx="207">
                  <c:v>1.0342320378023748</c:v>
                </c:pt>
                <c:pt idx="208">
                  <c:v>1.0384550107753479</c:v>
                </c:pt>
                <c:pt idx="209">
                  <c:v>1.0426779837483211</c:v>
                </c:pt>
                <c:pt idx="210">
                  <c:v>1.0469009567212941</c:v>
                </c:pt>
                <c:pt idx="211">
                  <c:v>1.0511239296942669</c:v>
                </c:pt>
                <c:pt idx="212">
                  <c:v>1.0553469026672402</c:v>
                </c:pt>
                <c:pt idx="213">
                  <c:v>1.059569875640213</c:v>
                </c:pt>
                <c:pt idx="214">
                  <c:v>1.0637928486131862</c:v>
                </c:pt>
                <c:pt idx="215">
                  <c:v>1.0680158215861593</c:v>
                </c:pt>
                <c:pt idx="216">
                  <c:v>1.0722387945591323</c:v>
                </c:pt>
                <c:pt idx="217">
                  <c:v>1.0764617675321051</c:v>
                </c:pt>
                <c:pt idx="218">
                  <c:v>1.0806847405050783</c:v>
                </c:pt>
                <c:pt idx="219">
                  <c:v>1.0849077134780514</c:v>
                </c:pt>
                <c:pt idx="220">
                  <c:v>1.0891306864510244</c:v>
                </c:pt>
                <c:pt idx="221">
                  <c:v>1.0933536594239976</c:v>
                </c:pt>
                <c:pt idx="222">
                  <c:v>1.0975766323969707</c:v>
                </c:pt>
                <c:pt idx="223">
                  <c:v>1.1017996053699435</c:v>
                </c:pt>
                <c:pt idx="224">
                  <c:v>1.1060225783429167</c:v>
                </c:pt>
                <c:pt idx="225">
                  <c:v>1.1102455513158898</c:v>
                </c:pt>
                <c:pt idx="226">
                  <c:v>1.1144685242888628</c:v>
                </c:pt>
                <c:pt idx="227">
                  <c:v>1.1186914972618358</c:v>
                </c:pt>
                <c:pt idx="228">
                  <c:v>1.1229144702348091</c:v>
                </c:pt>
                <c:pt idx="229">
                  <c:v>1.1271374432077819</c:v>
                </c:pt>
                <c:pt idx="230">
                  <c:v>1.1313604161807551</c:v>
                </c:pt>
                <c:pt idx="231">
                  <c:v>1.1355833891537281</c:v>
                </c:pt>
                <c:pt idx="232">
                  <c:v>1.1398063621267012</c:v>
                </c:pt>
                <c:pt idx="233">
                  <c:v>1.144029335099674</c:v>
                </c:pt>
                <c:pt idx="234">
                  <c:v>1.1482523080726472</c:v>
                </c:pt>
                <c:pt idx="235">
                  <c:v>1.15247528104562</c:v>
                </c:pt>
                <c:pt idx="236">
                  <c:v>1.1566982540185931</c:v>
                </c:pt>
                <c:pt idx="237">
                  <c:v>1.1609212269915663</c:v>
                </c:pt>
                <c:pt idx="238">
                  <c:v>1.1651441999645393</c:v>
                </c:pt>
                <c:pt idx="239">
                  <c:v>1.1693671729375124</c:v>
                </c:pt>
                <c:pt idx="240">
                  <c:v>1.1735901459104856</c:v>
                </c:pt>
                <c:pt idx="241">
                  <c:v>1.1778131188834586</c:v>
                </c:pt>
                <c:pt idx="242">
                  <c:v>1.1820360918564317</c:v>
                </c:pt>
                <c:pt idx="243">
                  <c:v>1.1862590648294047</c:v>
                </c:pt>
                <c:pt idx="244">
                  <c:v>1.1904820378023779</c:v>
                </c:pt>
                <c:pt idx="245">
                  <c:v>1.194705010775351</c:v>
                </c:pt>
                <c:pt idx="246">
                  <c:v>1.198927983748324</c:v>
                </c:pt>
                <c:pt idx="247">
                  <c:v>1.2031509567212972</c:v>
                </c:pt>
                <c:pt idx="248">
                  <c:v>1.20737392969427</c:v>
                </c:pt>
                <c:pt idx="249">
                  <c:v>1.2115969026672431</c:v>
                </c:pt>
                <c:pt idx="250">
                  <c:v>1.2158198756402163</c:v>
                </c:pt>
                <c:pt idx="251">
                  <c:v>1.2200428486131893</c:v>
                </c:pt>
                <c:pt idx="252">
                  <c:v>1.2242658215861624</c:v>
                </c:pt>
                <c:pt idx="253">
                  <c:v>1.2284887945591354</c:v>
                </c:pt>
                <c:pt idx="254">
                  <c:v>1.2327117675321086</c:v>
                </c:pt>
                <c:pt idx="255">
                  <c:v>1.2369347405050817</c:v>
                </c:pt>
                <c:pt idx="256">
                  <c:v>1.2411577134780547</c:v>
                </c:pt>
                <c:pt idx="257">
                  <c:v>1.2453806864510277</c:v>
                </c:pt>
                <c:pt idx="258">
                  <c:v>1.249603659424001</c:v>
                </c:pt>
                <c:pt idx="259">
                  <c:v>1.2538266323969742</c:v>
                </c:pt>
                <c:pt idx="260">
                  <c:v>1.2580496053699468</c:v>
                </c:pt>
                <c:pt idx="261">
                  <c:v>1.2622725783429198</c:v>
                </c:pt>
                <c:pt idx="262">
                  <c:v>1.2664955513158929</c:v>
                </c:pt>
                <c:pt idx="263">
                  <c:v>1.2707185242888663</c:v>
                </c:pt>
                <c:pt idx="264">
                  <c:v>1.2749414972618389</c:v>
                </c:pt>
                <c:pt idx="265">
                  <c:v>1.2791644702348122</c:v>
                </c:pt>
                <c:pt idx="266">
                  <c:v>1.283387443207785</c:v>
                </c:pt>
                <c:pt idx="267">
                  <c:v>1.2876104161807582</c:v>
                </c:pt>
                <c:pt idx="268">
                  <c:v>1.291833389153731</c:v>
                </c:pt>
                <c:pt idx="269">
                  <c:v>1.2960563621267043</c:v>
                </c:pt>
                <c:pt idx="270">
                  <c:v>1.3002793350996773</c:v>
                </c:pt>
                <c:pt idx="271">
                  <c:v>1.3045023080726503</c:v>
                </c:pt>
                <c:pt idx="272">
                  <c:v>1.3087252810456236</c:v>
                </c:pt>
                <c:pt idx="273">
                  <c:v>1.3129482540185966</c:v>
                </c:pt>
                <c:pt idx="274">
                  <c:v>1.3171712269915696</c:v>
                </c:pt>
                <c:pt idx="275">
                  <c:v>1.3213941999645427</c:v>
                </c:pt>
                <c:pt idx="276">
                  <c:v>1.3256171729375157</c:v>
                </c:pt>
                <c:pt idx="277">
                  <c:v>1.3298401459104889</c:v>
                </c:pt>
                <c:pt idx="278">
                  <c:v>1.3340631188834617</c:v>
                </c:pt>
                <c:pt idx="279">
                  <c:v>1.338286091856435</c:v>
                </c:pt>
                <c:pt idx="280">
                  <c:v>1.3425090648294078</c:v>
                </c:pt>
                <c:pt idx="281">
                  <c:v>1.346732037802381</c:v>
                </c:pt>
                <c:pt idx="282">
                  <c:v>1.3509550107753536</c:v>
                </c:pt>
                <c:pt idx="283">
                  <c:v>1.3551779837483271</c:v>
                </c:pt>
                <c:pt idx="284">
                  <c:v>1.3594009567213001</c:v>
                </c:pt>
                <c:pt idx="285">
                  <c:v>1.3636239296942732</c:v>
                </c:pt>
                <c:pt idx="286">
                  <c:v>1.3678469026672462</c:v>
                </c:pt>
                <c:pt idx="287">
                  <c:v>1.3720698756402192</c:v>
                </c:pt>
                <c:pt idx="288">
                  <c:v>1.3762928486131925</c:v>
                </c:pt>
                <c:pt idx="289">
                  <c:v>1.3805158215861653</c:v>
                </c:pt>
                <c:pt idx="290">
                  <c:v>1.3847387945591385</c:v>
                </c:pt>
                <c:pt idx="291">
                  <c:v>1.3889617675321111</c:v>
                </c:pt>
                <c:pt idx="292">
                  <c:v>1.3931847405050846</c:v>
                </c:pt>
                <c:pt idx="293">
                  <c:v>1.3974077134780571</c:v>
                </c:pt>
                <c:pt idx="294">
                  <c:v>1.4016306864510304</c:v>
                </c:pt>
                <c:pt idx="295">
                  <c:v>1.4058536594240032</c:v>
                </c:pt>
                <c:pt idx="296">
                  <c:v>1.4100766323969764</c:v>
                </c:pt>
                <c:pt idx="297">
                  <c:v>1.4142996053699495</c:v>
                </c:pt>
                <c:pt idx="298">
                  <c:v>1.4185225783429223</c:v>
                </c:pt>
                <c:pt idx="299">
                  <c:v>1.4227455513158951</c:v>
                </c:pt>
                <c:pt idx="300">
                  <c:v>1.4269685242888683</c:v>
                </c:pt>
                <c:pt idx="301">
                  <c:v>1.4311914972618411</c:v>
                </c:pt>
                <c:pt idx="302">
                  <c:v>1.4354144702348144</c:v>
                </c:pt>
                <c:pt idx="303">
                  <c:v>1.4396374432077872</c:v>
                </c:pt>
                <c:pt idx="304">
                  <c:v>1.4438604161807609</c:v>
                </c:pt>
                <c:pt idx="305">
                  <c:v>1.4480833891537337</c:v>
                </c:pt>
                <c:pt idx="306">
                  <c:v>1.4523063621267069</c:v>
                </c:pt>
                <c:pt idx="307">
                  <c:v>1.4565293350996797</c:v>
                </c:pt>
                <c:pt idx="308">
                  <c:v>1.4607523080726532</c:v>
                </c:pt>
                <c:pt idx="309">
                  <c:v>1.464975281045626</c:v>
                </c:pt>
                <c:pt idx="310">
                  <c:v>1.469198254018599</c:v>
                </c:pt>
                <c:pt idx="311">
                  <c:v>1.4734212269915719</c:v>
                </c:pt>
                <c:pt idx="312">
                  <c:v>1.4776441999645451</c:v>
                </c:pt>
                <c:pt idx="313">
                  <c:v>1.4818671729375184</c:v>
                </c:pt>
                <c:pt idx="314">
                  <c:v>1.4860901459104912</c:v>
                </c:pt>
                <c:pt idx="315">
                  <c:v>1.490313118883464</c:v>
                </c:pt>
                <c:pt idx="316">
                  <c:v>1.494536091856437</c:v>
                </c:pt>
                <c:pt idx="317">
                  <c:v>1.49875906482941</c:v>
                </c:pt>
                <c:pt idx="318">
                  <c:v>1.502982037802383</c:v>
                </c:pt>
                <c:pt idx="319">
                  <c:v>1.5072050107753558</c:v>
                </c:pt>
                <c:pt idx="320">
                  <c:v>1.5114279837483291</c:v>
                </c:pt>
                <c:pt idx="321">
                  <c:v>1.5156509567213019</c:v>
                </c:pt>
                <c:pt idx="322">
                  <c:v>1.5198739296942751</c:v>
                </c:pt>
                <c:pt idx="323">
                  <c:v>1.524096902667248</c:v>
                </c:pt>
                <c:pt idx="324">
                  <c:v>1.5283198756402212</c:v>
                </c:pt>
                <c:pt idx="325">
                  <c:v>1.532542848613194</c:v>
                </c:pt>
                <c:pt idx="326">
                  <c:v>1.5367658215861673</c:v>
                </c:pt>
                <c:pt idx="327">
                  <c:v>1.5409887945591405</c:v>
                </c:pt>
                <c:pt idx="328">
                  <c:v>1.5452117675321133</c:v>
                </c:pt>
                <c:pt idx="329">
                  <c:v>1.5494347405050868</c:v>
                </c:pt>
                <c:pt idx="330">
                  <c:v>1.5536577134780598</c:v>
                </c:pt>
                <c:pt idx="331">
                  <c:v>1.5578806864510328</c:v>
                </c:pt>
                <c:pt idx="332">
                  <c:v>1.5621036594240059</c:v>
                </c:pt>
                <c:pt idx="333">
                  <c:v>1.5663266323969793</c:v>
                </c:pt>
                <c:pt idx="334">
                  <c:v>1.5705496053699521</c:v>
                </c:pt>
                <c:pt idx="335">
                  <c:v>1.5747725783429252</c:v>
                </c:pt>
                <c:pt idx="336">
                  <c:v>1.578995551315898</c:v>
                </c:pt>
                <c:pt idx="337">
                  <c:v>1.5832185242888712</c:v>
                </c:pt>
                <c:pt idx="338">
                  <c:v>1.5874414972618442</c:v>
                </c:pt>
                <c:pt idx="339">
                  <c:v>1.5916644702348173</c:v>
                </c:pt>
                <c:pt idx="340">
                  <c:v>1.5958874432077901</c:v>
                </c:pt>
                <c:pt idx="341">
                  <c:v>1.6001104161807629</c:v>
                </c:pt>
                <c:pt idx="342">
                  <c:v>1.6043333891537361</c:v>
                </c:pt>
                <c:pt idx="343">
                  <c:v>1.6085563621267089</c:v>
                </c:pt>
                <c:pt idx="344">
                  <c:v>1.612779335099682</c:v>
                </c:pt>
                <c:pt idx="345">
                  <c:v>1.6170023080726552</c:v>
                </c:pt>
                <c:pt idx="346">
                  <c:v>1.621225281045628</c:v>
                </c:pt>
                <c:pt idx="347">
                  <c:v>1.6254482540186013</c:v>
                </c:pt>
                <c:pt idx="348">
                  <c:v>1.6296712269915741</c:v>
                </c:pt>
                <c:pt idx="349">
                  <c:v>1.6338941999645473</c:v>
                </c:pt>
                <c:pt idx="350">
                  <c:v>1.6381171729375201</c:v>
                </c:pt>
                <c:pt idx="351">
                  <c:v>1.6423401459104934</c:v>
                </c:pt>
                <c:pt idx="352">
                  <c:v>1.6465631188834662</c:v>
                </c:pt>
                <c:pt idx="353">
                  <c:v>1.650786091856439</c:v>
                </c:pt>
                <c:pt idx="354">
                  <c:v>1.6550090648294122</c:v>
                </c:pt>
                <c:pt idx="355">
                  <c:v>1.6592320378023853</c:v>
                </c:pt>
                <c:pt idx="356">
                  <c:v>1.6634550107753581</c:v>
                </c:pt>
                <c:pt idx="357">
                  <c:v>1.6676779837483309</c:v>
                </c:pt>
                <c:pt idx="358">
                  <c:v>1.6719009567213041</c:v>
                </c:pt>
                <c:pt idx="359">
                  <c:v>1.6761239296942774</c:v>
                </c:pt>
                <c:pt idx="360">
                  <c:v>1.6803469026672502</c:v>
                </c:pt>
                <c:pt idx="361">
                  <c:v>1.684569875640223</c:v>
                </c:pt>
                <c:pt idx="362">
                  <c:v>1.688792848613196</c:v>
                </c:pt>
                <c:pt idx="363">
                  <c:v>1.6930158215861695</c:v>
                </c:pt>
                <c:pt idx="364">
                  <c:v>1.6972387945591423</c:v>
                </c:pt>
                <c:pt idx="365">
                  <c:v>1.7014617675321155</c:v>
                </c:pt>
                <c:pt idx="366">
                  <c:v>1.7056847405050883</c:v>
                </c:pt>
                <c:pt idx="367">
                  <c:v>1.7099077134780616</c:v>
                </c:pt>
                <c:pt idx="368">
                  <c:v>1.7141306864510344</c:v>
                </c:pt>
                <c:pt idx="369">
                  <c:v>1.7183536594240074</c:v>
                </c:pt>
                <c:pt idx="370">
                  <c:v>1.7225766323969804</c:v>
                </c:pt>
                <c:pt idx="371">
                  <c:v>1.7267996053699535</c:v>
                </c:pt>
                <c:pt idx="372">
                  <c:v>1.7310225783429267</c:v>
                </c:pt>
                <c:pt idx="373">
                  <c:v>1.7352455513158995</c:v>
                </c:pt>
                <c:pt idx="374">
                  <c:v>1.7394685242888728</c:v>
                </c:pt>
                <c:pt idx="375">
                  <c:v>1.7436914972618456</c:v>
                </c:pt>
                <c:pt idx="376">
                  <c:v>1.7479144702348188</c:v>
                </c:pt>
                <c:pt idx="377">
                  <c:v>1.7521374432077916</c:v>
                </c:pt>
                <c:pt idx="378">
                  <c:v>1.7563604161807644</c:v>
                </c:pt>
                <c:pt idx="379">
                  <c:v>1.7605833891537377</c:v>
                </c:pt>
                <c:pt idx="380">
                  <c:v>1.7648063621267105</c:v>
                </c:pt>
                <c:pt idx="381">
                  <c:v>1.7690293350996835</c:v>
                </c:pt>
                <c:pt idx="382">
                  <c:v>1.7732523080726563</c:v>
                </c:pt>
                <c:pt idx="383">
                  <c:v>1.7774752810456296</c:v>
                </c:pt>
                <c:pt idx="384">
                  <c:v>1.7816982540186028</c:v>
                </c:pt>
                <c:pt idx="385">
                  <c:v>1.7859212269915756</c:v>
                </c:pt>
                <c:pt idx="386">
                  <c:v>1.7901441999645484</c:v>
                </c:pt>
                <c:pt idx="387">
                  <c:v>1.7943671729375215</c:v>
                </c:pt>
                <c:pt idx="388">
                  <c:v>1.7985901459104949</c:v>
                </c:pt>
                <c:pt idx="389">
                  <c:v>1.8028131188834677</c:v>
                </c:pt>
                <c:pt idx="390">
                  <c:v>1.807036091856441</c:v>
                </c:pt>
                <c:pt idx="391">
                  <c:v>1.8112590648294138</c:v>
                </c:pt>
                <c:pt idx="392">
                  <c:v>1.8154820378023873</c:v>
                </c:pt>
                <c:pt idx="393">
                  <c:v>1.8197050107753603</c:v>
                </c:pt>
                <c:pt idx="394">
                  <c:v>1.8239279837483333</c:v>
                </c:pt>
                <c:pt idx="395">
                  <c:v>1.8281509567213063</c:v>
                </c:pt>
                <c:pt idx="396">
                  <c:v>1.8323739296942796</c:v>
                </c:pt>
                <c:pt idx="397">
                  <c:v>1.8365969026672524</c:v>
                </c:pt>
                <c:pt idx="398">
                  <c:v>1.8408198756402252</c:v>
                </c:pt>
                <c:pt idx="399">
                  <c:v>1.8450428486131982</c:v>
                </c:pt>
                <c:pt idx="400">
                  <c:v>1.8492658215861717</c:v>
                </c:pt>
                <c:pt idx="401">
                  <c:v>1.8534887945591445</c:v>
                </c:pt>
                <c:pt idx="402">
                  <c:v>1.857711767532118</c:v>
                </c:pt>
                <c:pt idx="403">
                  <c:v>1.8619347405050908</c:v>
                </c:pt>
                <c:pt idx="404">
                  <c:v>1.8661577134780645</c:v>
                </c:pt>
                <c:pt idx="405">
                  <c:v>1.8703806864510373</c:v>
                </c:pt>
                <c:pt idx="406">
                  <c:v>1.8746036594240101</c:v>
                </c:pt>
                <c:pt idx="407">
                  <c:v>1.8788266323969836</c:v>
                </c:pt>
                <c:pt idx="408">
                  <c:v>1.8830496053699568</c:v>
                </c:pt>
                <c:pt idx="409">
                  <c:v>1.8872725783429298</c:v>
                </c:pt>
                <c:pt idx="410">
                  <c:v>1.8914955513159026</c:v>
                </c:pt>
                <c:pt idx="411">
                  <c:v>1.8957185242888752</c:v>
                </c:pt>
                <c:pt idx="412">
                  <c:v>1.899941497261848</c:v>
                </c:pt>
                <c:pt idx="413">
                  <c:v>1.9041644702348215</c:v>
                </c:pt>
                <c:pt idx="414">
                  <c:v>1.908387443207795</c:v>
                </c:pt>
                <c:pt idx="415">
                  <c:v>1.9126104161807675</c:v>
                </c:pt>
                <c:pt idx="416">
                  <c:v>1.9168333891537406</c:v>
                </c:pt>
                <c:pt idx="417">
                  <c:v>1.921056362126714</c:v>
                </c:pt>
                <c:pt idx="418">
                  <c:v>1.9252793350996869</c:v>
                </c:pt>
                <c:pt idx="419">
                  <c:v>1.9295023080726599</c:v>
                </c:pt>
                <c:pt idx="420">
                  <c:v>1.9337252810456327</c:v>
                </c:pt>
                <c:pt idx="421">
                  <c:v>1.9379482540186062</c:v>
                </c:pt>
                <c:pt idx="422">
                  <c:v>1.942171226991579</c:v>
                </c:pt>
                <c:pt idx="423">
                  <c:v>1.9463941999645515</c:v>
                </c:pt>
                <c:pt idx="424">
                  <c:v>1.9506171729375246</c:v>
                </c:pt>
                <c:pt idx="425">
                  <c:v>1.954840145910498</c:v>
                </c:pt>
                <c:pt idx="426">
                  <c:v>1.9590631188834708</c:v>
                </c:pt>
                <c:pt idx="427">
                  <c:v>1.9632860918564436</c:v>
                </c:pt>
                <c:pt idx="428">
                  <c:v>1.9675090648294167</c:v>
                </c:pt>
                <c:pt idx="429">
                  <c:v>1.9717320378023901</c:v>
                </c:pt>
                <c:pt idx="430">
                  <c:v>1.975955010775363</c:v>
                </c:pt>
                <c:pt idx="431">
                  <c:v>1.9801779837483355</c:v>
                </c:pt>
                <c:pt idx="432">
                  <c:v>1.984400956721309</c:v>
                </c:pt>
                <c:pt idx="433">
                  <c:v>1.9886239296942827</c:v>
                </c:pt>
                <c:pt idx="434">
                  <c:v>1.9928469026672555</c:v>
                </c:pt>
                <c:pt idx="435">
                  <c:v>1.9970698756402281</c:v>
                </c:pt>
                <c:pt idx="436">
                  <c:v>2.0012928486132009</c:v>
                </c:pt>
                <c:pt idx="437">
                  <c:v>2.0055158215861737</c:v>
                </c:pt>
                <c:pt idx="438">
                  <c:v>2.0097387945591474</c:v>
                </c:pt>
                <c:pt idx="439">
                  <c:v>2.0139617675321202</c:v>
                </c:pt>
                <c:pt idx="440">
                  <c:v>2.018184740505093</c:v>
                </c:pt>
                <c:pt idx="441">
                  <c:v>2.0224077134780658</c:v>
                </c:pt>
                <c:pt idx="442">
                  <c:v>2.0266306864510395</c:v>
                </c:pt>
                <c:pt idx="443">
                  <c:v>2.0308536594240119</c:v>
                </c:pt>
                <c:pt idx="444">
                  <c:v>2.0350766323969856</c:v>
                </c:pt>
                <c:pt idx="445">
                  <c:v>2.0392996053699584</c:v>
                </c:pt>
                <c:pt idx="446">
                  <c:v>2.0435225783429321</c:v>
                </c:pt>
                <c:pt idx="447">
                  <c:v>2.0477455513159049</c:v>
                </c:pt>
                <c:pt idx="448">
                  <c:v>2.0519685242888772</c:v>
                </c:pt>
                <c:pt idx="449">
                  <c:v>2.05619149726185</c:v>
                </c:pt>
                <c:pt idx="450">
                  <c:v>2.0604144702348237</c:v>
                </c:pt>
                <c:pt idx="451">
                  <c:v>2.0646374432077965</c:v>
                </c:pt>
                <c:pt idx="452">
                  <c:v>2.0688604161807693</c:v>
                </c:pt>
                <c:pt idx="453">
                  <c:v>2.0730833891537426</c:v>
                </c:pt>
                <c:pt idx="454">
                  <c:v>2.0773063621267158</c:v>
                </c:pt>
                <c:pt idx="455">
                  <c:v>2.0815293350996886</c:v>
                </c:pt>
                <c:pt idx="456">
                  <c:v>2.0857523080726614</c:v>
                </c:pt>
                <c:pt idx="457">
                  <c:v>2.0899752810456347</c:v>
                </c:pt>
                <c:pt idx="458">
                  <c:v>2.0941982540186084</c:v>
                </c:pt>
                <c:pt idx="459">
                  <c:v>2.0984212269915812</c:v>
                </c:pt>
                <c:pt idx="460">
                  <c:v>2.102644199964554</c:v>
                </c:pt>
                <c:pt idx="461">
                  <c:v>2.1068671729375268</c:v>
                </c:pt>
                <c:pt idx="462">
                  <c:v>2.1110901459104996</c:v>
                </c:pt>
                <c:pt idx="463">
                  <c:v>2.1153131188834728</c:v>
                </c:pt>
                <c:pt idx="464">
                  <c:v>2.1195360918564461</c:v>
                </c:pt>
                <c:pt idx="465">
                  <c:v>2.1237590648294189</c:v>
                </c:pt>
                <c:pt idx="466">
                  <c:v>2.1279820378023917</c:v>
                </c:pt>
                <c:pt idx="467">
                  <c:v>2.1322050107753654</c:v>
                </c:pt>
                <c:pt idx="468">
                  <c:v>2.1364279837483378</c:v>
                </c:pt>
                <c:pt idx="469">
                  <c:v>2.1406509567213114</c:v>
                </c:pt>
                <c:pt idx="470">
                  <c:v>2.1448739296942843</c:v>
                </c:pt>
                <c:pt idx="471">
                  <c:v>2.1490969026672575</c:v>
                </c:pt>
                <c:pt idx="472">
                  <c:v>2.1533198756402303</c:v>
                </c:pt>
                <c:pt idx="473">
                  <c:v>2.1575428486132031</c:v>
                </c:pt>
                <c:pt idx="474">
                  <c:v>2.1617658215861759</c:v>
                </c:pt>
                <c:pt idx="475">
                  <c:v>2.1659887945591496</c:v>
                </c:pt>
                <c:pt idx="476">
                  <c:v>2.170211767532122</c:v>
                </c:pt>
                <c:pt idx="477">
                  <c:v>2.1744347405050957</c:v>
                </c:pt>
                <c:pt idx="478">
                  <c:v>2.1786577134780685</c:v>
                </c:pt>
                <c:pt idx="479">
                  <c:v>2.1828806864510422</c:v>
                </c:pt>
                <c:pt idx="480">
                  <c:v>2.1871036594240145</c:v>
                </c:pt>
                <c:pt idx="481">
                  <c:v>2.1913266323969873</c:v>
                </c:pt>
                <c:pt idx="482">
                  <c:v>2.195549605369961</c:v>
                </c:pt>
                <c:pt idx="483">
                  <c:v>2.1997725783429343</c:v>
                </c:pt>
                <c:pt idx="484">
                  <c:v>2.2039955513159071</c:v>
                </c:pt>
                <c:pt idx="485">
                  <c:v>2.2082185242888799</c:v>
                </c:pt>
                <c:pt idx="486">
                  <c:v>2.2124414972618527</c:v>
                </c:pt>
                <c:pt idx="487">
                  <c:v>2.2166644702348255</c:v>
                </c:pt>
                <c:pt idx="488">
                  <c:v>2.2208874432077992</c:v>
                </c:pt>
                <c:pt idx="489">
                  <c:v>2.225110416180772</c:v>
                </c:pt>
                <c:pt idx="490">
                  <c:v>2.2293333891537448</c:v>
                </c:pt>
                <c:pt idx="491">
                  <c:v>2.2335563621267176</c:v>
                </c:pt>
                <c:pt idx="492">
                  <c:v>2.2377793350996913</c:v>
                </c:pt>
                <c:pt idx="493">
                  <c:v>2.2420023080726637</c:v>
                </c:pt>
                <c:pt idx="494">
                  <c:v>2.2462252810456373</c:v>
                </c:pt>
                <c:pt idx="495">
                  <c:v>2.2504482540186102</c:v>
                </c:pt>
                <c:pt idx="496">
                  <c:v>2.2546712269915838</c:v>
                </c:pt>
                <c:pt idx="497">
                  <c:v>2.2588941999645562</c:v>
                </c:pt>
                <c:pt idx="498">
                  <c:v>2.263117172937529</c:v>
                </c:pt>
                <c:pt idx="499">
                  <c:v>2.2673401459105027</c:v>
                </c:pt>
                <c:pt idx="500">
                  <c:v>2.2715631188834755</c:v>
                </c:pt>
                <c:pt idx="501">
                  <c:v>2.2757860918564483</c:v>
                </c:pt>
                <c:pt idx="502">
                  <c:v>2.2800090648294216</c:v>
                </c:pt>
                <c:pt idx="503">
                  <c:v>2.2842320378023944</c:v>
                </c:pt>
                <c:pt idx="504">
                  <c:v>2.2884550107753672</c:v>
                </c:pt>
                <c:pt idx="505">
                  <c:v>2.2926779837483404</c:v>
                </c:pt>
                <c:pt idx="506">
                  <c:v>2.2969009567213137</c:v>
                </c:pt>
                <c:pt idx="507">
                  <c:v>2.3011239296942865</c:v>
                </c:pt>
                <c:pt idx="508">
                  <c:v>2.3053469026672602</c:v>
                </c:pt>
                <c:pt idx="509">
                  <c:v>2.3095698756402325</c:v>
                </c:pt>
                <c:pt idx="510">
                  <c:v>2.3137928486132058</c:v>
                </c:pt>
                <c:pt idx="511">
                  <c:v>2.3180158215861786</c:v>
                </c:pt>
                <c:pt idx="512">
                  <c:v>2.3222387945591514</c:v>
                </c:pt>
                <c:pt idx="513">
                  <c:v>2.3264617675321242</c:v>
                </c:pt>
                <c:pt idx="514">
                  <c:v>2.330684740505097</c:v>
                </c:pt>
                <c:pt idx="515">
                  <c:v>2.3349077134780707</c:v>
                </c:pt>
                <c:pt idx="516">
                  <c:v>2.3391306864510439</c:v>
                </c:pt>
                <c:pt idx="517">
                  <c:v>2.3433536594240167</c:v>
                </c:pt>
                <c:pt idx="518">
                  <c:v>2.3475766323969895</c:v>
                </c:pt>
                <c:pt idx="519">
                  <c:v>2.3517996053699632</c:v>
                </c:pt>
                <c:pt idx="520">
                  <c:v>2.356022578342936</c:v>
                </c:pt>
                <c:pt idx="521">
                  <c:v>2.3602455513159084</c:v>
                </c:pt>
                <c:pt idx="522">
                  <c:v>2.3644685242888812</c:v>
                </c:pt>
                <c:pt idx="523">
                  <c:v>2.3686914972618553</c:v>
                </c:pt>
                <c:pt idx="524">
                  <c:v>2.3729144702348282</c:v>
                </c:pt>
                <c:pt idx="525">
                  <c:v>2.3771374432078005</c:v>
                </c:pt>
                <c:pt idx="526">
                  <c:v>2.3813604161807738</c:v>
                </c:pt>
                <c:pt idx="527">
                  <c:v>2.385583389153747</c:v>
                </c:pt>
                <c:pt idx="528">
                  <c:v>2.3898063621267198</c:v>
                </c:pt>
                <c:pt idx="529">
                  <c:v>2.3940293350996926</c:v>
                </c:pt>
                <c:pt idx="530">
                  <c:v>2.3982523080726659</c:v>
                </c:pt>
                <c:pt idx="531">
                  <c:v>2.4024752810456391</c:v>
                </c:pt>
                <c:pt idx="532">
                  <c:v>2.4066982540186119</c:v>
                </c:pt>
                <c:pt idx="533">
                  <c:v>2.4109212269915856</c:v>
                </c:pt>
                <c:pt idx="534">
                  <c:v>2.415144199964558</c:v>
                </c:pt>
                <c:pt idx="535">
                  <c:v>2.4193671729375312</c:v>
                </c:pt>
                <c:pt idx="536">
                  <c:v>2.423590145910504</c:v>
                </c:pt>
                <c:pt idx="537">
                  <c:v>2.4278131188834768</c:v>
                </c:pt>
                <c:pt idx="538">
                  <c:v>2.4320360918564496</c:v>
                </c:pt>
                <c:pt idx="539">
                  <c:v>2.4362590648294224</c:v>
                </c:pt>
                <c:pt idx="540">
                  <c:v>2.4404820378023961</c:v>
                </c:pt>
                <c:pt idx="541">
                  <c:v>2.4447050107753694</c:v>
                </c:pt>
                <c:pt idx="542">
                  <c:v>2.4489279837483422</c:v>
                </c:pt>
                <c:pt idx="543">
                  <c:v>2.453150956721315</c:v>
                </c:pt>
                <c:pt idx="544">
                  <c:v>2.4573739296942887</c:v>
                </c:pt>
                <c:pt idx="545">
                  <c:v>2.4615969026672615</c:v>
                </c:pt>
                <c:pt idx="546">
                  <c:v>2.4658198756402339</c:v>
                </c:pt>
                <c:pt idx="547">
                  <c:v>2.4700428486132067</c:v>
                </c:pt>
                <c:pt idx="548">
                  <c:v>2.4742658215861808</c:v>
                </c:pt>
                <c:pt idx="549">
                  <c:v>2.4784887945591536</c:v>
                </c:pt>
                <c:pt idx="550">
                  <c:v>2.482711767532126</c:v>
                </c:pt>
                <c:pt idx="551">
                  <c:v>2.4869347405050988</c:v>
                </c:pt>
                <c:pt idx="552">
                  <c:v>2.4911577134780725</c:v>
                </c:pt>
                <c:pt idx="553">
                  <c:v>2.4953806864510453</c:v>
                </c:pt>
                <c:pt idx="554">
                  <c:v>2.4996036594240181</c:v>
                </c:pt>
                <c:pt idx="555">
                  <c:v>2.5038266323969913</c:v>
                </c:pt>
                <c:pt idx="556">
                  <c:v>2.508049605369965</c:v>
                </c:pt>
                <c:pt idx="557">
                  <c:v>2.5122725783429378</c:v>
                </c:pt>
                <c:pt idx="558">
                  <c:v>2.5164955513159106</c:v>
                </c:pt>
                <c:pt idx="559">
                  <c:v>2.5207185242888834</c:v>
                </c:pt>
                <c:pt idx="560">
                  <c:v>2.5249414972618567</c:v>
                </c:pt>
                <c:pt idx="561">
                  <c:v>2.5291644702348295</c:v>
                </c:pt>
                <c:pt idx="562">
                  <c:v>2.5333874432078023</c:v>
                </c:pt>
                <c:pt idx="563">
                  <c:v>2.5376104161807751</c:v>
                </c:pt>
                <c:pt idx="564">
                  <c:v>2.5418333891537479</c:v>
                </c:pt>
                <c:pt idx="565">
                  <c:v>2.5460563621267216</c:v>
                </c:pt>
                <c:pt idx="566">
                  <c:v>2.5502793350996944</c:v>
                </c:pt>
                <c:pt idx="567">
                  <c:v>2.5545023080726672</c:v>
                </c:pt>
                <c:pt idx="568">
                  <c:v>2.55872528104564</c:v>
                </c:pt>
                <c:pt idx="569">
                  <c:v>2.5629482540186137</c:v>
                </c:pt>
                <c:pt idx="570">
                  <c:v>2.5671712269915865</c:v>
                </c:pt>
                <c:pt idx="571">
                  <c:v>2.5713941999645589</c:v>
                </c:pt>
                <c:pt idx="572">
                  <c:v>2.5756171729375321</c:v>
                </c:pt>
                <c:pt idx="573">
                  <c:v>2.5798401459105058</c:v>
                </c:pt>
                <c:pt idx="574">
                  <c:v>2.5840631188834786</c:v>
                </c:pt>
                <c:pt idx="575">
                  <c:v>2.5882860918564514</c:v>
                </c:pt>
                <c:pt idx="576">
                  <c:v>2.5925090648294242</c:v>
                </c:pt>
                <c:pt idx="577">
                  <c:v>2.5967320378023975</c:v>
                </c:pt>
                <c:pt idx="578">
                  <c:v>2.6009550107753703</c:v>
                </c:pt>
                <c:pt idx="579">
                  <c:v>2.6051779837483431</c:v>
                </c:pt>
                <c:pt idx="580">
                  <c:v>2.6094009567213168</c:v>
                </c:pt>
                <c:pt idx="581">
                  <c:v>2.61362392969429</c:v>
                </c:pt>
                <c:pt idx="582">
                  <c:v>2.6178469026672628</c:v>
                </c:pt>
                <c:pt idx="583">
                  <c:v>2.6220698756402356</c:v>
                </c:pt>
                <c:pt idx="584">
                  <c:v>2.6262928486132089</c:v>
                </c:pt>
                <c:pt idx="585">
                  <c:v>2.6305158215861817</c:v>
                </c:pt>
                <c:pt idx="586">
                  <c:v>2.6347387945591545</c:v>
                </c:pt>
                <c:pt idx="587">
                  <c:v>2.6389617675321269</c:v>
                </c:pt>
                <c:pt idx="588">
                  <c:v>2.6431847405051005</c:v>
                </c:pt>
                <c:pt idx="589">
                  <c:v>2.6474077134780734</c:v>
                </c:pt>
                <c:pt idx="590">
                  <c:v>2.651630686451047</c:v>
                </c:pt>
                <c:pt idx="591">
                  <c:v>2.6558536594240199</c:v>
                </c:pt>
                <c:pt idx="592">
                  <c:v>2.6600766323969927</c:v>
                </c:pt>
                <c:pt idx="593">
                  <c:v>2.6642996053699655</c:v>
                </c:pt>
                <c:pt idx="594">
                  <c:v>2.6685225783429392</c:v>
                </c:pt>
                <c:pt idx="595">
                  <c:v>2.6727455513159115</c:v>
                </c:pt>
                <c:pt idx="596">
                  <c:v>2.6769685242888843</c:v>
                </c:pt>
                <c:pt idx="597">
                  <c:v>2.6811914972618576</c:v>
                </c:pt>
                <c:pt idx="598">
                  <c:v>2.6854144702348313</c:v>
                </c:pt>
                <c:pt idx="599">
                  <c:v>2.6896374432078036</c:v>
                </c:pt>
                <c:pt idx="600">
                  <c:v>2.6938604161807769</c:v>
                </c:pt>
                <c:pt idx="601">
                  <c:v>2.6980833891537497</c:v>
                </c:pt>
                <c:pt idx="602">
                  <c:v>2.7023063621267229</c:v>
                </c:pt>
                <c:pt idx="603">
                  <c:v>2.7065293350996957</c:v>
                </c:pt>
                <c:pt idx="604">
                  <c:v>2.7107523080726685</c:v>
                </c:pt>
                <c:pt idx="605">
                  <c:v>2.7149752810456418</c:v>
                </c:pt>
                <c:pt idx="606">
                  <c:v>2.7191982540186155</c:v>
                </c:pt>
                <c:pt idx="607">
                  <c:v>2.7234212269915883</c:v>
                </c:pt>
                <c:pt idx="608">
                  <c:v>2.7276441999645611</c:v>
                </c:pt>
                <c:pt idx="609">
                  <c:v>2.7318671729375343</c:v>
                </c:pt>
                <c:pt idx="610">
                  <c:v>2.7360902881561069</c:v>
                </c:pt>
                <c:pt idx="611">
                  <c:v>2.7403446299463425</c:v>
                </c:pt>
                <c:pt idx="612">
                  <c:v>2.7446304292038541</c:v>
                </c:pt>
                <c:pt idx="613">
                  <c:v>2.7489479185315449</c:v>
                </c:pt>
                <c:pt idx="614">
                  <c:v>2.7532973322522287</c:v>
                </c:pt>
                <c:pt idx="615">
                  <c:v>2.757678906421352</c:v>
                </c:pt>
                <c:pt idx="616">
                  <c:v>2.7620928788398023</c:v>
                </c:pt>
                <c:pt idx="617">
                  <c:v>2.7665394890668153</c:v>
                </c:pt>
                <c:pt idx="618">
                  <c:v>2.7710189784329771</c:v>
                </c:pt>
                <c:pt idx="619">
                  <c:v>2.77553159005332</c:v>
                </c:pt>
                <c:pt idx="620">
                  <c:v>2.7800775688405177</c:v>
                </c:pt>
                <c:pt idx="621">
                  <c:v>2.7846571615181808</c:v>
                </c:pt>
                <c:pt idx="622">
                  <c:v>2.7892706166342416</c:v>
                </c:pt>
                <c:pt idx="623">
                  <c:v>2.7939181845744483</c:v>
                </c:pt>
                <c:pt idx="624">
                  <c:v>2.798600117575949</c:v>
                </c:pt>
                <c:pt idx="625">
                  <c:v>2.8033166697409881</c:v>
                </c:pt>
                <c:pt idx="626">
                  <c:v>2.8080680970506919</c:v>
                </c:pt>
                <c:pt idx="627">
                  <c:v>2.8128546573789639</c:v>
                </c:pt>
                <c:pt idx="628">
                  <c:v>2.8176766105064779</c:v>
                </c:pt>
                <c:pt idx="629">
                  <c:v>2.8225342181347806</c:v>
                </c:pt>
                <c:pt idx="630">
                  <c:v>2.8274277439004933</c:v>
                </c:pt>
                <c:pt idx="631">
                  <c:v>2.8323574533896183</c:v>
                </c:pt>
                <c:pt idx="632">
                  <c:v>2.8373236141519551</c:v>
                </c:pt>
                <c:pt idx="633">
                  <c:v>2.8423264957156222</c:v>
                </c:pt>
                <c:pt idx="634">
                  <c:v>2.8473663696016818</c:v>
                </c:pt>
                <c:pt idx="635">
                  <c:v>2.8524435093388805</c:v>
                </c:pt>
                <c:pt idx="636">
                  <c:v>2.8575581904784886</c:v>
                </c:pt>
                <c:pt idx="637">
                  <c:v>2.8627106906092616</c:v>
                </c:pt>
                <c:pt idx="638">
                  <c:v>2.8679012893725022</c:v>
                </c:pt>
                <c:pt idx="639">
                  <c:v>2.8731302684772357</c:v>
                </c:pt>
                <c:pt idx="640">
                  <c:v>2.8783979117155019</c:v>
                </c:pt>
                <c:pt idx="641">
                  <c:v>2.8837045049777577</c:v>
                </c:pt>
                <c:pt idx="642">
                  <c:v>2.8890503362683919</c:v>
                </c:pt>
                <c:pt idx="643">
                  <c:v>2.8944356957213553</c:v>
                </c:pt>
                <c:pt idx="644">
                  <c:v>2.8998608756159086</c:v>
                </c:pt>
                <c:pt idx="645">
                  <c:v>2.9053261703924838</c:v>
                </c:pt>
                <c:pt idx="646">
                  <c:v>2.9108318766686678</c:v>
                </c:pt>
                <c:pt idx="647">
                  <c:v>2.9163782932552946</c:v>
                </c:pt>
                <c:pt idx="648">
                  <c:v>2.9219657211726702</c:v>
                </c:pt>
                <c:pt idx="649">
                  <c:v>2.9275944636669018</c:v>
                </c:pt>
                <c:pt idx="650">
                  <c:v>2.9332648262263636</c:v>
                </c:pt>
                <c:pt idx="651">
                  <c:v>2.9389771165982692</c:v>
                </c:pt>
                <c:pt idx="652">
                  <c:v>2.9447316448053824</c:v>
                </c:pt>
                <c:pt idx="653">
                  <c:v>2.9505287231628325</c:v>
                </c:pt>
                <c:pt idx="654">
                  <c:v>2.9563686662950746</c:v>
                </c:pt>
                <c:pt idx="655">
                  <c:v>2.9622517911529598</c:v>
                </c:pt>
                <c:pt idx="656">
                  <c:v>2.9681784170309378</c:v>
                </c:pt>
                <c:pt idx="657">
                  <c:v>2.974148865584386</c:v>
                </c:pt>
                <c:pt idx="658">
                  <c:v>2.9801634608470677</c:v>
                </c:pt>
                <c:pt idx="659">
                  <c:v>2.9862225292487174</c:v>
                </c:pt>
                <c:pt idx="660">
                  <c:v>2.9923263996327578</c:v>
                </c:pt>
                <c:pt idx="661">
                  <c:v>2.9984754032741452</c:v>
                </c:pt>
                <c:pt idx="662">
                  <c:v>3.0046698738973521</c:v>
                </c:pt>
                <c:pt idx="663">
                  <c:v>3.0109101476944757</c:v>
                </c:pt>
                <c:pt idx="664">
                  <c:v>3.0171965633434876</c:v>
                </c:pt>
                <c:pt idx="665">
                  <c:v>3.0235294620266133</c:v>
                </c:pt>
                <c:pt idx="666">
                  <c:v>3.0299091874488462</c:v>
                </c:pt>
                <c:pt idx="667">
                  <c:v>3.0363360858566062</c:v>
                </c:pt>
                <c:pt idx="668">
                  <c:v>3.0428105060565307</c:v>
                </c:pt>
                <c:pt idx="669">
                  <c:v>3.0493327994344015</c:v>
                </c:pt>
                <c:pt idx="670">
                  <c:v>3.0559033199742198</c:v>
                </c:pt>
                <c:pt idx="671">
                  <c:v>3.0625224242774176</c:v>
                </c:pt>
                <c:pt idx="672">
                  <c:v>3.0691904715822065</c:v>
                </c:pt>
                <c:pt idx="673">
                  <c:v>3.0759078237830835</c:v>
                </c:pt>
                <c:pt idx="674">
                  <c:v>3.0826748454504624</c:v>
                </c:pt>
                <c:pt idx="675">
                  <c:v>3.0894919038504685</c:v>
                </c:pt>
                <c:pt idx="676">
                  <c:v>3.0963593689648623</c:v>
                </c:pt>
                <c:pt idx="677">
                  <c:v>3.1032776135111324</c:v>
                </c:pt>
                <c:pt idx="678">
                  <c:v>3.1102470129627084</c:v>
                </c:pt>
                <c:pt idx="679">
                  <c:v>3.1172679455693508</c:v>
                </c:pt>
                <c:pt idx="680">
                  <c:v>3.1243407923776738</c:v>
                </c:pt>
                <c:pt idx="681">
                  <c:v>3.1314659372518312</c:v>
                </c:pt>
                <c:pt idx="682">
                  <c:v>3.138643766894341</c:v>
                </c:pt>
                <c:pt idx="683">
                  <c:v>3.1458746708670833</c:v>
                </c:pt>
                <c:pt idx="684">
                  <c:v>3.1531590416124344</c:v>
                </c:pt>
                <c:pt idx="685">
                  <c:v>3.1604972744745701</c:v>
                </c:pt>
                <c:pt idx="686">
                  <c:v>3.1678897677209217</c:v>
                </c:pt>
                <c:pt idx="687">
                  <c:v>3.1753369225637913</c:v>
                </c:pt>
                <c:pt idx="688">
                  <c:v>3.1828391431821248</c:v>
                </c:pt>
                <c:pt idx="689">
                  <c:v>3.1903968367434499</c:v>
                </c:pt>
                <c:pt idx="690">
                  <c:v>3.1980104134259757</c:v>
                </c:pt>
                <c:pt idx="691">
                  <c:v>3.205680286440848</c:v>
                </c:pt>
                <c:pt idx="692">
                  <c:v>3.213406872054585</c:v>
                </c:pt>
                <c:pt idx="693">
                  <c:v>3.2211905896116599</c:v>
                </c:pt>
                <c:pt idx="694">
                  <c:v>3.2290318615572642</c:v>
                </c:pt>
                <c:pt idx="695">
                  <c:v>3.2369311134602383</c:v>
                </c:pt>
                <c:pt idx="696">
                  <c:v>3.2448887740361627</c:v>
                </c:pt>
                <c:pt idx="697">
                  <c:v>3.2529052751706273</c:v>
                </c:pt>
                <c:pt idx="698">
                  <c:v>3.2609810519426738</c:v>
                </c:pt>
                <c:pt idx="699">
                  <c:v>3.2691165426484052</c:v>
                </c:pt>
                <c:pt idx="700">
                  <c:v>3.2773121888247765</c:v>
                </c:pt>
                <c:pt idx="701">
                  <c:v>3.2855684352735528</c:v>
                </c:pt>
                <c:pt idx="702">
                  <c:v>3.2938857300854596</c:v>
                </c:pt>
                <c:pt idx="703">
                  <c:v>3.3022645246644902</c:v>
                </c:pt>
                <c:pt idx="704">
                  <c:v>3.3107052737524163</c:v>
                </c:pt>
                <c:pt idx="705">
                  <c:v>3.3192084354534579</c:v>
                </c:pt>
                <c:pt idx="706">
                  <c:v>3.3277744712591542</c:v>
                </c:pt>
                <c:pt idx="707">
                  <c:v>3.3364038460734031</c:v>
                </c:pt>
                <c:pt idx="708">
                  <c:v>3.3450970282377015</c:v>
                </c:pt>
                <c:pt idx="709">
                  <c:v>3.3538544895565532</c:v>
                </c:pt>
                <c:pt idx="710">
                  <c:v>3.3626767053230826</c:v>
                </c:pt>
                <c:pt idx="711">
                  <c:v>3.3715641543448274</c:v>
                </c:pt>
                <c:pt idx="712">
                  <c:v>3.380517318969726</c:v>
                </c:pt>
                <c:pt idx="713">
                  <c:v>3.3895366851122959</c:v>
                </c:pt>
                <c:pt idx="714">
                  <c:v>3.3986227422800042</c:v>
                </c:pt>
                <c:pt idx="715">
                  <c:v>3.4077759835998371</c:v>
                </c:pt>
                <c:pt idx="716">
                  <c:v>3.4169969058450582</c:v>
                </c:pt>
                <c:pt idx="717">
                  <c:v>3.4262860094621796</c:v>
                </c:pt>
                <c:pt idx="718">
                  <c:v>3.4356437985981123</c:v>
                </c:pt>
                <c:pt idx="719">
                  <c:v>3.4450707811275314</c:v>
                </c:pt>
                <c:pt idx="720">
                  <c:v>3.4545674686804406</c:v>
                </c:pt>
                <c:pt idx="721">
                  <c:v>3.4641343766699451</c:v>
                </c:pt>
                <c:pt idx="722">
                  <c:v>3.4737720243202115</c:v>
                </c:pt>
                <c:pt idx="723">
                  <c:v>3.4834809346946618</c:v>
                </c:pt>
                <c:pt idx="724">
                  <c:v>3.4932616347243504</c:v>
                </c:pt>
                <c:pt idx="725">
                  <c:v>3.5031146552365704</c:v>
                </c:pt>
                <c:pt idx="726">
                  <c:v>3.5130405309836563</c:v>
                </c:pt>
                <c:pt idx="727">
                  <c:v>3.5230398006720165</c:v>
                </c:pt>
                <c:pt idx="728">
                  <c:v>3.5331130069913543</c:v>
                </c:pt>
                <c:pt idx="729">
                  <c:v>3.543260696644138</c:v>
                </c:pt>
                <c:pt idx="730">
                  <c:v>3.553483420375263</c:v>
                </c:pt>
                <c:pt idx="731">
                  <c:v>3.5637817330019459</c:v>
                </c:pt>
                <c:pt idx="732">
                  <c:v>3.5741561934438306</c:v>
                </c:pt>
                <c:pt idx="733">
                  <c:v>3.5846073647533303</c:v>
                </c:pt>
                <c:pt idx="734">
                  <c:v>3.5951358141461789</c:v>
                </c:pt>
                <c:pt idx="735">
                  <c:v>3.6057421130322225</c:v>
                </c:pt>
                <c:pt idx="736">
                  <c:v>3.6164268370464234</c:v>
                </c:pt>
                <c:pt idx="737">
                  <c:v>3.6271905660801091</c:v>
                </c:pt>
                <c:pt idx="738">
                  <c:v>3.638033884312438</c:v>
                </c:pt>
                <c:pt idx="739">
                  <c:v>3.6489573802421122</c:v>
                </c:pt>
                <c:pt idx="740">
                  <c:v>3.6599616467193106</c:v>
                </c:pt>
                <c:pt idx="741">
                  <c:v>3.6710472809778647</c:v>
                </c:pt>
                <c:pt idx="742">
                  <c:v>3.6822148846676779</c:v>
                </c:pt>
                <c:pt idx="743">
                  <c:v>3.6934650638873712</c:v>
                </c:pt>
                <c:pt idx="744">
                  <c:v>3.7047984292171856</c:v>
                </c:pt>
                <c:pt idx="745">
                  <c:v>3.7162155957521135</c:v>
                </c:pt>
                <c:pt idx="746">
                  <c:v>3.727717183135288</c:v>
                </c:pt>
                <c:pt idx="747">
                  <c:v>3.7393038155916041</c:v>
                </c:pt>
                <c:pt idx="748">
                  <c:v>3.7509761219616102</c:v>
                </c:pt>
                <c:pt idx="749">
                  <c:v>3.7627347357356209</c:v>
                </c:pt>
                <c:pt idx="750">
                  <c:v>3.7745802950881151</c:v>
                </c:pt>
                <c:pt idx="751">
                  <c:v>3.7865134429123533</c:v>
                </c:pt>
                <c:pt idx="752">
                  <c:v>3.7985348268552914</c:v>
                </c:pt>
                <c:pt idx="753">
                  <c:v>3.8106450993527079</c:v>
                </c:pt>
                <c:pt idx="754">
                  <c:v>3.8228449176646313</c:v>
                </c:pt>
                <c:pt idx="755">
                  <c:v>3.8351349439109987</c:v>
                </c:pt>
                <c:pt idx="756">
                  <c:v>3.8475158451076008</c:v>
                </c:pt>
                <c:pt idx="757">
                  <c:v>3.8599882932022758</c:v>
                </c:pt>
                <c:pt idx="758">
                  <c:v>3.8725529651113835</c:v>
                </c:pt>
                <c:pt idx="759">
                  <c:v>3.8852105427565378</c:v>
                </c:pt>
                <c:pt idx="760">
                  <c:v>3.8979617131016187</c:v>
                </c:pt>
                <c:pt idx="761">
                  <c:v>3.9108071681900607</c:v>
                </c:pt>
                <c:pt idx="762">
                  <c:v>3.9237476051824074</c:v>
                </c:pt>
                <c:pt idx="763">
                  <c:v>3.9367837263941441</c:v>
                </c:pt>
                <c:pt idx="764">
                  <c:v>3.9499162393338252</c:v>
                </c:pt>
                <c:pt idx="765">
                  <c:v>3.9631458567414639</c:v>
                </c:pt>
                <c:pt idx="766">
                  <c:v>3.9764732966272196</c:v>
                </c:pt>
                <c:pt idx="767">
                  <c:v>3.9898992823103643</c:v>
                </c:pt>
                <c:pt idx="768">
                  <c:v>4.0034245424585384</c:v>
                </c:pt>
                <c:pt idx="769">
                  <c:v>4.017049811127297</c:v>
                </c:pt>
                <c:pt idx="770">
                  <c:v>4.0307758277999568</c:v>
                </c:pt>
                <c:pt idx="771">
                  <c:v>4.0446033374277208</c:v>
                </c:pt>
                <c:pt idx="772">
                  <c:v>4.0585330904701102</c:v>
                </c:pt>
                <c:pt idx="773">
                  <c:v>4.0725658429357026</c:v>
                </c:pt>
                <c:pt idx="774">
                  <c:v>4.0867023564231486</c:v>
                </c:pt>
                <c:pt idx="775">
                  <c:v>4.1009433981625243</c:v>
                </c:pt>
                <c:pt idx="776">
                  <c:v>4.1152897410569471</c:v>
                </c:pt>
                <c:pt idx="777">
                  <c:v>4.1297421637245515</c:v>
                </c:pt>
                <c:pt idx="778">
                  <c:v>4.1443014505407199</c:v>
                </c:pt>
                <c:pt idx="779">
                  <c:v>4.158968391680677</c:v>
                </c:pt>
                <c:pt idx="780">
                  <c:v>4.1737437831623527</c:v>
                </c:pt>
                <c:pt idx="781">
                  <c:v>4.1886284268896059</c:v>
                </c:pt>
                <c:pt idx="782">
                  <c:v>4.2036231306957257</c:v>
                </c:pt>
                <c:pt idx="783">
                  <c:v>4.2187287083872897</c:v>
                </c:pt>
                <c:pt idx="784">
                  <c:v>4.233945979788329</c:v>
                </c:pt>
                <c:pt idx="785">
                  <c:v>4.2492757707848154</c:v>
                </c:pt>
                <c:pt idx="786">
                  <c:v>4.2647189133694887</c:v>
                </c:pt>
                <c:pt idx="787">
                  <c:v>4.2802762456870163</c:v>
                </c:pt>
                <c:pt idx="788">
                  <c:v>4.2959486120794752</c:v>
                </c:pt>
                <c:pt idx="789">
                  <c:v>4.3117368631321789</c:v>
                </c:pt>
                <c:pt idx="790">
                  <c:v>4.3276418557198442</c:v>
                </c:pt>
                <c:pt idx="791">
                  <c:v>4.3436644530530888</c:v>
                </c:pt>
                <c:pt idx="792">
                  <c:v>4.3598055247252878</c:v>
                </c:pt>
                <c:pt idx="793">
                  <c:v>4.3760659467597698</c:v>
                </c:pt>
                <c:pt idx="794">
                  <c:v>4.3924466016573502</c:v>
                </c:pt>
                <c:pt idx="795">
                  <c:v>4.4089483784442391</c:v>
                </c:pt>
                <c:pt idx="796">
                  <c:v>4.4255721727202877</c:v>
                </c:pt>
                <c:pt idx="797">
                  <c:v>4.4423188867075929</c:v>
                </c:pt>
                <c:pt idx="798">
                  <c:v>4.4591894292994665</c:v>
                </c:pt>
                <c:pt idx="799">
                  <c:v>4.476184716109759</c:v>
                </c:pt>
                <c:pt idx="800">
                  <c:v>4.4933056695225595</c:v>
                </c:pt>
                <c:pt idx="801">
                  <c:v>4.5105532187422464</c:v>
                </c:pt>
                <c:pt idx="802">
                  <c:v>4.5279282998439339</c:v>
                </c:pt>
                <c:pt idx="803">
                  <c:v>4.5454318558242575</c:v>
                </c:pt>
                <c:pt idx="804">
                  <c:v>4.563064836652563</c:v>
                </c:pt>
                <c:pt idx="805">
                  <c:v>4.580828199322462</c:v>
                </c:pt>
                <c:pt idx="806">
                  <c:v>4.5987229079037757</c:v>
                </c:pt>
                <c:pt idx="807">
                  <c:v>4.6167499335948445</c:v>
                </c:pt>
                <c:pt idx="808">
                  <c:v>4.6349102547752601</c:v>
                </c:pt>
                <c:pt idx="809">
                  <c:v>4.653204857058939</c:v>
                </c:pt>
                <c:pt idx="810">
                  <c:v>4.6716347333476334</c:v>
                </c:pt>
                <c:pt idx="811">
                  <c:v>4.690200883884807</c:v>
                </c:pt>
                <c:pt idx="812">
                  <c:v>4.7089043163099422</c:v>
                </c:pt>
                <c:pt idx="813">
                  <c:v>4.7277460457131877</c:v>
                </c:pt>
                <c:pt idx="814">
                  <c:v>4.7467270946904918</c:v>
                </c:pt>
                <c:pt idx="815">
                  <c:v>4.7658484933990923</c:v>
                </c:pt>
                <c:pt idx="816">
                  <c:v>4.7851112796133943</c:v>
                </c:pt>
                <c:pt idx="817">
                  <c:v>4.8045164987813411</c:v>
                </c:pt>
                <c:pt idx="818">
                  <c:v>4.8240652040811147</c:v>
                </c:pt>
                <c:pt idx="819">
                  <c:v>4.8437584564783212</c:v>
                </c:pt>
                <c:pt idx="820">
                  <c:v>4.8635973247835516</c:v>
                </c:pt>
                <c:pt idx="821">
                  <c:v>4.8835828857104122</c:v>
                </c:pt>
                <c:pt idx="822">
                  <c:v>4.9037162239339382</c:v>
                </c:pt>
                <c:pt idx="823">
                  <c:v>4.9239984321494745</c:v>
                </c:pt>
                <c:pt idx="824">
                  <c:v>4.9444306111319793</c:v>
                </c:pt>
                <c:pt idx="825">
                  <c:v>4.9650138697957598</c:v>
                </c:pt>
                <c:pt idx="826">
                  <c:v>4.985749325254667</c:v>
                </c:pt>
                <c:pt idx="827">
                  <c:v>5.0066381028827216</c:v>
                </c:pt>
                <c:pt idx="828">
                  <c:v>5.0276813363751769</c:v>
                </c:pt>
                <c:pt idx="829">
                  <c:v>5.0488801678100668</c:v>
                </c:pt>
                <c:pt idx="830">
                  <c:v>5.0702357477101794</c:v>
                </c:pt>
                <c:pt idx="831">
                  <c:v>5.0917492351055031</c:v>
                </c:pt>
                <c:pt idx="832">
                  <c:v>5.1134217975961258</c:v>
                </c:pt>
                <c:pt idx="833">
                  <c:v>5.1352546114156192</c:v>
                </c:pt>
                <c:pt idx="834">
                  <c:v>5.1572488614948488</c:v>
                </c:pt>
                <c:pt idx="835">
                  <c:v>5.1794057415263151</c:v>
                </c:pt>
                <c:pt idx="836">
                  <c:v>5.2017264540289077</c:v>
                </c:pt>
                <c:pt idx="837">
                  <c:v>5.2242122104132065</c:v>
                </c:pt>
                <c:pt idx="838">
                  <c:v>5.2468642310471774</c:v>
                </c:pt>
                <c:pt idx="839">
                  <c:v>5.2696837453224594</c:v>
                </c:pt>
                <c:pt idx="840">
                  <c:v>5.2926719917210638</c:v>
                </c:pt>
                <c:pt idx="841">
                  <c:v>5.3158302178825645</c:v>
                </c:pt>
                <c:pt idx="842">
                  <c:v>5.3391596806718633</c:v>
                </c:pt>
                <c:pt idx="843">
                  <c:v>5.362661646247358</c:v>
                </c:pt>
                <c:pt idx="844">
                  <c:v>5.3863373901296949</c:v>
                </c:pt>
                <c:pt idx="845">
                  <c:v>5.4101881972709611</c:v>
                </c:pt>
                <c:pt idx="846">
                  <c:v>5.4342153621244575</c:v>
                </c:pt>
                <c:pt idx="847">
                  <c:v>5.458420188714924</c:v>
                </c:pt>
                <c:pt idx="848">
                  <c:v>5.4828039907093267</c:v>
                </c:pt>
                <c:pt idx="849">
                  <c:v>5.5073680914881535</c:v>
                </c:pt>
                <c:pt idx="850">
                  <c:v>5.5321138242172356</c:v>
                </c:pt>
                <c:pt idx="851">
                  <c:v>5.5570425319201009</c:v>
                </c:pt>
                <c:pt idx="852">
                  <c:v>5.5821555675508705</c:v>
                </c:pt>
                <c:pt idx="853">
                  <c:v>5.607454294067689</c:v>
                </c:pt>
                <c:pt idx="854">
                  <c:v>5.632940084506675</c:v>
                </c:pt>
                <c:pt idx="855">
                  <c:v>5.6586143220564651</c:v>
                </c:pt>
                <c:pt idx="856">
                  <c:v>5.68447840013327</c:v>
                </c:pt>
                <c:pt idx="857">
                  <c:v>5.7105337224564998</c:v>
                </c:pt>
                <c:pt idx="858">
                  <c:v>5.7367817031249642</c:v>
                </c:pt>
                <c:pt idx="859">
                  <c:v>5.763223766693593</c:v>
                </c:pt>
                <c:pt idx="860">
                  <c:v>5.7898613482507653</c:v>
                </c:pt>
                <c:pt idx="861">
                  <c:v>5.8166958934962034</c:v>
                </c:pt>
                <c:pt idx="862">
                  <c:v>5.843728858819432</c:v>
                </c:pt>
                <c:pt idx="863">
                  <c:v>5.8709617113787882</c:v>
                </c:pt>
                <c:pt idx="864">
                  <c:v>5.8983959291811017</c:v>
                </c:pt>
                <c:pt idx="865">
                  <c:v>5.9260330011618896</c:v>
                </c:pt>
                <c:pt idx="866">
                  <c:v>5.9538744272661273</c:v>
                </c:pt>
                <c:pt idx="867">
                  <c:v>5.9819217185297235</c:v>
                </c:pt>
                <c:pt idx="868">
                  <c:v>6.0101763971614739</c:v>
                </c:pt>
                <c:pt idx="869">
                  <c:v>6.0386399966256947</c:v>
                </c:pt>
                <c:pt idx="870">
                  <c:v>6.0673140617254608</c:v>
                </c:pt>
                <c:pt idx="871">
                  <c:v>6.0962001486864326</c:v>
                </c:pt>
                <c:pt idx="872">
                  <c:v>6.1252998252413082</c:v>
                </c:pt>
                <c:pt idx="873">
                  <c:v>6.1546146707149276</c:v>
                </c:pt>
                <c:pt idx="874">
                  <c:v>6.1841462761099777</c:v>
                </c:pt>
                <c:pt idx="875">
                  <c:v>6.2138962441933412</c:v>
                </c:pt>
                <c:pt idx="876">
                  <c:v>6.2438661895830814</c:v>
                </c:pt>
                <c:pt idx="877">
                  <c:v>6.2740577388360927</c:v>
                </c:pt>
                <c:pt idx="878">
                  <c:v>6.3044725305363363</c:v>
                </c:pt>
                <c:pt idx="879">
                  <c:v>6.3351122153838197</c:v>
                </c:pt>
                <c:pt idx="880">
                  <c:v>6.3659784562841457</c:v>
                </c:pt>
                <c:pt idx="881">
                  <c:v>6.3970729284387842</c:v>
                </c:pt>
                <c:pt idx="882">
                  <c:v>6.4283973194359785</c:v>
                </c:pt>
                <c:pt idx="883">
                  <c:v>6.4599533293423583</c:v>
                </c:pt>
                <c:pt idx="884">
                  <c:v>6.4917426707951762</c:v>
                </c:pt>
                <c:pt idx="885">
                  <c:v>6.5237670690952783</c:v>
                </c:pt>
                <c:pt idx="886">
                  <c:v>6.5560282623007282</c:v>
                </c:pt>
                <c:pt idx="887">
                  <c:v>6.588528001321162</c:v>
                </c:pt>
                <c:pt idx="888">
                  <c:v>6.6212680500127732</c:v>
                </c:pt>
                <c:pt idx="889">
                  <c:v>6.6542501852740861</c:v>
                </c:pt>
                <c:pt idx="890">
                  <c:v>6.6874761971423773</c:v>
                </c:pt>
                <c:pt idx="891">
                  <c:v>6.7209478888907874</c:v>
                </c:pt>
                <c:pt idx="892">
                  <c:v>6.7546670771262667</c:v>
                </c:pt>
                <c:pt idx="893">
                  <c:v>6.7886355918881023</c:v>
                </c:pt>
                <c:pt idx="894">
                  <c:v>6.8228552767472701</c:v>
                </c:pt>
                <c:pt idx="895">
                  <c:v>6.8573279889064773</c:v>
                </c:pt>
                <c:pt idx="896">
                  <c:v>6.8920555993009769</c:v>
                </c:pt>
                <c:pt idx="897">
                  <c:v>6.9270399927000987</c:v>
                </c:pt>
                <c:pt idx="898">
                  <c:v>6.962283067809528</c:v>
                </c:pt>
                <c:pt idx="899">
                  <c:v>6.9977867373743683</c:v>
                </c:pt>
                <c:pt idx="900">
                  <c:v>7.033552928282953</c:v>
                </c:pt>
                <c:pt idx="901">
                  <c:v>7.0695835816714085</c:v>
                </c:pt>
                <c:pt idx="902">
                  <c:v>7.1058806530290397</c:v>
                </c:pt>
                <c:pt idx="903">
                  <c:v>7.1424461123044143</c:v>
                </c:pt>
                <c:pt idx="904">
                  <c:v>7.1792819440123061</c:v>
                </c:pt>
                <c:pt idx="905">
                  <c:v>7.2163901473413903</c:v>
                </c:pt>
                <c:pt idx="906">
                  <c:v>7.253772736262766</c:v>
                </c:pt>
                <c:pt idx="907">
                  <c:v>7.2914317396392194</c:v>
                </c:pt>
                <c:pt idx="908">
                  <c:v>7.3293692013353855</c:v>
                </c:pt>
                <c:pt idx="909">
                  <c:v>7.3675871803286288</c:v>
                </c:pt>
                <c:pt idx="910">
                  <c:v>7.40608775082082</c:v>
                </c:pt>
                <c:pt idx="911">
                  <c:v>7.4448730023508913</c:v>
                </c:pt>
                <c:pt idx="912">
                  <c:v>7.4839450399082761</c:v>
                </c:pt>
                <c:pt idx="913">
                  <c:v>7.5233059840470817</c:v>
                </c:pt>
                <c:pt idx="914">
                  <c:v>7.5629579710012562</c:v>
                </c:pt>
                <c:pt idx="915">
                  <c:v>7.6029031528005175</c:v>
                </c:pt>
                <c:pt idx="916">
                  <c:v>7.643143697387063</c:v>
                </c:pt>
                <c:pt idx="917">
                  <c:v>7.6836817887333533</c:v>
                </c:pt>
                <c:pt idx="918">
                  <c:v>7.7245196269605563</c:v>
                </c:pt>
                <c:pt idx="919">
                  <c:v>7.7656594284579903</c:v>
                </c:pt>
                <c:pt idx="920">
                  <c:v>7.8071034260033967</c:v>
                </c:pt>
                <c:pt idx="921">
                  <c:v>7.848853868884154</c:v>
                </c:pt>
                <c:pt idx="922">
                  <c:v>7.890913023019305</c:v>
                </c:pt>
                <c:pt idx="923">
                  <c:v>7.9332831710825573</c:v>
                </c:pt>
                <c:pt idx="924">
                  <c:v>7.9759666126261974</c:v>
                </c:pt>
                <c:pt idx="925">
                  <c:v>8.0189656642058402</c:v>
                </c:pt>
                <c:pt idx="926">
                  <c:v>8.0622826595061863</c:v>
                </c:pt>
                <c:pt idx="927">
                  <c:v>8.105919949467701</c:v>
                </c:pt>
                <c:pt idx="928">
                  <c:v>8.1498799024141508</c:v>
                </c:pt>
                <c:pt idx="929">
                  <c:v>8.1941649041811857</c:v>
                </c:pt>
                <c:pt idx="930">
                  <c:v>8.2387773582457999</c:v>
                </c:pt>
                <c:pt idx="931">
                  <c:v>8.2837196858567808</c:v>
                </c:pt>
                <c:pt idx="932">
                  <c:v>8.328994326166141</c:v>
                </c:pt>
                <c:pt idx="933">
                  <c:v>8.3746037363614718</c:v>
                </c:pt>
                <c:pt idx="934">
                  <c:v>8.4205503917992974</c:v>
                </c:pt>
                <c:pt idx="935">
                  <c:v>8.4668367861394351</c:v>
                </c:pt>
                <c:pt idx="936">
                  <c:v>8.5134654314803235</c:v>
                </c:pt>
                <c:pt idx="937">
                  <c:v>8.5604388584954023</c:v>
                </c:pt>
                <c:pt idx="938">
                  <c:v>8.6077596165703607</c:v>
                </c:pt>
                <c:pt idx="939">
                  <c:v>8.6554302739416205</c:v>
                </c:pt>
                <c:pt idx="940">
                  <c:v>8.7034534178356502</c:v>
                </c:pt>
                <c:pt idx="941">
                  <c:v>8.7518316546093775</c:v>
                </c:pt>
                <c:pt idx="942">
                  <c:v>8.8005676098916901</c:v>
                </c:pt>
                <c:pt idx="943">
                  <c:v>8.8496639287258869</c:v>
                </c:pt>
                <c:pt idx="944">
                  <c:v>8.8991232757132632</c:v>
                </c:pt>
                <c:pt idx="945">
                  <c:v>8.9489483351577075</c:v>
                </c:pt>
                <c:pt idx="946">
                  <c:v>8.9991418112114214</c:v>
                </c:pt>
                <c:pt idx="947">
                  <c:v>9.0497064280216364</c:v>
                </c:pt>
                <c:pt idx="948">
                  <c:v>9.1006449298784826</c:v>
                </c:pt>
                <c:pt idx="949">
                  <c:v>9.1519600813639261</c:v>
                </c:pt>
                <c:pt idx="950">
                  <c:v>9.2036546675018371</c:v>
                </c:pt>
                <c:pt idx="951">
                  <c:v>9.2557314939090833</c:v>
                </c:pt>
                <c:pt idx="952">
                  <c:v>9.3081933869478704</c:v>
                </c:pt>
                <c:pt idx="953">
                  <c:v>9.3610431938790697</c:v>
                </c:pt>
                <c:pt idx="954">
                  <c:v>9.4142837830167903</c:v>
                </c:pt>
                <c:pt idx="955">
                  <c:v>9.4679180438840369</c:v>
                </c:pt>
                <c:pt idx="956">
                  <c:v>9.5219488873695362</c:v>
                </c:pt>
                <c:pt idx="957">
                  <c:v>9.576379245885704</c:v>
                </c:pt>
                <c:pt idx="958">
                  <c:v>9.6312120735278288</c:v>
                </c:pt>
                <c:pt idx="959">
                  <c:v>9.6864503462343858</c:v>
                </c:pt>
                <c:pt idx="960">
                  <c:v>9.7420970619485168</c:v>
                </c:pt>
                <c:pt idx="961">
                  <c:v>9.7981552407807655</c:v>
                </c:pt>
                <c:pt idx="962">
                  <c:v>9.8546279251730304</c:v>
                </c:pt>
                <c:pt idx="963">
                  <c:v>9.9115181800635668</c:v>
                </c:pt>
                <c:pt idx="964">
                  <c:v>9.9688290930534738</c:v>
                </c:pt>
                <c:pt idx="965">
                  <c:v>10.026563774574194</c:v>
                </c:pt>
                <c:pt idx="966">
                  <c:v>10.084725358056273</c:v>
                </c:pt>
                <c:pt idx="967">
                  <c:v>10.143317000099541</c:v>
                </c:pt>
                <c:pt idx="968">
                  <c:v>10.202341880644356</c:v>
                </c:pt>
                <c:pt idx="969">
                  <c:v>10.261803203144181</c:v>
                </c:pt>
                <c:pt idx="970">
                  <c:v>10.321704194739464</c:v>
                </c:pt>
                <c:pt idx="971">
                  <c:v>10.382048106432817</c:v>
                </c:pt>
                <c:pt idx="972">
                  <c:v>10.442838213265397</c:v>
                </c:pt>
                <c:pt idx="973">
                  <c:v>10.504077814494684</c:v>
                </c:pt>
                <c:pt idx="974">
                  <c:v>10.565770233773543</c:v>
                </c:pt>
                <c:pt idx="975">
                  <c:v>10.627918819330606</c:v>
                </c:pt>
                <c:pt idx="976">
                  <c:v>10.690526944151955</c:v>
                </c:pt>
                <c:pt idx="977">
                  <c:v>10.753598006164294</c:v>
                </c:pt>
                <c:pt idx="978">
                  <c:v>10.817135428419213</c:v>
                </c:pt>
                <c:pt idx="979">
                  <c:v>10.881142659279071</c:v>
                </c:pt>
                <c:pt idx="980">
                  <c:v>10.945623172604108</c:v>
                </c:pt>
                <c:pt idx="981">
                  <c:v>11.010580467940999</c:v>
                </c:pt>
                <c:pt idx="982">
                  <c:v>11.076018070712767</c:v>
                </c:pt>
                <c:pt idx="983">
                  <c:v>11.141939532410159</c:v>
                </c:pt>
                <c:pt idx="984">
                  <c:v>11.208348430784335</c:v>
                </c:pt>
                <c:pt idx="985">
                  <c:v>11.275248370041073</c:v>
                </c:pt>
                <c:pt idx="986">
                  <c:v>11.342642981036402</c:v>
                </c:pt>
                <c:pt idx="987">
                  <c:v>11.410535921473652</c:v>
                </c:pt>
                <c:pt idx="988">
                  <c:v>11.478930876101883</c:v>
                </c:pt>
                <c:pt idx="989">
                  <c:v>11.547831556916009</c:v>
                </c:pt>
                <c:pt idx="990">
                  <c:v>11.617241703358186</c:v>
                </c:pt>
                <c:pt idx="991">
                  <c:v>11.687165082520695</c:v>
                </c:pt>
                <c:pt idx="992">
                  <c:v>11.757605489350549</c:v>
                </c:pt>
                <c:pt idx="993">
                  <c:v>11.828566746855316</c:v>
                </c:pt>
                <c:pt idx="994">
                  <c:v>11.900052706310664</c:v>
                </c:pt>
                <c:pt idx="995">
                  <c:v>11.972067247469399</c:v>
                </c:pt>
                <c:pt idx="996">
                  <c:v>12.044614278772</c:v>
                </c:pt>
                <c:pt idx="997">
                  <c:v>12.117697737558737</c:v>
                </c:pt>
                <c:pt idx="998">
                  <c:v>12.191321590283376</c:v>
                </c:pt>
                <c:pt idx="999">
                  <c:v>12.26548983272845</c:v>
                </c:pt>
              </c:numCache>
            </c:numRef>
          </c:xVal>
          <c:yVal>
            <c:numRef>
              <c:f>Production_Forecast!$O$13:$O$1012</c:f>
              <c:numCache>
                <c:formatCode>0</c:formatCode>
                <c:ptCount val="1000"/>
                <c:pt idx="0">
                  <c:v>3000</c:v>
                </c:pt>
                <c:pt idx="1">
                  <c:v>3000</c:v>
                </c:pt>
                <c:pt idx="2">
                  <c:v>3000</c:v>
                </c:pt>
                <c:pt idx="3">
                  <c:v>3000</c:v>
                </c:pt>
                <c:pt idx="4">
                  <c:v>3000</c:v>
                </c:pt>
                <c:pt idx="5">
                  <c:v>3000</c:v>
                </c:pt>
                <c:pt idx="6">
                  <c:v>3000</c:v>
                </c:pt>
                <c:pt idx="7">
                  <c:v>3000</c:v>
                </c:pt>
                <c:pt idx="8">
                  <c:v>3000</c:v>
                </c:pt>
                <c:pt idx="9">
                  <c:v>3000</c:v>
                </c:pt>
                <c:pt idx="10">
                  <c:v>3000</c:v>
                </c:pt>
                <c:pt idx="11">
                  <c:v>3000</c:v>
                </c:pt>
                <c:pt idx="12">
                  <c:v>3000</c:v>
                </c:pt>
                <c:pt idx="13">
                  <c:v>3000</c:v>
                </c:pt>
                <c:pt idx="14">
                  <c:v>3000</c:v>
                </c:pt>
                <c:pt idx="15">
                  <c:v>3000</c:v>
                </c:pt>
                <c:pt idx="16">
                  <c:v>3000</c:v>
                </c:pt>
                <c:pt idx="17">
                  <c:v>3000</c:v>
                </c:pt>
                <c:pt idx="18">
                  <c:v>3000</c:v>
                </c:pt>
                <c:pt idx="19">
                  <c:v>3000</c:v>
                </c:pt>
                <c:pt idx="20">
                  <c:v>3000</c:v>
                </c:pt>
                <c:pt idx="21">
                  <c:v>3000</c:v>
                </c:pt>
                <c:pt idx="22">
                  <c:v>3000</c:v>
                </c:pt>
                <c:pt idx="23">
                  <c:v>3000</c:v>
                </c:pt>
                <c:pt idx="24">
                  <c:v>3000</c:v>
                </c:pt>
                <c:pt idx="25">
                  <c:v>3000</c:v>
                </c:pt>
                <c:pt idx="26">
                  <c:v>3000</c:v>
                </c:pt>
                <c:pt idx="27">
                  <c:v>3000</c:v>
                </c:pt>
                <c:pt idx="28">
                  <c:v>3000</c:v>
                </c:pt>
                <c:pt idx="29">
                  <c:v>3000</c:v>
                </c:pt>
                <c:pt idx="30">
                  <c:v>3000</c:v>
                </c:pt>
                <c:pt idx="31">
                  <c:v>3000</c:v>
                </c:pt>
                <c:pt idx="32">
                  <c:v>3000</c:v>
                </c:pt>
                <c:pt idx="33">
                  <c:v>3000</c:v>
                </c:pt>
                <c:pt idx="34">
                  <c:v>3000</c:v>
                </c:pt>
                <c:pt idx="35">
                  <c:v>3000</c:v>
                </c:pt>
                <c:pt idx="36">
                  <c:v>3000</c:v>
                </c:pt>
                <c:pt idx="37">
                  <c:v>3000</c:v>
                </c:pt>
                <c:pt idx="38">
                  <c:v>3000</c:v>
                </c:pt>
                <c:pt idx="39">
                  <c:v>3000</c:v>
                </c:pt>
                <c:pt idx="40">
                  <c:v>3000</c:v>
                </c:pt>
                <c:pt idx="41">
                  <c:v>3000</c:v>
                </c:pt>
                <c:pt idx="42">
                  <c:v>3000</c:v>
                </c:pt>
                <c:pt idx="43">
                  <c:v>3000</c:v>
                </c:pt>
                <c:pt idx="44">
                  <c:v>3000</c:v>
                </c:pt>
                <c:pt idx="45">
                  <c:v>3000</c:v>
                </c:pt>
                <c:pt idx="46">
                  <c:v>3000</c:v>
                </c:pt>
                <c:pt idx="47">
                  <c:v>3000</c:v>
                </c:pt>
                <c:pt idx="48">
                  <c:v>3000</c:v>
                </c:pt>
                <c:pt idx="49">
                  <c:v>3000</c:v>
                </c:pt>
                <c:pt idx="50">
                  <c:v>3000</c:v>
                </c:pt>
                <c:pt idx="51">
                  <c:v>3000</c:v>
                </c:pt>
                <c:pt idx="52">
                  <c:v>3000</c:v>
                </c:pt>
                <c:pt idx="53">
                  <c:v>3000</c:v>
                </c:pt>
                <c:pt idx="54">
                  <c:v>3000</c:v>
                </c:pt>
                <c:pt idx="55">
                  <c:v>3000</c:v>
                </c:pt>
                <c:pt idx="56">
                  <c:v>3000</c:v>
                </c:pt>
                <c:pt idx="57">
                  <c:v>3000</c:v>
                </c:pt>
                <c:pt idx="58">
                  <c:v>3000</c:v>
                </c:pt>
                <c:pt idx="59">
                  <c:v>3000</c:v>
                </c:pt>
                <c:pt idx="60">
                  <c:v>3000</c:v>
                </c:pt>
                <c:pt idx="61">
                  <c:v>3000</c:v>
                </c:pt>
                <c:pt idx="62">
                  <c:v>3000</c:v>
                </c:pt>
                <c:pt idx="63">
                  <c:v>3000</c:v>
                </c:pt>
                <c:pt idx="64">
                  <c:v>3000</c:v>
                </c:pt>
                <c:pt idx="65">
                  <c:v>3000</c:v>
                </c:pt>
                <c:pt idx="66">
                  <c:v>3000</c:v>
                </c:pt>
                <c:pt idx="67">
                  <c:v>3000</c:v>
                </c:pt>
                <c:pt idx="68">
                  <c:v>3000</c:v>
                </c:pt>
                <c:pt idx="69">
                  <c:v>3000</c:v>
                </c:pt>
                <c:pt idx="70">
                  <c:v>3000</c:v>
                </c:pt>
                <c:pt idx="71">
                  <c:v>3000</c:v>
                </c:pt>
                <c:pt idx="72">
                  <c:v>3000</c:v>
                </c:pt>
                <c:pt idx="73">
                  <c:v>3000</c:v>
                </c:pt>
                <c:pt idx="74">
                  <c:v>3000</c:v>
                </c:pt>
                <c:pt idx="75">
                  <c:v>3000</c:v>
                </c:pt>
                <c:pt idx="76">
                  <c:v>3000</c:v>
                </c:pt>
                <c:pt idx="77">
                  <c:v>3000</c:v>
                </c:pt>
                <c:pt idx="78">
                  <c:v>3000</c:v>
                </c:pt>
                <c:pt idx="79">
                  <c:v>3000</c:v>
                </c:pt>
                <c:pt idx="80">
                  <c:v>3000</c:v>
                </c:pt>
                <c:pt idx="81">
                  <c:v>3000</c:v>
                </c:pt>
                <c:pt idx="82">
                  <c:v>3000</c:v>
                </c:pt>
                <c:pt idx="83">
                  <c:v>3000</c:v>
                </c:pt>
                <c:pt idx="84">
                  <c:v>3000</c:v>
                </c:pt>
                <c:pt idx="85">
                  <c:v>3000</c:v>
                </c:pt>
                <c:pt idx="86">
                  <c:v>3000</c:v>
                </c:pt>
                <c:pt idx="87">
                  <c:v>3000</c:v>
                </c:pt>
                <c:pt idx="88">
                  <c:v>3000</c:v>
                </c:pt>
                <c:pt idx="89">
                  <c:v>3000</c:v>
                </c:pt>
                <c:pt idx="90">
                  <c:v>3000</c:v>
                </c:pt>
                <c:pt idx="91">
                  <c:v>3000</c:v>
                </c:pt>
                <c:pt idx="92">
                  <c:v>3000</c:v>
                </c:pt>
                <c:pt idx="93">
                  <c:v>3000</c:v>
                </c:pt>
                <c:pt idx="94">
                  <c:v>3000</c:v>
                </c:pt>
                <c:pt idx="95">
                  <c:v>3000</c:v>
                </c:pt>
                <c:pt idx="96">
                  <c:v>3000</c:v>
                </c:pt>
                <c:pt idx="97">
                  <c:v>3000</c:v>
                </c:pt>
                <c:pt idx="98">
                  <c:v>3000</c:v>
                </c:pt>
                <c:pt idx="99">
                  <c:v>3000</c:v>
                </c:pt>
                <c:pt idx="100">
                  <c:v>3000</c:v>
                </c:pt>
                <c:pt idx="101">
                  <c:v>3000</c:v>
                </c:pt>
                <c:pt idx="102">
                  <c:v>3000</c:v>
                </c:pt>
                <c:pt idx="103">
                  <c:v>3000</c:v>
                </c:pt>
                <c:pt idx="104">
                  <c:v>3000</c:v>
                </c:pt>
                <c:pt idx="105">
                  <c:v>3000</c:v>
                </c:pt>
                <c:pt idx="106">
                  <c:v>3000</c:v>
                </c:pt>
                <c:pt idx="107">
                  <c:v>3000</c:v>
                </c:pt>
                <c:pt idx="108">
                  <c:v>3000</c:v>
                </c:pt>
                <c:pt idx="109">
                  <c:v>3000</c:v>
                </c:pt>
                <c:pt idx="110">
                  <c:v>3000</c:v>
                </c:pt>
                <c:pt idx="111">
                  <c:v>3000</c:v>
                </c:pt>
                <c:pt idx="112">
                  <c:v>3000</c:v>
                </c:pt>
                <c:pt idx="113">
                  <c:v>3000</c:v>
                </c:pt>
                <c:pt idx="114">
                  <c:v>3000</c:v>
                </c:pt>
                <c:pt idx="115">
                  <c:v>3000</c:v>
                </c:pt>
                <c:pt idx="116">
                  <c:v>3000</c:v>
                </c:pt>
                <c:pt idx="117">
                  <c:v>3000</c:v>
                </c:pt>
                <c:pt idx="118">
                  <c:v>3000</c:v>
                </c:pt>
                <c:pt idx="119">
                  <c:v>3000</c:v>
                </c:pt>
                <c:pt idx="120">
                  <c:v>3000</c:v>
                </c:pt>
                <c:pt idx="121">
                  <c:v>3000</c:v>
                </c:pt>
                <c:pt idx="122">
                  <c:v>3000</c:v>
                </c:pt>
                <c:pt idx="123">
                  <c:v>3000</c:v>
                </c:pt>
                <c:pt idx="124">
                  <c:v>3000</c:v>
                </c:pt>
                <c:pt idx="125">
                  <c:v>3000</c:v>
                </c:pt>
                <c:pt idx="126">
                  <c:v>3000</c:v>
                </c:pt>
                <c:pt idx="127">
                  <c:v>3000</c:v>
                </c:pt>
                <c:pt idx="128">
                  <c:v>3000</c:v>
                </c:pt>
                <c:pt idx="129">
                  <c:v>3000</c:v>
                </c:pt>
                <c:pt idx="130">
                  <c:v>3000</c:v>
                </c:pt>
                <c:pt idx="131">
                  <c:v>3000</c:v>
                </c:pt>
                <c:pt idx="132">
                  <c:v>3000</c:v>
                </c:pt>
                <c:pt idx="133">
                  <c:v>3000</c:v>
                </c:pt>
                <c:pt idx="134">
                  <c:v>3000</c:v>
                </c:pt>
                <c:pt idx="135">
                  <c:v>3000</c:v>
                </c:pt>
                <c:pt idx="136">
                  <c:v>3000</c:v>
                </c:pt>
                <c:pt idx="137">
                  <c:v>3000</c:v>
                </c:pt>
                <c:pt idx="138">
                  <c:v>3000</c:v>
                </c:pt>
                <c:pt idx="139">
                  <c:v>3000</c:v>
                </c:pt>
                <c:pt idx="140">
                  <c:v>3000</c:v>
                </c:pt>
                <c:pt idx="141">
                  <c:v>3000</c:v>
                </c:pt>
                <c:pt idx="142">
                  <c:v>3000</c:v>
                </c:pt>
                <c:pt idx="143">
                  <c:v>3000</c:v>
                </c:pt>
                <c:pt idx="144">
                  <c:v>3000</c:v>
                </c:pt>
                <c:pt idx="145">
                  <c:v>3000</c:v>
                </c:pt>
                <c:pt idx="146">
                  <c:v>3000</c:v>
                </c:pt>
                <c:pt idx="147">
                  <c:v>3000</c:v>
                </c:pt>
                <c:pt idx="148">
                  <c:v>3000</c:v>
                </c:pt>
                <c:pt idx="149">
                  <c:v>3000</c:v>
                </c:pt>
                <c:pt idx="150">
                  <c:v>3000</c:v>
                </c:pt>
                <c:pt idx="151">
                  <c:v>3000</c:v>
                </c:pt>
                <c:pt idx="152">
                  <c:v>3000</c:v>
                </c:pt>
                <c:pt idx="153">
                  <c:v>3000</c:v>
                </c:pt>
                <c:pt idx="154">
                  <c:v>3000</c:v>
                </c:pt>
                <c:pt idx="155">
                  <c:v>3000</c:v>
                </c:pt>
                <c:pt idx="156">
                  <c:v>3000</c:v>
                </c:pt>
                <c:pt idx="157">
                  <c:v>3000</c:v>
                </c:pt>
                <c:pt idx="158">
                  <c:v>3000</c:v>
                </c:pt>
                <c:pt idx="159">
                  <c:v>3000</c:v>
                </c:pt>
                <c:pt idx="160">
                  <c:v>3000</c:v>
                </c:pt>
                <c:pt idx="161">
                  <c:v>3000</c:v>
                </c:pt>
                <c:pt idx="162">
                  <c:v>3000</c:v>
                </c:pt>
                <c:pt idx="163">
                  <c:v>3000</c:v>
                </c:pt>
                <c:pt idx="164">
                  <c:v>3000</c:v>
                </c:pt>
                <c:pt idx="165">
                  <c:v>3000</c:v>
                </c:pt>
                <c:pt idx="166">
                  <c:v>3000</c:v>
                </c:pt>
                <c:pt idx="167">
                  <c:v>3000</c:v>
                </c:pt>
                <c:pt idx="168">
                  <c:v>3000</c:v>
                </c:pt>
                <c:pt idx="169">
                  <c:v>3000</c:v>
                </c:pt>
                <c:pt idx="170">
                  <c:v>3000</c:v>
                </c:pt>
                <c:pt idx="171">
                  <c:v>3000</c:v>
                </c:pt>
                <c:pt idx="172">
                  <c:v>3000</c:v>
                </c:pt>
                <c:pt idx="173">
                  <c:v>3000</c:v>
                </c:pt>
                <c:pt idx="174">
                  <c:v>3000</c:v>
                </c:pt>
                <c:pt idx="175">
                  <c:v>3000</c:v>
                </c:pt>
                <c:pt idx="176">
                  <c:v>3000</c:v>
                </c:pt>
                <c:pt idx="177">
                  <c:v>3000</c:v>
                </c:pt>
                <c:pt idx="178">
                  <c:v>3000</c:v>
                </c:pt>
                <c:pt idx="179">
                  <c:v>3000</c:v>
                </c:pt>
                <c:pt idx="180">
                  <c:v>3000</c:v>
                </c:pt>
                <c:pt idx="181">
                  <c:v>3000</c:v>
                </c:pt>
                <c:pt idx="182">
                  <c:v>3000</c:v>
                </c:pt>
                <c:pt idx="183">
                  <c:v>3000</c:v>
                </c:pt>
                <c:pt idx="184">
                  <c:v>3000</c:v>
                </c:pt>
                <c:pt idx="185">
                  <c:v>3000</c:v>
                </c:pt>
                <c:pt idx="186">
                  <c:v>3000</c:v>
                </c:pt>
                <c:pt idx="187">
                  <c:v>3000</c:v>
                </c:pt>
                <c:pt idx="188">
                  <c:v>3000</c:v>
                </c:pt>
                <c:pt idx="189">
                  <c:v>3000</c:v>
                </c:pt>
                <c:pt idx="190">
                  <c:v>3000</c:v>
                </c:pt>
                <c:pt idx="191">
                  <c:v>3000</c:v>
                </c:pt>
                <c:pt idx="192">
                  <c:v>3000</c:v>
                </c:pt>
                <c:pt idx="193">
                  <c:v>3000</c:v>
                </c:pt>
                <c:pt idx="194">
                  <c:v>3000</c:v>
                </c:pt>
                <c:pt idx="195">
                  <c:v>3000</c:v>
                </c:pt>
                <c:pt idx="196">
                  <c:v>3000</c:v>
                </c:pt>
                <c:pt idx="197">
                  <c:v>3000</c:v>
                </c:pt>
                <c:pt idx="198">
                  <c:v>3000</c:v>
                </c:pt>
                <c:pt idx="199">
                  <c:v>3000</c:v>
                </c:pt>
                <c:pt idx="200">
                  <c:v>3000</c:v>
                </c:pt>
                <c:pt idx="201">
                  <c:v>3000</c:v>
                </c:pt>
                <c:pt idx="202">
                  <c:v>3000</c:v>
                </c:pt>
                <c:pt idx="203">
                  <c:v>3000</c:v>
                </c:pt>
                <c:pt idx="204">
                  <c:v>3000</c:v>
                </c:pt>
                <c:pt idx="205">
                  <c:v>3000</c:v>
                </c:pt>
                <c:pt idx="206">
                  <c:v>3000</c:v>
                </c:pt>
                <c:pt idx="207">
                  <c:v>3000</c:v>
                </c:pt>
                <c:pt idx="208">
                  <c:v>3000</c:v>
                </c:pt>
                <c:pt idx="209">
                  <c:v>3000</c:v>
                </c:pt>
                <c:pt idx="210">
                  <c:v>3000</c:v>
                </c:pt>
                <c:pt idx="211">
                  <c:v>3000</c:v>
                </c:pt>
                <c:pt idx="212">
                  <c:v>3000</c:v>
                </c:pt>
                <c:pt idx="213">
                  <c:v>3000</c:v>
                </c:pt>
                <c:pt idx="214">
                  <c:v>3000</c:v>
                </c:pt>
                <c:pt idx="215">
                  <c:v>3000</c:v>
                </c:pt>
                <c:pt idx="216">
                  <c:v>3000</c:v>
                </c:pt>
                <c:pt idx="217">
                  <c:v>3000</c:v>
                </c:pt>
                <c:pt idx="218">
                  <c:v>3000</c:v>
                </c:pt>
                <c:pt idx="219">
                  <c:v>3000</c:v>
                </c:pt>
                <c:pt idx="220">
                  <c:v>3000</c:v>
                </c:pt>
                <c:pt idx="221">
                  <c:v>3000</c:v>
                </c:pt>
                <c:pt idx="222">
                  <c:v>3000</c:v>
                </c:pt>
                <c:pt idx="223">
                  <c:v>3000</c:v>
                </c:pt>
                <c:pt idx="224">
                  <c:v>3000</c:v>
                </c:pt>
                <c:pt idx="225">
                  <c:v>3000</c:v>
                </c:pt>
                <c:pt idx="226">
                  <c:v>3000</c:v>
                </c:pt>
                <c:pt idx="227">
                  <c:v>3000</c:v>
                </c:pt>
                <c:pt idx="228">
                  <c:v>3000</c:v>
                </c:pt>
                <c:pt idx="229">
                  <c:v>3000</c:v>
                </c:pt>
                <c:pt idx="230">
                  <c:v>3000</c:v>
                </c:pt>
                <c:pt idx="231">
                  <c:v>3000</c:v>
                </c:pt>
                <c:pt idx="232">
                  <c:v>3000</c:v>
                </c:pt>
                <c:pt idx="233">
                  <c:v>3000</c:v>
                </c:pt>
                <c:pt idx="234">
                  <c:v>3000</c:v>
                </c:pt>
                <c:pt idx="235">
                  <c:v>3000</c:v>
                </c:pt>
                <c:pt idx="236">
                  <c:v>3000</c:v>
                </c:pt>
                <c:pt idx="237">
                  <c:v>3000</c:v>
                </c:pt>
                <c:pt idx="238">
                  <c:v>3000</c:v>
                </c:pt>
                <c:pt idx="239">
                  <c:v>3000</c:v>
                </c:pt>
                <c:pt idx="240">
                  <c:v>3000</c:v>
                </c:pt>
                <c:pt idx="241">
                  <c:v>3000</c:v>
                </c:pt>
                <c:pt idx="242">
                  <c:v>3000</c:v>
                </c:pt>
                <c:pt idx="243">
                  <c:v>3000</c:v>
                </c:pt>
                <c:pt idx="244">
                  <c:v>3000</c:v>
                </c:pt>
                <c:pt idx="245">
                  <c:v>3000</c:v>
                </c:pt>
                <c:pt idx="246">
                  <c:v>3000</c:v>
                </c:pt>
                <c:pt idx="247">
                  <c:v>3000</c:v>
                </c:pt>
                <c:pt idx="248">
                  <c:v>3000</c:v>
                </c:pt>
                <c:pt idx="249">
                  <c:v>3000</c:v>
                </c:pt>
                <c:pt idx="250">
                  <c:v>3000</c:v>
                </c:pt>
                <c:pt idx="251">
                  <c:v>3000</c:v>
                </c:pt>
                <c:pt idx="252">
                  <c:v>3000</c:v>
                </c:pt>
                <c:pt idx="253">
                  <c:v>3000</c:v>
                </c:pt>
                <c:pt idx="254">
                  <c:v>3000</c:v>
                </c:pt>
                <c:pt idx="255">
                  <c:v>3000</c:v>
                </c:pt>
                <c:pt idx="256">
                  <c:v>3000</c:v>
                </c:pt>
                <c:pt idx="257">
                  <c:v>3000</c:v>
                </c:pt>
                <c:pt idx="258">
                  <c:v>3000</c:v>
                </c:pt>
                <c:pt idx="259">
                  <c:v>3000</c:v>
                </c:pt>
                <c:pt idx="260">
                  <c:v>3000</c:v>
                </c:pt>
                <c:pt idx="261">
                  <c:v>3000</c:v>
                </c:pt>
                <c:pt idx="262">
                  <c:v>3000</c:v>
                </c:pt>
                <c:pt idx="263">
                  <c:v>3000</c:v>
                </c:pt>
                <c:pt idx="264">
                  <c:v>3000</c:v>
                </c:pt>
                <c:pt idx="265">
                  <c:v>3000</c:v>
                </c:pt>
                <c:pt idx="266">
                  <c:v>3000</c:v>
                </c:pt>
                <c:pt idx="267">
                  <c:v>3000</c:v>
                </c:pt>
                <c:pt idx="268">
                  <c:v>3000</c:v>
                </c:pt>
                <c:pt idx="269">
                  <c:v>3000</c:v>
                </c:pt>
                <c:pt idx="270">
                  <c:v>3000</c:v>
                </c:pt>
                <c:pt idx="271">
                  <c:v>3000</c:v>
                </c:pt>
                <c:pt idx="272">
                  <c:v>3000</c:v>
                </c:pt>
                <c:pt idx="273">
                  <c:v>3000</c:v>
                </c:pt>
                <c:pt idx="274">
                  <c:v>3000</c:v>
                </c:pt>
                <c:pt idx="275">
                  <c:v>3000</c:v>
                </c:pt>
                <c:pt idx="276">
                  <c:v>3000</c:v>
                </c:pt>
                <c:pt idx="277">
                  <c:v>3000</c:v>
                </c:pt>
                <c:pt idx="278">
                  <c:v>3000</c:v>
                </c:pt>
                <c:pt idx="279">
                  <c:v>3000</c:v>
                </c:pt>
                <c:pt idx="280">
                  <c:v>3000</c:v>
                </c:pt>
                <c:pt idx="281">
                  <c:v>3000</c:v>
                </c:pt>
                <c:pt idx="282">
                  <c:v>3000</c:v>
                </c:pt>
                <c:pt idx="283">
                  <c:v>3000</c:v>
                </c:pt>
                <c:pt idx="284">
                  <c:v>3000</c:v>
                </c:pt>
                <c:pt idx="285">
                  <c:v>3000</c:v>
                </c:pt>
                <c:pt idx="286">
                  <c:v>3000</c:v>
                </c:pt>
                <c:pt idx="287">
                  <c:v>3000</c:v>
                </c:pt>
                <c:pt idx="288">
                  <c:v>3000</c:v>
                </c:pt>
                <c:pt idx="289">
                  <c:v>3000</c:v>
                </c:pt>
                <c:pt idx="290">
                  <c:v>3000</c:v>
                </c:pt>
                <c:pt idx="291">
                  <c:v>3000</c:v>
                </c:pt>
                <c:pt idx="292">
                  <c:v>3000</c:v>
                </c:pt>
                <c:pt idx="293">
                  <c:v>3000</c:v>
                </c:pt>
                <c:pt idx="294">
                  <c:v>3000</c:v>
                </c:pt>
                <c:pt idx="295">
                  <c:v>3000</c:v>
                </c:pt>
                <c:pt idx="296">
                  <c:v>3000</c:v>
                </c:pt>
                <c:pt idx="297">
                  <c:v>3000</c:v>
                </c:pt>
                <c:pt idx="298">
                  <c:v>3000</c:v>
                </c:pt>
                <c:pt idx="299">
                  <c:v>3000</c:v>
                </c:pt>
                <c:pt idx="300">
                  <c:v>3000</c:v>
                </c:pt>
                <c:pt idx="301">
                  <c:v>3000</c:v>
                </c:pt>
                <c:pt idx="302">
                  <c:v>3000</c:v>
                </c:pt>
                <c:pt idx="303">
                  <c:v>3000</c:v>
                </c:pt>
                <c:pt idx="304">
                  <c:v>3000</c:v>
                </c:pt>
                <c:pt idx="305">
                  <c:v>3000</c:v>
                </c:pt>
                <c:pt idx="306">
                  <c:v>3000</c:v>
                </c:pt>
                <c:pt idx="307">
                  <c:v>3000</c:v>
                </c:pt>
                <c:pt idx="308">
                  <c:v>3000</c:v>
                </c:pt>
                <c:pt idx="309">
                  <c:v>3000</c:v>
                </c:pt>
                <c:pt idx="310">
                  <c:v>3000</c:v>
                </c:pt>
                <c:pt idx="311">
                  <c:v>3000</c:v>
                </c:pt>
                <c:pt idx="312">
                  <c:v>3000</c:v>
                </c:pt>
                <c:pt idx="313">
                  <c:v>3000</c:v>
                </c:pt>
                <c:pt idx="314">
                  <c:v>3000</c:v>
                </c:pt>
                <c:pt idx="315">
                  <c:v>3000</c:v>
                </c:pt>
                <c:pt idx="316">
                  <c:v>3000</c:v>
                </c:pt>
                <c:pt idx="317">
                  <c:v>3000</c:v>
                </c:pt>
                <c:pt idx="318">
                  <c:v>3000</c:v>
                </c:pt>
                <c:pt idx="319">
                  <c:v>3000</c:v>
                </c:pt>
                <c:pt idx="320">
                  <c:v>3000</c:v>
                </c:pt>
                <c:pt idx="321">
                  <c:v>3000</c:v>
                </c:pt>
                <c:pt idx="322">
                  <c:v>3000</c:v>
                </c:pt>
                <c:pt idx="323">
                  <c:v>3000</c:v>
                </c:pt>
                <c:pt idx="324">
                  <c:v>3000</c:v>
                </c:pt>
                <c:pt idx="325">
                  <c:v>3000</c:v>
                </c:pt>
                <c:pt idx="326">
                  <c:v>3000</c:v>
                </c:pt>
                <c:pt idx="327">
                  <c:v>3000</c:v>
                </c:pt>
                <c:pt idx="328">
                  <c:v>3000</c:v>
                </c:pt>
                <c:pt idx="329">
                  <c:v>3000</c:v>
                </c:pt>
                <c:pt idx="330">
                  <c:v>3000</c:v>
                </c:pt>
                <c:pt idx="331">
                  <c:v>3000</c:v>
                </c:pt>
                <c:pt idx="332">
                  <c:v>3000</c:v>
                </c:pt>
                <c:pt idx="333">
                  <c:v>3000</c:v>
                </c:pt>
                <c:pt idx="334">
                  <c:v>3000</c:v>
                </c:pt>
                <c:pt idx="335">
                  <c:v>3000</c:v>
                </c:pt>
                <c:pt idx="336">
                  <c:v>3000</c:v>
                </c:pt>
                <c:pt idx="337">
                  <c:v>3000</c:v>
                </c:pt>
                <c:pt idx="338">
                  <c:v>3000</c:v>
                </c:pt>
                <c:pt idx="339">
                  <c:v>3000</c:v>
                </c:pt>
                <c:pt idx="340">
                  <c:v>3000</c:v>
                </c:pt>
                <c:pt idx="341">
                  <c:v>3000</c:v>
                </c:pt>
                <c:pt idx="342">
                  <c:v>3000</c:v>
                </c:pt>
                <c:pt idx="343">
                  <c:v>3000</c:v>
                </c:pt>
                <c:pt idx="344">
                  <c:v>3000</c:v>
                </c:pt>
                <c:pt idx="345">
                  <c:v>3000</c:v>
                </c:pt>
                <c:pt idx="346">
                  <c:v>3000</c:v>
                </c:pt>
                <c:pt idx="347">
                  <c:v>3000</c:v>
                </c:pt>
                <c:pt idx="348">
                  <c:v>3000</c:v>
                </c:pt>
                <c:pt idx="349">
                  <c:v>3000</c:v>
                </c:pt>
                <c:pt idx="350">
                  <c:v>3000</c:v>
                </c:pt>
                <c:pt idx="351">
                  <c:v>3000</c:v>
                </c:pt>
                <c:pt idx="352">
                  <c:v>3000</c:v>
                </c:pt>
                <c:pt idx="353">
                  <c:v>3000</c:v>
                </c:pt>
                <c:pt idx="354">
                  <c:v>3000</c:v>
                </c:pt>
                <c:pt idx="355">
                  <c:v>3000</c:v>
                </c:pt>
                <c:pt idx="356">
                  <c:v>3000</c:v>
                </c:pt>
                <c:pt idx="357">
                  <c:v>3000</c:v>
                </c:pt>
                <c:pt idx="358">
                  <c:v>3000</c:v>
                </c:pt>
                <c:pt idx="359">
                  <c:v>3000</c:v>
                </c:pt>
                <c:pt idx="360">
                  <c:v>3000</c:v>
                </c:pt>
                <c:pt idx="361">
                  <c:v>3000</c:v>
                </c:pt>
                <c:pt idx="362">
                  <c:v>3000</c:v>
                </c:pt>
                <c:pt idx="363">
                  <c:v>3000</c:v>
                </c:pt>
                <c:pt idx="364">
                  <c:v>3000</c:v>
                </c:pt>
                <c:pt idx="365">
                  <c:v>3000</c:v>
                </c:pt>
                <c:pt idx="366">
                  <c:v>3000</c:v>
                </c:pt>
                <c:pt idx="367">
                  <c:v>3000</c:v>
                </c:pt>
                <c:pt idx="368">
                  <c:v>3000</c:v>
                </c:pt>
                <c:pt idx="369">
                  <c:v>3000</c:v>
                </c:pt>
                <c:pt idx="370">
                  <c:v>3000</c:v>
                </c:pt>
                <c:pt idx="371">
                  <c:v>3000</c:v>
                </c:pt>
                <c:pt idx="372">
                  <c:v>3000</c:v>
                </c:pt>
                <c:pt idx="373">
                  <c:v>3000</c:v>
                </c:pt>
                <c:pt idx="374">
                  <c:v>3000</c:v>
                </c:pt>
                <c:pt idx="375">
                  <c:v>3000</c:v>
                </c:pt>
                <c:pt idx="376">
                  <c:v>3000</c:v>
                </c:pt>
                <c:pt idx="377">
                  <c:v>3000</c:v>
                </c:pt>
                <c:pt idx="378">
                  <c:v>3000</c:v>
                </c:pt>
                <c:pt idx="379">
                  <c:v>3000</c:v>
                </c:pt>
                <c:pt idx="380">
                  <c:v>3000</c:v>
                </c:pt>
                <c:pt idx="381">
                  <c:v>3000</c:v>
                </c:pt>
                <c:pt idx="382">
                  <c:v>3000</c:v>
                </c:pt>
                <c:pt idx="383">
                  <c:v>3000</c:v>
                </c:pt>
                <c:pt idx="384">
                  <c:v>3000</c:v>
                </c:pt>
                <c:pt idx="385">
                  <c:v>3000</c:v>
                </c:pt>
                <c:pt idx="386">
                  <c:v>3000</c:v>
                </c:pt>
                <c:pt idx="387">
                  <c:v>3000</c:v>
                </c:pt>
                <c:pt idx="388">
                  <c:v>3000</c:v>
                </c:pt>
                <c:pt idx="389">
                  <c:v>3000</c:v>
                </c:pt>
                <c:pt idx="390">
                  <c:v>3000</c:v>
                </c:pt>
                <c:pt idx="391">
                  <c:v>3000</c:v>
                </c:pt>
                <c:pt idx="392">
                  <c:v>3000</c:v>
                </c:pt>
                <c:pt idx="393">
                  <c:v>3000</c:v>
                </c:pt>
                <c:pt idx="394">
                  <c:v>3000</c:v>
                </c:pt>
                <c:pt idx="395">
                  <c:v>3000</c:v>
                </c:pt>
                <c:pt idx="396">
                  <c:v>3000</c:v>
                </c:pt>
                <c:pt idx="397">
                  <c:v>3000</c:v>
                </c:pt>
                <c:pt idx="398">
                  <c:v>3000</c:v>
                </c:pt>
                <c:pt idx="399">
                  <c:v>3000</c:v>
                </c:pt>
                <c:pt idx="400">
                  <c:v>3000</c:v>
                </c:pt>
                <c:pt idx="401">
                  <c:v>3000</c:v>
                </c:pt>
                <c:pt idx="402">
                  <c:v>3000</c:v>
                </c:pt>
                <c:pt idx="403">
                  <c:v>3000</c:v>
                </c:pt>
                <c:pt idx="404">
                  <c:v>3000</c:v>
                </c:pt>
                <c:pt idx="405">
                  <c:v>3000</c:v>
                </c:pt>
                <c:pt idx="406">
                  <c:v>3000</c:v>
                </c:pt>
                <c:pt idx="407">
                  <c:v>3000</c:v>
                </c:pt>
                <c:pt idx="408">
                  <c:v>3000</c:v>
                </c:pt>
                <c:pt idx="409">
                  <c:v>3000</c:v>
                </c:pt>
                <c:pt idx="410">
                  <c:v>3000</c:v>
                </c:pt>
                <c:pt idx="411">
                  <c:v>3000</c:v>
                </c:pt>
                <c:pt idx="412">
                  <c:v>3000</c:v>
                </c:pt>
                <c:pt idx="413">
                  <c:v>3000</c:v>
                </c:pt>
                <c:pt idx="414">
                  <c:v>3000</c:v>
                </c:pt>
                <c:pt idx="415">
                  <c:v>3000</c:v>
                </c:pt>
                <c:pt idx="416">
                  <c:v>3000</c:v>
                </c:pt>
                <c:pt idx="417">
                  <c:v>3000</c:v>
                </c:pt>
                <c:pt idx="418">
                  <c:v>3000</c:v>
                </c:pt>
                <c:pt idx="419">
                  <c:v>3000</c:v>
                </c:pt>
                <c:pt idx="420">
                  <c:v>3000</c:v>
                </c:pt>
                <c:pt idx="421">
                  <c:v>3000</c:v>
                </c:pt>
                <c:pt idx="422">
                  <c:v>3000</c:v>
                </c:pt>
                <c:pt idx="423">
                  <c:v>3000</c:v>
                </c:pt>
                <c:pt idx="424">
                  <c:v>3000</c:v>
                </c:pt>
                <c:pt idx="425">
                  <c:v>3000</c:v>
                </c:pt>
                <c:pt idx="426">
                  <c:v>3000</c:v>
                </c:pt>
                <c:pt idx="427">
                  <c:v>3000</c:v>
                </c:pt>
                <c:pt idx="428">
                  <c:v>3000</c:v>
                </c:pt>
                <c:pt idx="429">
                  <c:v>3000</c:v>
                </c:pt>
                <c:pt idx="430">
                  <c:v>3000</c:v>
                </c:pt>
                <c:pt idx="431">
                  <c:v>3000</c:v>
                </c:pt>
                <c:pt idx="432">
                  <c:v>3000</c:v>
                </c:pt>
                <c:pt idx="433">
                  <c:v>3000</c:v>
                </c:pt>
                <c:pt idx="434">
                  <c:v>3000</c:v>
                </c:pt>
                <c:pt idx="435">
                  <c:v>3000</c:v>
                </c:pt>
                <c:pt idx="436">
                  <c:v>3000</c:v>
                </c:pt>
                <c:pt idx="437">
                  <c:v>3000</c:v>
                </c:pt>
                <c:pt idx="438">
                  <c:v>3000</c:v>
                </c:pt>
                <c:pt idx="439">
                  <c:v>3000</c:v>
                </c:pt>
                <c:pt idx="440">
                  <c:v>3000</c:v>
                </c:pt>
                <c:pt idx="441">
                  <c:v>3000</c:v>
                </c:pt>
                <c:pt idx="442">
                  <c:v>3000</c:v>
                </c:pt>
                <c:pt idx="443">
                  <c:v>3000</c:v>
                </c:pt>
                <c:pt idx="444">
                  <c:v>3000</c:v>
                </c:pt>
                <c:pt idx="445">
                  <c:v>3000</c:v>
                </c:pt>
                <c:pt idx="446">
                  <c:v>3000</c:v>
                </c:pt>
                <c:pt idx="447">
                  <c:v>3000</c:v>
                </c:pt>
                <c:pt idx="448">
                  <c:v>3000</c:v>
                </c:pt>
                <c:pt idx="449">
                  <c:v>3000</c:v>
                </c:pt>
                <c:pt idx="450">
                  <c:v>3000</c:v>
                </c:pt>
                <c:pt idx="451">
                  <c:v>3000</c:v>
                </c:pt>
                <c:pt idx="452">
                  <c:v>3000</c:v>
                </c:pt>
                <c:pt idx="453">
                  <c:v>3000</c:v>
                </c:pt>
                <c:pt idx="454">
                  <c:v>3000</c:v>
                </c:pt>
                <c:pt idx="455">
                  <c:v>3000</c:v>
                </c:pt>
                <c:pt idx="456">
                  <c:v>3000</c:v>
                </c:pt>
                <c:pt idx="457">
                  <c:v>3000</c:v>
                </c:pt>
                <c:pt idx="458">
                  <c:v>3000</c:v>
                </c:pt>
                <c:pt idx="459">
                  <c:v>3000</c:v>
                </c:pt>
                <c:pt idx="460">
                  <c:v>3000</c:v>
                </c:pt>
                <c:pt idx="461">
                  <c:v>3000</c:v>
                </c:pt>
                <c:pt idx="462">
                  <c:v>3000</c:v>
                </c:pt>
                <c:pt idx="463">
                  <c:v>3000</c:v>
                </c:pt>
                <c:pt idx="464">
                  <c:v>3000</c:v>
                </c:pt>
                <c:pt idx="465">
                  <c:v>3000</c:v>
                </c:pt>
                <c:pt idx="466">
                  <c:v>3000</c:v>
                </c:pt>
                <c:pt idx="467">
                  <c:v>3000</c:v>
                </c:pt>
                <c:pt idx="468">
                  <c:v>3000</c:v>
                </c:pt>
                <c:pt idx="469">
                  <c:v>3000</c:v>
                </c:pt>
                <c:pt idx="470">
                  <c:v>3000</c:v>
                </c:pt>
                <c:pt idx="471">
                  <c:v>3000</c:v>
                </c:pt>
                <c:pt idx="472">
                  <c:v>3000</c:v>
                </c:pt>
                <c:pt idx="473">
                  <c:v>3000</c:v>
                </c:pt>
                <c:pt idx="474">
                  <c:v>3000</c:v>
                </c:pt>
                <c:pt idx="475">
                  <c:v>3000</c:v>
                </c:pt>
                <c:pt idx="476">
                  <c:v>3000</c:v>
                </c:pt>
                <c:pt idx="477">
                  <c:v>3000</c:v>
                </c:pt>
                <c:pt idx="478">
                  <c:v>3000</c:v>
                </c:pt>
                <c:pt idx="479">
                  <c:v>3000</c:v>
                </c:pt>
                <c:pt idx="480">
                  <c:v>3000</c:v>
                </c:pt>
                <c:pt idx="481">
                  <c:v>3000</c:v>
                </c:pt>
                <c:pt idx="482">
                  <c:v>3000</c:v>
                </c:pt>
                <c:pt idx="483">
                  <c:v>3000</c:v>
                </c:pt>
                <c:pt idx="484">
                  <c:v>3000</c:v>
                </c:pt>
                <c:pt idx="485">
                  <c:v>3000</c:v>
                </c:pt>
                <c:pt idx="486">
                  <c:v>3000</c:v>
                </c:pt>
                <c:pt idx="487">
                  <c:v>3000</c:v>
                </c:pt>
                <c:pt idx="488">
                  <c:v>3000</c:v>
                </c:pt>
                <c:pt idx="489">
                  <c:v>3000</c:v>
                </c:pt>
                <c:pt idx="490">
                  <c:v>3000</c:v>
                </c:pt>
                <c:pt idx="491">
                  <c:v>3000</c:v>
                </c:pt>
                <c:pt idx="492">
                  <c:v>3000</c:v>
                </c:pt>
                <c:pt idx="493">
                  <c:v>3000</c:v>
                </c:pt>
                <c:pt idx="494">
                  <c:v>3000</c:v>
                </c:pt>
                <c:pt idx="495">
                  <c:v>3000</c:v>
                </c:pt>
                <c:pt idx="496">
                  <c:v>3000</c:v>
                </c:pt>
                <c:pt idx="497">
                  <c:v>3000</c:v>
                </c:pt>
                <c:pt idx="498">
                  <c:v>3000</c:v>
                </c:pt>
                <c:pt idx="499">
                  <c:v>3000</c:v>
                </c:pt>
                <c:pt idx="500">
                  <c:v>3000</c:v>
                </c:pt>
                <c:pt idx="501">
                  <c:v>3000</c:v>
                </c:pt>
                <c:pt idx="502">
                  <c:v>3000</c:v>
                </c:pt>
                <c:pt idx="503">
                  <c:v>3000</c:v>
                </c:pt>
                <c:pt idx="504">
                  <c:v>3000</c:v>
                </c:pt>
                <c:pt idx="505">
                  <c:v>3000</c:v>
                </c:pt>
                <c:pt idx="506">
                  <c:v>3000</c:v>
                </c:pt>
                <c:pt idx="507">
                  <c:v>3000</c:v>
                </c:pt>
                <c:pt idx="508">
                  <c:v>3000</c:v>
                </c:pt>
                <c:pt idx="509">
                  <c:v>3000</c:v>
                </c:pt>
                <c:pt idx="510">
                  <c:v>3000</c:v>
                </c:pt>
                <c:pt idx="511">
                  <c:v>3000</c:v>
                </c:pt>
                <c:pt idx="512">
                  <c:v>3000</c:v>
                </c:pt>
                <c:pt idx="513">
                  <c:v>3000</c:v>
                </c:pt>
                <c:pt idx="514">
                  <c:v>3000</c:v>
                </c:pt>
                <c:pt idx="515">
                  <c:v>3000</c:v>
                </c:pt>
                <c:pt idx="516">
                  <c:v>3000</c:v>
                </c:pt>
                <c:pt idx="517">
                  <c:v>3000</c:v>
                </c:pt>
                <c:pt idx="518">
                  <c:v>3000</c:v>
                </c:pt>
                <c:pt idx="519">
                  <c:v>3000</c:v>
                </c:pt>
                <c:pt idx="520">
                  <c:v>3000</c:v>
                </c:pt>
                <c:pt idx="521">
                  <c:v>3000</c:v>
                </c:pt>
                <c:pt idx="522">
                  <c:v>3000</c:v>
                </c:pt>
                <c:pt idx="523">
                  <c:v>3000</c:v>
                </c:pt>
                <c:pt idx="524">
                  <c:v>3000</c:v>
                </c:pt>
                <c:pt idx="525">
                  <c:v>3000</c:v>
                </c:pt>
                <c:pt idx="526">
                  <c:v>3000</c:v>
                </c:pt>
                <c:pt idx="527">
                  <c:v>3000</c:v>
                </c:pt>
                <c:pt idx="528">
                  <c:v>3000</c:v>
                </c:pt>
                <c:pt idx="529">
                  <c:v>3000</c:v>
                </c:pt>
                <c:pt idx="530">
                  <c:v>3000</c:v>
                </c:pt>
                <c:pt idx="531">
                  <c:v>3000</c:v>
                </c:pt>
                <c:pt idx="532">
                  <c:v>3000</c:v>
                </c:pt>
                <c:pt idx="533">
                  <c:v>3000</c:v>
                </c:pt>
                <c:pt idx="534">
                  <c:v>3000</c:v>
                </c:pt>
                <c:pt idx="535">
                  <c:v>3000</c:v>
                </c:pt>
                <c:pt idx="536">
                  <c:v>3000</c:v>
                </c:pt>
                <c:pt idx="537">
                  <c:v>3000</c:v>
                </c:pt>
                <c:pt idx="538">
                  <c:v>3000</c:v>
                </c:pt>
                <c:pt idx="539">
                  <c:v>3000</c:v>
                </c:pt>
                <c:pt idx="540">
                  <c:v>3000</c:v>
                </c:pt>
                <c:pt idx="541">
                  <c:v>3000</c:v>
                </c:pt>
                <c:pt idx="542">
                  <c:v>3000</c:v>
                </c:pt>
                <c:pt idx="543">
                  <c:v>3000</c:v>
                </c:pt>
                <c:pt idx="544">
                  <c:v>3000</c:v>
                </c:pt>
                <c:pt idx="545">
                  <c:v>3000</c:v>
                </c:pt>
                <c:pt idx="546">
                  <c:v>3000</c:v>
                </c:pt>
                <c:pt idx="547">
                  <c:v>3000</c:v>
                </c:pt>
                <c:pt idx="548">
                  <c:v>3000</c:v>
                </c:pt>
                <c:pt idx="549">
                  <c:v>3000</c:v>
                </c:pt>
                <c:pt idx="550">
                  <c:v>3000</c:v>
                </c:pt>
                <c:pt idx="551">
                  <c:v>3000</c:v>
                </c:pt>
                <c:pt idx="552">
                  <c:v>3000</c:v>
                </c:pt>
                <c:pt idx="553">
                  <c:v>3000</c:v>
                </c:pt>
                <c:pt idx="554">
                  <c:v>3000</c:v>
                </c:pt>
                <c:pt idx="555">
                  <c:v>3000</c:v>
                </c:pt>
                <c:pt idx="556">
                  <c:v>3000</c:v>
                </c:pt>
                <c:pt idx="557">
                  <c:v>3000</c:v>
                </c:pt>
                <c:pt idx="558">
                  <c:v>3000</c:v>
                </c:pt>
                <c:pt idx="559">
                  <c:v>3000</c:v>
                </c:pt>
                <c:pt idx="560">
                  <c:v>3000</c:v>
                </c:pt>
                <c:pt idx="561">
                  <c:v>3000</c:v>
                </c:pt>
                <c:pt idx="562">
                  <c:v>3000</c:v>
                </c:pt>
                <c:pt idx="563">
                  <c:v>3000</c:v>
                </c:pt>
                <c:pt idx="564">
                  <c:v>3000</c:v>
                </c:pt>
                <c:pt idx="565">
                  <c:v>3000</c:v>
                </c:pt>
                <c:pt idx="566">
                  <c:v>3000</c:v>
                </c:pt>
                <c:pt idx="567">
                  <c:v>3000</c:v>
                </c:pt>
                <c:pt idx="568">
                  <c:v>3000</c:v>
                </c:pt>
                <c:pt idx="569">
                  <c:v>3000</c:v>
                </c:pt>
                <c:pt idx="570">
                  <c:v>3000</c:v>
                </c:pt>
                <c:pt idx="571">
                  <c:v>3000</c:v>
                </c:pt>
                <c:pt idx="572">
                  <c:v>3000</c:v>
                </c:pt>
                <c:pt idx="573">
                  <c:v>3000</c:v>
                </c:pt>
                <c:pt idx="574">
                  <c:v>3000</c:v>
                </c:pt>
                <c:pt idx="575">
                  <c:v>3000</c:v>
                </c:pt>
                <c:pt idx="576">
                  <c:v>3000</c:v>
                </c:pt>
                <c:pt idx="577">
                  <c:v>3000</c:v>
                </c:pt>
                <c:pt idx="578">
                  <c:v>3000</c:v>
                </c:pt>
                <c:pt idx="579">
                  <c:v>3000</c:v>
                </c:pt>
                <c:pt idx="580">
                  <c:v>3000</c:v>
                </c:pt>
                <c:pt idx="581">
                  <c:v>3000</c:v>
                </c:pt>
                <c:pt idx="582">
                  <c:v>3000</c:v>
                </c:pt>
                <c:pt idx="583">
                  <c:v>3000</c:v>
                </c:pt>
                <c:pt idx="584">
                  <c:v>3000</c:v>
                </c:pt>
                <c:pt idx="585">
                  <c:v>3000</c:v>
                </c:pt>
                <c:pt idx="586">
                  <c:v>3000</c:v>
                </c:pt>
                <c:pt idx="587">
                  <c:v>3000</c:v>
                </c:pt>
                <c:pt idx="588">
                  <c:v>3000</c:v>
                </c:pt>
                <c:pt idx="589">
                  <c:v>3000</c:v>
                </c:pt>
                <c:pt idx="590">
                  <c:v>3000</c:v>
                </c:pt>
                <c:pt idx="591">
                  <c:v>3000</c:v>
                </c:pt>
                <c:pt idx="592">
                  <c:v>3000</c:v>
                </c:pt>
                <c:pt idx="593">
                  <c:v>3000</c:v>
                </c:pt>
                <c:pt idx="594">
                  <c:v>3000</c:v>
                </c:pt>
                <c:pt idx="595">
                  <c:v>3000</c:v>
                </c:pt>
                <c:pt idx="596">
                  <c:v>3000</c:v>
                </c:pt>
                <c:pt idx="597">
                  <c:v>3000</c:v>
                </c:pt>
                <c:pt idx="598">
                  <c:v>3000</c:v>
                </c:pt>
                <c:pt idx="599">
                  <c:v>3000</c:v>
                </c:pt>
                <c:pt idx="600">
                  <c:v>3000</c:v>
                </c:pt>
                <c:pt idx="601">
                  <c:v>3000</c:v>
                </c:pt>
                <c:pt idx="602">
                  <c:v>3000</c:v>
                </c:pt>
                <c:pt idx="603">
                  <c:v>3000</c:v>
                </c:pt>
                <c:pt idx="604">
                  <c:v>3000</c:v>
                </c:pt>
                <c:pt idx="605">
                  <c:v>3000</c:v>
                </c:pt>
                <c:pt idx="606">
                  <c:v>3000</c:v>
                </c:pt>
                <c:pt idx="607">
                  <c:v>3000</c:v>
                </c:pt>
                <c:pt idx="608">
                  <c:v>3000</c:v>
                </c:pt>
                <c:pt idx="609">
                  <c:v>3000</c:v>
                </c:pt>
                <c:pt idx="610">
                  <c:v>3000</c:v>
                </c:pt>
                <c:pt idx="611">
                  <c:v>3000</c:v>
                </c:pt>
                <c:pt idx="612">
                  <c:v>3000</c:v>
                </c:pt>
                <c:pt idx="613">
                  <c:v>3000</c:v>
                </c:pt>
                <c:pt idx="614">
                  <c:v>3000</c:v>
                </c:pt>
                <c:pt idx="615">
                  <c:v>3000</c:v>
                </c:pt>
                <c:pt idx="616">
                  <c:v>3000</c:v>
                </c:pt>
                <c:pt idx="617">
                  <c:v>3000</c:v>
                </c:pt>
                <c:pt idx="618">
                  <c:v>3000</c:v>
                </c:pt>
                <c:pt idx="619">
                  <c:v>3000</c:v>
                </c:pt>
                <c:pt idx="620">
                  <c:v>3000</c:v>
                </c:pt>
                <c:pt idx="621">
                  <c:v>3000</c:v>
                </c:pt>
                <c:pt idx="622">
                  <c:v>3000</c:v>
                </c:pt>
                <c:pt idx="623">
                  <c:v>3000</c:v>
                </c:pt>
                <c:pt idx="624">
                  <c:v>3000</c:v>
                </c:pt>
                <c:pt idx="625">
                  <c:v>3000</c:v>
                </c:pt>
                <c:pt idx="626">
                  <c:v>3000</c:v>
                </c:pt>
                <c:pt idx="627">
                  <c:v>3000</c:v>
                </c:pt>
                <c:pt idx="628">
                  <c:v>3000</c:v>
                </c:pt>
                <c:pt idx="629">
                  <c:v>3000</c:v>
                </c:pt>
                <c:pt idx="630">
                  <c:v>3000</c:v>
                </c:pt>
                <c:pt idx="631">
                  <c:v>3000</c:v>
                </c:pt>
                <c:pt idx="632">
                  <c:v>3000</c:v>
                </c:pt>
                <c:pt idx="633">
                  <c:v>3000</c:v>
                </c:pt>
                <c:pt idx="634">
                  <c:v>3000</c:v>
                </c:pt>
                <c:pt idx="635">
                  <c:v>3000</c:v>
                </c:pt>
                <c:pt idx="636">
                  <c:v>3000</c:v>
                </c:pt>
                <c:pt idx="637">
                  <c:v>3000</c:v>
                </c:pt>
                <c:pt idx="638">
                  <c:v>3000</c:v>
                </c:pt>
                <c:pt idx="639">
                  <c:v>3000</c:v>
                </c:pt>
                <c:pt idx="640">
                  <c:v>3000</c:v>
                </c:pt>
                <c:pt idx="641">
                  <c:v>3000</c:v>
                </c:pt>
                <c:pt idx="642">
                  <c:v>3000</c:v>
                </c:pt>
                <c:pt idx="643">
                  <c:v>3000</c:v>
                </c:pt>
                <c:pt idx="644">
                  <c:v>3000</c:v>
                </c:pt>
                <c:pt idx="645">
                  <c:v>3000</c:v>
                </c:pt>
                <c:pt idx="646">
                  <c:v>3000</c:v>
                </c:pt>
                <c:pt idx="647">
                  <c:v>3000</c:v>
                </c:pt>
                <c:pt idx="648">
                  <c:v>3000</c:v>
                </c:pt>
                <c:pt idx="649">
                  <c:v>3000</c:v>
                </c:pt>
                <c:pt idx="650">
                  <c:v>3000</c:v>
                </c:pt>
                <c:pt idx="651">
                  <c:v>3000</c:v>
                </c:pt>
                <c:pt idx="652">
                  <c:v>3000</c:v>
                </c:pt>
                <c:pt idx="653">
                  <c:v>3000</c:v>
                </c:pt>
                <c:pt idx="654">
                  <c:v>3000</c:v>
                </c:pt>
                <c:pt idx="655">
                  <c:v>3000</c:v>
                </c:pt>
                <c:pt idx="656">
                  <c:v>3000</c:v>
                </c:pt>
                <c:pt idx="657">
                  <c:v>3000</c:v>
                </c:pt>
                <c:pt idx="658">
                  <c:v>3000</c:v>
                </c:pt>
                <c:pt idx="659">
                  <c:v>3000</c:v>
                </c:pt>
                <c:pt idx="660">
                  <c:v>3000</c:v>
                </c:pt>
                <c:pt idx="661">
                  <c:v>3000</c:v>
                </c:pt>
                <c:pt idx="662">
                  <c:v>3000</c:v>
                </c:pt>
                <c:pt idx="663">
                  <c:v>3000</c:v>
                </c:pt>
                <c:pt idx="664">
                  <c:v>3000</c:v>
                </c:pt>
                <c:pt idx="665">
                  <c:v>3000</c:v>
                </c:pt>
                <c:pt idx="666">
                  <c:v>3000</c:v>
                </c:pt>
                <c:pt idx="667">
                  <c:v>3000</c:v>
                </c:pt>
                <c:pt idx="668">
                  <c:v>3000</c:v>
                </c:pt>
                <c:pt idx="669">
                  <c:v>3000</c:v>
                </c:pt>
                <c:pt idx="670">
                  <c:v>3000</c:v>
                </c:pt>
                <c:pt idx="671">
                  <c:v>3000</c:v>
                </c:pt>
                <c:pt idx="672">
                  <c:v>3000</c:v>
                </c:pt>
                <c:pt idx="673">
                  <c:v>3000</c:v>
                </c:pt>
                <c:pt idx="674">
                  <c:v>3000</c:v>
                </c:pt>
                <c:pt idx="675">
                  <c:v>3000</c:v>
                </c:pt>
                <c:pt idx="676">
                  <c:v>3000</c:v>
                </c:pt>
                <c:pt idx="677">
                  <c:v>3000</c:v>
                </c:pt>
                <c:pt idx="678">
                  <c:v>3000</c:v>
                </c:pt>
                <c:pt idx="679">
                  <c:v>3000</c:v>
                </c:pt>
                <c:pt idx="680">
                  <c:v>3000</c:v>
                </c:pt>
                <c:pt idx="681">
                  <c:v>3000</c:v>
                </c:pt>
                <c:pt idx="682">
                  <c:v>3000</c:v>
                </c:pt>
                <c:pt idx="683">
                  <c:v>3000</c:v>
                </c:pt>
                <c:pt idx="684">
                  <c:v>3000</c:v>
                </c:pt>
                <c:pt idx="685">
                  <c:v>3000</c:v>
                </c:pt>
                <c:pt idx="686">
                  <c:v>3000</c:v>
                </c:pt>
                <c:pt idx="687">
                  <c:v>3000</c:v>
                </c:pt>
                <c:pt idx="688">
                  <c:v>3000</c:v>
                </c:pt>
                <c:pt idx="689">
                  <c:v>3000</c:v>
                </c:pt>
                <c:pt idx="690">
                  <c:v>3000</c:v>
                </c:pt>
                <c:pt idx="691">
                  <c:v>3000</c:v>
                </c:pt>
                <c:pt idx="692">
                  <c:v>3000</c:v>
                </c:pt>
                <c:pt idx="693">
                  <c:v>3000</c:v>
                </c:pt>
                <c:pt idx="694">
                  <c:v>3000</c:v>
                </c:pt>
                <c:pt idx="695">
                  <c:v>3000</c:v>
                </c:pt>
                <c:pt idx="696">
                  <c:v>3000</c:v>
                </c:pt>
                <c:pt idx="697">
                  <c:v>3000</c:v>
                </c:pt>
                <c:pt idx="698">
                  <c:v>3000</c:v>
                </c:pt>
                <c:pt idx="699">
                  <c:v>3000</c:v>
                </c:pt>
                <c:pt idx="700">
                  <c:v>3000</c:v>
                </c:pt>
                <c:pt idx="701">
                  <c:v>3000</c:v>
                </c:pt>
                <c:pt idx="702">
                  <c:v>3000</c:v>
                </c:pt>
                <c:pt idx="703">
                  <c:v>3000</c:v>
                </c:pt>
                <c:pt idx="704">
                  <c:v>3000</c:v>
                </c:pt>
                <c:pt idx="705">
                  <c:v>3000</c:v>
                </c:pt>
                <c:pt idx="706">
                  <c:v>3000</c:v>
                </c:pt>
                <c:pt idx="707">
                  <c:v>3000</c:v>
                </c:pt>
                <c:pt idx="708">
                  <c:v>3000</c:v>
                </c:pt>
                <c:pt idx="709">
                  <c:v>3000</c:v>
                </c:pt>
                <c:pt idx="710">
                  <c:v>3000</c:v>
                </c:pt>
                <c:pt idx="711">
                  <c:v>3000</c:v>
                </c:pt>
                <c:pt idx="712">
                  <c:v>3000</c:v>
                </c:pt>
                <c:pt idx="713">
                  <c:v>3000</c:v>
                </c:pt>
                <c:pt idx="714">
                  <c:v>3000</c:v>
                </c:pt>
                <c:pt idx="715">
                  <c:v>3000</c:v>
                </c:pt>
                <c:pt idx="716">
                  <c:v>3000</c:v>
                </c:pt>
                <c:pt idx="717">
                  <c:v>3000</c:v>
                </c:pt>
                <c:pt idx="718">
                  <c:v>3000</c:v>
                </c:pt>
                <c:pt idx="719">
                  <c:v>3000</c:v>
                </c:pt>
                <c:pt idx="720">
                  <c:v>3000</c:v>
                </c:pt>
                <c:pt idx="721">
                  <c:v>3000</c:v>
                </c:pt>
                <c:pt idx="722">
                  <c:v>3000</c:v>
                </c:pt>
                <c:pt idx="723">
                  <c:v>3000</c:v>
                </c:pt>
                <c:pt idx="724">
                  <c:v>3000</c:v>
                </c:pt>
                <c:pt idx="725">
                  <c:v>3000</c:v>
                </c:pt>
                <c:pt idx="726">
                  <c:v>3000</c:v>
                </c:pt>
                <c:pt idx="727">
                  <c:v>3000</c:v>
                </c:pt>
                <c:pt idx="728">
                  <c:v>3000</c:v>
                </c:pt>
                <c:pt idx="729">
                  <c:v>3000</c:v>
                </c:pt>
                <c:pt idx="730">
                  <c:v>3000</c:v>
                </c:pt>
                <c:pt idx="731">
                  <c:v>3000</c:v>
                </c:pt>
                <c:pt idx="732">
                  <c:v>3000</c:v>
                </c:pt>
                <c:pt idx="733">
                  <c:v>3000</c:v>
                </c:pt>
                <c:pt idx="734">
                  <c:v>3000</c:v>
                </c:pt>
                <c:pt idx="735">
                  <c:v>3000</c:v>
                </c:pt>
                <c:pt idx="736">
                  <c:v>3000</c:v>
                </c:pt>
                <c:pt idx="737">
                  <c:v>3000</c:v>
                </c:pt>
                <c:pt idx="738">
                  <c:v>3000</c:v>
                </c:pt>
                <c:pt idx="739">
                  <c:v>3000</c:v>
                </c:pt>
                <c:pt idx="740">
                  <c:v>3000</c:v>
                </c:pt>
                <c:pt idx="741">
                  <c:v>3000</c:v>
                </c:pt>
                <c:pt idx="742">
                  <c:v>3000</c:v>
                </c:pt>
                <c:pt idx="743">
                  <c:v>3000</c:v>
                </c:pt>
                <c:pt idx="744">
                  <c:v>3000</c:v>
                </c:pt>
                <c:pt idx="745">
                  <c:v>3000</c:v>
                </c:pt>
                <c:pt idx="746">
                  <c:v>3000</c:v>
                </c:pt>
                <c:pt idx="747">
                  <c:v>3000</c:v>
                </c:pt>
                <c:pt idx="748">
                  <c:v>3000</c:v>
                </c:pt>
                <c:pt idx="749">
                  <c:v>3000</c:v>
                </c:pt>
                <c:pt idx="750">
                  <c:v>3000</c:v>
                </c:pt>
                <c:pt idx="751">
                  <c:v>3000</c:v>
                </c:pt>
                <c:pt idx="752">
                  <c:v>3000</c:v>
                </c:pt>
                <c:pt idx="753">
                  <c:v>3000</c:v>
                </c:pt>
                <c:pt idx="754">
                  <c:v>3000</c:v>
                </c:pt>
                <c:pt idx="755">
                  <c:v>3000</c:v>
                </c:pt>
                <c:pt idx="756">
                  <c:v>3000</c:v>
                </c:pt>
                <c:pt idx="757">
                  <c:v>3000</c:v>
                </c:pt>
                <c:pt idx="758">
                  <c:v>3000</c:v>
                </c:pt>
                <c:pt idx="759">
                  <c:v>3000</c:v>
                </c:pt>
                <c:pt idx="760">
                  <c:v>3000</c:v>
                </c:pt>
                <c:pt idx="761">
                  <c:v>3000</c:v>
                </c:pt>
                <c:pt idx="762">
                  <c:v>3000</c:v>
                </c:pt>
                <c:pt idx="763">
                  <c:v>3000</c:v>
                </c:pt>
                <c:pt idx="764">
                  <c:v>3000</c:v>
                </c:pt>
                <c:pt idx="765">
                  <c:v>3000</c:v>
                </c:pt>
                <c:pt idx="766">
                  <c:v>3000</c:v>
                </c:pt>
                <c:pt idx="767">
                  <c:v>3000</c:v>
                </c:pt>
                <c:pt idx="768">
                  <c:v>3000</c:v>
                </c:pt>
                <c:pt idx="769">
                  <c:v>3000</c:v>
                </c:pt>
                <c:pt idx="770">
                  <c:v>3000</c:v>
                </c:pt>
                <c:pt idx="771">
                  <c:v>3000</c:v>
                </c:pt>
                <c:pt idx="772">
                  <c:v>3000</c:v>
                </c:pt>
                <c:pt idx="773">
                  <c:v>3000</c:v>
                </c:pt>
                <c:pt idx="774">
                  <c:v>3000</c:v>
                </c:pt>
                <c:pt idx="775">
                  <c:v>3000</c:v>
                </c:pt>
                <c:pt idx="776">
                  <c:v>3000</c:v>
                </c:pt>
                <c:pt idx="777">
                  <c:v>3000</c:v>
                </c:pt>
                <c:pt idx="778">
                  <c:v>3000</c:v>
                </c:pt>
                <c:pt idx="779">
                  <c:v>3000</c:v>
                </c:pt>
                <c:pt idx="780">
                  <c:v>3000</c:v>
                </c:pt>
                <c:pt idx="781">
                  <c:v>3000</c:v>
                </c:pt>
                <c:pt idx="782">
                  <c:v>3000</c:v>
                </c:pt>
                <c:pt idx="783">
                  <c:v>3000</c:v>
                </c:pt>
                <c:pt idx="784">
                  <c:v>3000</c:v>
                </c:pt>
                <c:pt idx="785">
                  <c:v>3000</c:v>
                </c:pt>
                <c:pt idx="786">
                  <c:v>3000</c:v>
                </c:pt>
                <c:pt idx="787">
                  <c:v>3000</c:v>
                </c:pt>
                <c:pt idx="788">
                  <c:v>3000</c:v>
                </c:pt>
                <c:pt idx="789">
                  <c:v>3000</c:v>
                </c:pt>
                <c:pt idx="790">
                  <c:v>3000</c:v>
                </c:pt>
                <c:pt idx="791">
                  <c:v>3000</c:v>
                </c:pt>
                <c:pt idx="792">
                  <c:v>3000</c:v>
                </c:pt>
                <c:pt idx="793">
                  <c:v>3000</c:v>
                </c:pt>
                <c:pt idx="794">
                  <c:v>3000</c:v>
                </c:pt>
                <c:pt idx="795">
                  <c:v>3000</c:v>
                </c:pt>
                <c:pt idx="796">
                  <c:v>3000</c:v>
                </c:pt>
                <c:pt idx="797">
                  <c:v>3000</c:v>
                </c:pt>
                <c:pt idx="798">
                  <c:v>3000</c:v>
                </c:pt>
                <c:pt idx="799">
                  <c:v>3000</c:v>
                </c:pt>
                <c:pt idx="800">
                  <c:v>3000</c:v>
                </c:pt>
                <c:pt idx="801">
                  <c:v>3000</c:v>
                </c:pt>
                <c:pt idx="802">
                  <c:v>3000</c:v>
                </c:pt>
                <c:pt idx="803">
                  <c:v>3000</c:v>
                </c:pt>
                <c:pt idx="804">
                  <c:v>3000</c:v>
                </c:pt>
                <c:pt idx="805">
                  <c:v>3000</c:v>
                </c:pt>
                <c:pt idx="806">
                  <c:v>3000</c:v>
                </c:pt>
                <c:pt idx="807">
                  <c:v>3000</c:v>
                </c:pt>
                <c:pt idx="808">
                  <c:v>3000</c:v>
                </c:pt>
                <c:pt idx="809">
                  <c:v>3000</c:v>
                </c:pt>
                <c:pt idx="810">
                  <c:v>3000</c:v>
                </c:pt>
                <c:pt idx="811">
                  <c:v>3000</c:v>
                </c:pt>
                <c:pt idx="812">
                  <c:v>3000</c:v>
                </c:pt>
                <c:pt idx="813">
                  <c:v>3000</c:v>
                </c:pt>
                <c:pt idx="814">
                  <c:v>3000</c:v>
                </c:pt>
                <c:pt idx="815">
                  <c:v>3000</c:v>
                </c:pt>
                <c:pt idx="816">
                  <c:v>3000</c:v>
                </c:pt>
                <c:pt idx="817">
                  <c:v>3000</c:v>
                </c:pt>
                <c:pt idx="818">
                  <c:v>3000</c:v>
                </c:pt>
                <c:pt idx="819">
                  <c:v>3000</c:v>
                </c:pt>
                <c:pt idx="820">
                  <c:v>3000</c:v>
                </c:pt>
                <c:pt idx="821">
                  <c:v>3000</c:v>
                </c:pt>
                <c:pt idx="822">
                  <c:v>3000</c:v>
                </c:pt>
                <c:pt idx="823">
                  <c:v>3000</c:v>
                </c:pt>
                <c:pt idx="824">
                  <c:v>3000</c:v>
                </c:pt>
                <c:pt idx="825">
                  <c:v>3000</c:v>
                </c:pt>
                <c:pt idx="826">
                  <c:v>3000</c:v>
                </c:pt>
                <c:pt idx="827">
                  <c:v>3000</c:v>
                </c:pt>
                <c:pt idx="828">
                  <c:v>3000</c:v>
                </c:pt>
                <c:pt idx="829">
                  <c:v>3000</c:v>
                </c:pt>
                <c:pt idx="830">
                  <c:v>3000</c:v>
                </c:pt>
                <c:pt idx="831">
                  <c:v>3000</c:v>
                </c:pt>
                <c:pt idx="832">
                  <c:v>3000</c:v>
                </c:pt>
                <c:pt idx="833">
                  <c:v>3000</c:v>
                </c:pt>
                <c:pt idx="834">
                  <c:v>3000</c:v>
                </c:pt>
                <c:pt idx="835">
                  <c:v>3000</c:v>
                </c:pt>
                <c:pt idx="836">
                  <c:v>3000</c:v>
                </c:pt>
                <c:pt idx="837">
                  <c:v>3000</c:v>
                </c:pt>
                <c:pt idx="838">
                  <c:v>3000</c:v>
                </c:pt>
                <c:pt idx="839">
                  <c:v>3000</c:v>
                </c:pt>
                <c:pt idx="840">
                  <c:v>3000</c:v>
                </c:pt>
                <c:pt idx="841">
                  <c:v>3000</c:v>
                </c:pt>
                <c:pt idx="842">
                  <c:v>3000</c:v>
                </c:pt>
                <c:pt idx="843">
                  <c:v>3000</c:v>
                </c:pt>
                <c:pt idx="844">
                  <c:v>3000</c:v>
                </c:pt>
                <c:pt idx="845">
                  <c:v>3000</c:v>
                </c:pt>
                <c:pt idx="846">
                  <c:v>3000</c:v>
                </c:pt>
                <c:pt idx="847">
                  <c:v>3000</c:v>
                </c:pt>
                <c:pt idx="848">
                  <c:v>3000</c:v>
                </c:pt>
                <c:pt idx="849">
                  <c:v>3000</c:v>
                </c:pt>
                <c:pt idx="850">
                  <c:v>3000</c:v>
                </c:pt>
                <c:pt idx="851">
                  <c:v>3000</c:v>
                </c:pt>
                <c:pt idx="852">
                  <c:v>3000</c:v>
                </c:pt>
                <c:pt idx="853">
                  <c:v>3000</c:v>
                </c:pt>
                <c:pt idx="854">
                  <c:v>3000</c:v>
                </c:pt>
                <c:pt idx="855">
                  <c:v>3000</c:v>
                </c:pt>
                <c:pt idx="856">
                  <c:v>3000</c:v>
                </c:pt>
                <c:pt idx="857">
                  <c:v>3000</c:v>
                </c:pt>
                <c:pt idx="858">
                  <c:v>3000</c:v>
                </c:pt>
                <c:pt idx="859">
                  <c:v>3000</c:v>
                </c:pt>
                <c:pt idx="860">
                  <c:v>3000</c:v>
                </c:pt>
                <c:pt idx="861">
                  <c:v>3000</c:v>
                </c:pt>
                <c:pt idx="862">
                  <c:v>3000</c:v>
                </c:pt>
                <c:pt idx="863">
                  <c:v>3000</c:v>
                </c:pt>
                <c:pt idx="864">
                  <c:v>3000</c:v>
                </c:pt>
                <c:pt idx="865">
                  <c:v>3000</c:v>
                </c:pt>
                <c:pt idx="866">
                  <c:v>3000</c:v>
                </c:pt>
                <c:pt idx="867">
                  <c:v>3000</c:v>
                </c:pt>
                <c:pt idx="868">
                  <c:v>3000</c:v>
                </c:pt>
                <c:pt idx="869">
                  <c:v>3000</c:v>
                </c:pt>
                <c:pt idx="870">
                  <c:v>3000</c:v>
                </c:pt>
                <c:pt idx="871">
                  <c:v>3000</c:v>
                </c:pt>
                <c:pt idx="872">
                  <c:v>3000</c:v>
                </c:pt>
                <c:pt idx="873">
                  <c:v>3000</c:v>
                </c:pt>
                <c:pt idx="874">
                  <c:v>3000</c:v>
                </c:pt>
                <c:pt idx="875">
                  <c:v>3000</c:v>
                </c:pt>
                <c:pt idx="876">
                  <c:v>3000</c:v>
                </c:pt>
                <c:pt idx="877">
                  <c:v>3000</c:v>
                </c:pt>
                <c:pt idx="878">
                  <c:v>3000</c:v>
                </c:pt>
                <c:pt idx="879">
                  <c:v>3000</c:v>
                </c:pt>
                <c:pt idx="880">
                  <c:v>3000</c:v>
                </c:pt>
                <c:pt idx="881">
                  <c:v>3000</c:v>
                </c:pt>
                <c:pt idx="882">
                  <c:v>3000</c:v>
                </c:pt>
                <c:pt idx="883">
                  <c:v>3000</c:v>
                </c:pt>
                <c:pt idx="884">
                  <c:v>3000</c:v>
                </c:pt>
                <c:pt idx="885">
                  <c:v>3000</c:v>
                </c:pt>
                <c:pt idx="886">
                  <c:v>3000</c:v>
                </c:pt>
                <c:pt idx="887">
                  <c:v>3000</c:v>
                </c:pt>
                <c:pt idx="888">
                  <c:v>3000</c:v>
                </c:pt>
                <c:pt idx="889">
                  <c:v>3000</c:v>
                </c:pt>
                <c:pt idx="890">
                  <c:v>3000</c:v>
                </c:pt>
                <c:pt idx="891">
                  <c:v>3000</c:v>
                </c:pt>
                <c:pt idx="892">
                  <c:v>3000</c:v>
                </c:pt>
                <c:pt idx="893">
                  <c:v>3000</c:v>
                </c:pt>
                <c:pt idx="894">
                  <c:v>3000</c:v>
                </c:pt>
                <c:pt idx="895">
                  <c:v>3000</c:v>
                </c:pt>
                <c:pt idx="896">
                  <c:v>3000</c:v>
                </c:pt>
                <c:pt idx="897">
                  <c:v>3000</c:v>
                </c:pt>
                <c:pt idx="898">
                  <c:v>3000</c:v>
                </c:pt>
                <c:pt idx="899">
                  <c:v>3000</c:v>
                </c:pt>
                <c:pt idx="900">
                  <c:v>3000</c:v>
                </c:pt>
                <c:pt idx="901">
                  <c:v>3000</c:v>
                </c:pt>
                <c:pt idx="902">
                  <c:v>3000</c:v>
                </c:pt>
                <c:pt idx="903">
                  <c:v>3000</c:v>
                </c:pt>
                <c:pt idx="904">
                  <c:v>3000</c:v>
                </c:pt>
                <c:pt idx="905">
                  <c:v>3000</c:v>
                </c:pt>
                <c:pt idx="906">
                  <c:v>3000</c:v>
                </c:pt>
                <c:pt idx="907">
                  <c:v>3000</c:v>
                </c:pt>
                <c:pt idx="908">
                  <c:v>3000</c:v>
                </c:pt>
                <c:pt idx="909">
                  <c:v>3000</c:v>
                </c:pt>
                <c:pt idx="910">
                  <c:v>3000</c:v>
                </c:pt>
                <c:pt idx="911">
                  <c:v>3000</c:v>
                </c:pt>
                <c:pt idx="912">
                  <c:v>3000</c:v>
                </c:pt>
                <c:pt idx="913">
                  <c:v>3000</c:v>
                </c:pt>
                <c:pt idx="914">
                  <c:v>3000</c:v>
                </c:pt>
                <c:pt idx="915">
                  <c:v>3000</c:v>
                </c:pt>
                <c:pt idx="916">
                  <c:v>3000</c:v>
                </c:pt>
                <c:pt idx="917">
                  <c:v>3000</c:v>
                </c:pt>
                <c:pt idx="918">
                  <c:v>3000</c:v>
                </c:pt>
                <c:pt idx="919">
                  <c:v>3000</c:v>
                </c:pt>
                <c:pt idx="920">
                  <c:v>3000</c:v>
                </c:pt>
                <c:pt idx="921">
                  <c:v>3000</c:v>
                </c:pt>
                <c:pt idx="922">
                  <c:v>3000</c:v>
                </c:pt>
                <c:pt idx="923">
                  <c:v>3000</c:v>
                </c:pt>
                <c:pt idx="924">
                  <c:v>3000</c:v>
                </c:pt>
                <c:pt idx="925">
                  <c:v>3000</c:v>
                </c:pt>
                <c:pt idx="926">
                  <c:v>3000</c:v>
                </c:pt>
                <c:pt idx="927">
                  <c:v>3000</c:v>
                </c:pt>
                <c:pt idx="928">
                  <c:v>3000</c:v>
                </c:pt>
                <c:pt idx="929">
                  <c:v>3000</c:v>
                </c:pt>
                <c:pt idx="930">
                  <c:v>3000</c:v>
                </c:pt>
                <c:pt idx="931">
                  <c:v>3000</c:v>
                </c:pt>
                <c:pt idx="932">
                  <c:v>3000</c:v>
                </c:pt>
                <c:pt idx="933">
                  <c:v>3000</c:v>
                </c:pt>
                <c:pt idx="934">
                  <c:v>3000</c:v>
                </c:pt>
                <c:pt idx="935">
                  <c:v>3000</c:v>
                </c:pt>
                <c:pt idx="936">
                  <c:v>3000</c:v>
                </c:pt>
                <c:pt idx="937">
                  <c:v>3000</c:v>
                </c:pt>
                <c:pt idx="938">
                  <c:v>3000</c:v>
                </c:pt>
                <c:pt idx="939">
                  <c:v>3000</c:v>
                </c:pt>
                <c:pt idx="940">
                  <c:v>3000</c:v>
                </c:pt>
                <c:pt idx="941">
                  <c:v>3000</c:v>
                </c:pt>
                <c:pt idx="942">
                  <c:v>3000</c:v>
                </c:pt>
                <c:pt idx="943">
                  <c:v>3000</c:v>
                </c:pt>
                <c:pt idx="944">
                  <c:v>3000</c:v>
                </c:pt>
                <c:pt idx="945">
                  <c:v>3000</c:v>
                </c:pt>
                <c:pt idx="946">
                  <c:v>3000</c:v>
                </c:pt>
                <c:pt idx="947">
                  <c:v>3000</c:v>
                </c:pt>
                <c:pt idx="948">
                  <c:v>3000</c:v>
                </c:pt>
                <c:pt idx="949">
                  <c:v>3000</c:v>
                </c:pt>
                <c:pt idx="950">
                  <c:v>3000</c:v>
                </c:pt>
                <c:pt idx="951">
                  <c:v>3000</c:v>
                </c:pt>
                <c:pt idx="952">
                  <c:v>3000</c:v>
                </c:pt>
                <c:pt idx="953">
                  <c:v>3000</c:v>
                </c:pt>
                <c:pt idx="954">
                  <c:v>3000</c:v>
                </c:pt>
                <c:pt idx="955">
                  <c:v>3000</c:v>
                </c:pt>
                <c:pt idx="956">
                  <c:v>3000</c:v>
                </c:pt>
                <c:pt idx="957">
                  <c:v>3000</c:v>
                </c:pt>
                <c:pt idx="958">
                  <c:v>3000</c:v>
                </c:pt>
                <c:pt idx="959">
                  <c:v>3000</c:v>
                </c:pt>
                <c:pt idx="960">
                  <c:v>3000</c:v>
                </c:pt>
                <c:pt idx="961">
                  <c:v>3000</c:v>
                </c:pt>
                <c:pt idx="962">
                  <c:v>3000</c:v>
                </c:pt>
                <c:pt idx="963">
                  <c:v>3000</c:v>
                </c:pt>
                <c:pt idx="964">
                  <c:v>3000</c:v>
                </c:pt>
                <c:pt idx="965">
                  <c:v>3000</c:v>
                </c:pt>
                <c:pt idx="966">
                  <c:v>3000</c:v>
                </c:pt>
                <c:pt idx="967">
                  <c:v>3000</c:v>
                </c:pt>
                <c:pt idx="968">
                  <c:v>3000</c:v>
                </c:pt>
                <c:pt idx="969">
                  <c:v>3000</c:v>
                </c:pt>
                <c:pt idx="970">
                  <c:v>3000</c:v>
                </c:pt>
                <c:pt idx="971">
                  <c:v>3000</c:v>
                </c:pt>
                <c:pt idx="972">
                  <c:v>3000</c:v>
                </c:pt>
                <c:pt idx="973">
                  <c:v>3000</c:v>
                </c:pt>
                <c:pt idx="974">
                  <c:v>3000</c:v>
                </c:pt>
                <c:pt idx="975">
                  <c:v>3000</c:v>
                </c:pt>
                <c:pt idx="976">
                  <c:v>3000</c:v>
                </c:pt>
                <c:pt idx="977">
                  <c:v>3000</c:v>
                </c:pt>
                <c:pt idx="978">
                  <c:v>3000</c:v>
                </c:pt>
                <c:pt idx="979">
                  <c:v>3000</c:v>
                </c:pt>
                <c:pt idx="980">
                  <c:v>3000</c:v>
                </c:pt>
                <c:pt idx="981">
                  <c:v>3000</c:v>
                </c:pt>
                <c:pt idx="982">
                  <c:v>3000</c:v>
                </c:pt>
                <c:pt idx="983">
                  <c:v>3000</c:v>
                </c:pt>
                <c:pt idx="984">
                  <c:v>3000</c:v>
                </c:pt>
                <c:pt idx="985">
                  <c:v>3000</c:v>
                </c:pt>
                <c:pt idx="986">
                  <c:v>3000</c:v>
                </c:pt>
                <c:pt idx="987">
                  <c:v>3000</c:v>
                </c:pt>
                <c:pt idx="988">
                  <c:v>3000</c:v>
                </c:pt>
                <c:pt idx="989">
                  <c:v>3000</c:v>
                </c:pt>
                <c:pt idx="990">
                  <c:v>3000</c:v>
                </c:pt>
                <c:pt idx="991">
                  <c:v>3000</c:v>
                </c:pt>
                <c:pt idx="992">
                  <c:v>3000</c:v>
                </c:pt>
                <c:pt idx="993">
                  <c:v>3000</c:v>
                </c:pt>
                <c:pt idx="994">
                  <c:v>3000</c:v>
                </c:pt>
                <c:pt idx="995">
                  <c:v>3000</c:v>
                </c:pt>
                <c:pt idx="996">
                  <c:v>3000</c:v>
                </c:pt>
                <c:pt idx="997">
                  <c:v>3000</c:v>
                </c:pt>
                <c:pt idx="998">
                  <c:v>3000</c:v>
                </c:pt>
                <c:pt idx="999">
                  <c:v>3000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35-4A6B-A95A-1CC700060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18137808"/>
        <c:axId val="151814977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Production_Forecast!$L$10</c15:sqref>
                        </c15:formulaRef>
                      </c:ext>
                    </c:extLst>
                    <c:strCache>
                      <c:ptCount val="1"/>
                      <c:pt idx="0">
                        <c:v>Qo</c:v>
                      </c:pt>
                    </c:strCache>
                  </c:strRef>
                </c:tx>
                <c:spPr>
                  <a:ln w="19050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>
                      <c:ext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Production_Forecast!$L$12:$L$112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810.95890410958918</c:v>
                      </c:pt>
                      <c:pt idx="1">
                        <c:v>916.18414829308051</c:v>
                      </c:pt>
                      <c:pt idx="2">
                        <c:v>1035.0627995202153</c:v>
                      </c:pt>
                      <c:pt idx="3">
                        <c:v>1169.366443358183</c:v>
                      </c:pt>
                      <c:pt idx="4">
                        <c:v>1321.0965358681701</c:v>
                      </c:pt>
                      <c:pt idx="5">
                        <c:v>1492.5142302448346</c:v>
                      </c:pt>
                      <c:pt idx="6">
                        <c:v>1686.174073584597</c:v>
                      </c:pt>
                      <c:pt idx="7">
                        <c:v>1904.9620759478278</c:v>
                      </c:pt>
                      <c:pt idx="8">
                        <c:v>2152.1387190380083</c:v>
                      </c:pt>
                      <c:pt idx="9">
                        <c:v>2431.3875454334311</c:v>
                      </c:pt>
                      <c:pt idx="10">
                        <c:v>2746.8700524709989</c:v>
                      </c:pt>
                      <c:pt idx="11">
                        <c:v>3103.2877088366313</c:v>
                      </c:pt>
                      <c:pt idx="12">
                        <c:v>3505.9520180626323</c:v>
                      </c:pt>
                      <c:pt idx="13">
                        <c:v>3960.8636730512439</c:v>
                      </c:pt>
                      <c:pt idx="14">
                        <c:v>4474.8019812223038</c:v>
                      </c:pt>
                      <c:pt idx="15">
                        <c:v>5055.4258929405942</c:v>
                      </c:pt>
                      <c:pt idx="16">
                        <c:v>5711.3881387960682</c:v>
                      </c:pt>
                      <c:pt idx="17">
                        <c:v>6452.4641766643172</c:v>
                      </c:pt>
                      <c:pt idx="18">
                        <c:v>6487.6712328767135</c:v>
                      </c:pt>
                      <c:pt idx="19">
                        <c:v>6487.6712328767135</c:v>
                      </c:pt>
                      <c:pt idx="20">
                        <c:v>6487.6712328767135</c:v>
                      </c:pt>
                      <c:pt idx="21">
                        <c:v>6487.6712328767135</c:v>
                      </c:pt>
                      <c:pt idx="22">
                        <c:v>6487.6712328767135</c:v>
                      </c:pt>
                      <c:pt idx="23">
                        <c:v>6487.6712328767135</c:v>
                      </c:pt>
                      <c:pt idx="24">
                        <c:v>6487.6712328767135</c:v>
                      </c:pt>
                      <c:pt idx="25">
                        <c:v>6487.6712328767135</c:v>
                      </c:pt>
                      <c:pt idx="26">
                        <c:v>6487.6712328767135</c:v>
                      </c:pt>
                      <c:pt idx="27">
                        <c:v>6487.6712328767135</c:v>
                      </c:pt>
                      <c:pt idx="28">
                        <c:v>6487.6712328767135</c:v>
                      </c:pt>
                      <c:pt idx="29">
                        <c:v>6487.6712328767135</c:v>
                      </c:pt>
                      <c:pt idx="30">
                        <c:v>6487.6712328767135</c:v>
                      </c:pt>
                      <c:pt idx="31">
                        <c:v>6487.6712328767135</c:v>
                      </c:pt>
                      <c:pt idx="32">
                        <c:v>6487.6712328767135</c:v>
                      </c:pt>
                      <c:pt idx="33">
                        <c:v>6487.6712328767135</c:v>
                      </c:pt>
                      <c:pt idx="34">
                        <c:v>6487.6712328767135</c:v>
                      </c:pt>
                      <c:pt idx="35">
                        <c:v>6487.6712328767135</c:v>
                      </c:pt>
                      <c:pt idx="36">
                        <c:v>6487.6712328767135</c:v>
                      </c:pt>
                      <c:pt idx="37">
                        <c:v>6487.6712328767135</c:v>
                      </c:pt>
                      <c:pt idx="38">
                        <c:v>6487.6712328767135</c:v>
                      </c:pt>
                      <c:pt idx="39">
                        <c:v>6487.6712328767135</c:v>
                      </c:pt>
                      <c:pt idx="40">
                        <c:v>6487.6712328767135</c:v>
                      </c:pt>
                      <c:pt idx="41">
                        <c:v>6487.6712328767135</c:v>
                      </c:pt>
                      <c:pt idx="42">
                        <c:v>6487.6712328767135</c:v>
                      </c:pt>
                      <c:pt idx="43">
                        <c:v>6487.6712328767135</c:v>
                      </c:pt>
                      <c:pt idx="44">
                        <c:v>6487.6712328767135</c:v>
                      </c:pt>
                      <c:pt idx="45">
                        <c:v>6487.6712328767135</c:v>
                      </c:pt>
                      <c:pt idx="46">
                        <c:v>6487.6712328767135</c:v>
                      </c:pt>
                      <c:pt idx="47">
                        <c:v>6487.6712328767135</c:v>
                      </c:pt>
                      <c:pt idx="48">
                        <c:v>6487.6712328767135</c:v>
                      </c:pt>
                      <c:pt idx="49">
                        <c:v>6487.6712328767135</c:v>
                      </c:pt>
                      <c:pt idx="50">
                        <c:v>6487.6712328767135</c:v>
                      </c:pt>
                      <c:pt idx="51">
                        <c:v>6487.6712328767135</c:v>
                      </c:pt>
                      <c:pt idx="52">
                        <c:v>6487.6712328767135</c:v>
                      </c:pt>
                      <c:pt idx="53">
                        <c:v>6487.6712328767135</c:v>
                      </c:pt>
                      <c:pt idx="54">
                        <c:v>6487.6712328767135</c:v>
                      </c:pt>
                      <c:pt idx="55">
                        <c:v>6487.6712328767135</c:v>
                      </c:pt>
                      <c:pt idx="56">
                        <c:v>6487.6712328767135</c:v>
                      </c:pt>
                      <c:pt idx="57">
                        <c:v>6487.6712328767135</c:v>
                      </c:pt>
                      <c:pt idx="58">
                        <c:v>6487.6712328767135</c:v>
                      </c:pt>
                      <c:pt idx="59">
                        <c:v>6487.6712328767135</c:v>
                      </c:pt>
                      <c:pt idx="60">
                        <c:v>6487.6712328767135</c:v>
                      </c:pt>
                      <c:pt idx="61">
                        <c:v>6487.6712328767135</c:v>
                      </c:pt>
                      <c:pt idx="62">
                        <c:v>6487.6712328767135</c:v>
                      </c:pt>
                      <c:pt idx="63">
                        <c:v>6487.6712328767135</c:v>
                      </c:pt>
                      <c:pt idx="64">
                        <c:v>6487.6712328767135</c:v>
                      </c:pt>
                      <c:pt idx="65">
                        <c:v>6487.6712328767135</c:v>
                      </c:pt>
                      <c:pt idx="66">
                        <c:v>6487.6712328767135</c:v>
                      </c:pt>
                      <c:pt idx="67">
                        <c:v>6487.6712328767135</c:v>
                      </c:pt>
                      <c:pt idx="68">
                        <c:v>6487.6712328767135</c:v>
                      </c:pt>
                      <c:pt idx="69">
                        <c:v>6487.6712328767135</c:v>
                      </c:pt>
                      <c:pt idx="70">
                        <c:v>6487.6712328767135</c:v>
                      </c:pt>
                      <c:pt idx="71">
                        <c:v>6487.6712328767135</c:v>
                      </c:pt>
                      <c:pt idx="72">
                        <c:v>6487.6712328767135</c:v>
                      </c:pt>
                      <c:pt idx="73">
                        <c:v>6487.6712328767135</c:v>
                      </c:pt>
                      <c:pt idx="74">
                        <c:v>6487.6712328767135</c:v>
                      </c:pt>
                      <c:pt idx="75">
                        <c:v>6487.6712328767135</c:v>
                      </c:pt>
                      <c:pt idx="76">
                        <c:v>6487.6712328767135</c:v>
                      </c:pt>
                      <c:pt idx="77">
                        <c:v>6487.6712328767135</c:v>
                      </c:pt>
                      <c:pt idx="78">
                        <c:v>6487.6712328767135</c:v>
                      </c:pt>
                      <c:pt idx="79">
                        <c:v>6487.6712328767135</c:v>
                      </c:pt>
                      <c:pt idx="80">
                        <c:v>6487.6712328767135</c:v>
                      </c:pt>
                      <c:pt idx="81">
                        <c:v>6487.6712328767135</c:v>
                      </c:pt>
                      <c:pt idx="82">
                        <c:v>6487.6712328767135</c:v>
                      </c:pt>
                      <c:pt idx="83">
                        <c:v>6487.6712328767135</c:v>
                      </c:pt>
                      <c:pt idx="84">
                        <c:v>6487.6712328767135</c:v>
                      </c:pt>
                      <c:pt idx="85">
                        <c:v>6487.6712328767135</c:v>
                      </c:pt>
                      <c:pt idx="86">
                        <c:v>6487.6712328767135</c:v>
                      </c:pt>
                      <c:pt idx="87">
                        <c:v>6487.6712328767135</c:v>
                      </c:pt>
                      <c:pt idx="88">
                        <c:v>6487.6712328767135</c:v>
                      </c:pt>
                      <c:pt idx="89">
                        <c:v>6487.6712328767135</c:v>
                      </c:pt>
                      <c:pt idx="90">
                        <c:v>6487.6712328767135</c:v>
                      </c:pt>
                      <c:pt idx="91">
                        <c:v>6487.6712328767135</c:v>
                      </c:pt>
                      <c:pt idx="92">
                        <c:v>6487.6712328767135</c:v>
                      </c:pt>
                      <c:pt idx="93">
                        <c:v>6487.6712328767135</c:v>
                      </c:pt>
                      <c:pt idx="94">
                        <c:v>6487.6712328767135</c:v>
                      </c:pt>
                      <c:pt idx="95">
                        <c:v>6487.6712328767135</c:v>
                      </c:pt>
                      <c:pt idx="96">
                        <c:v>6487.6712328767135</c:v>
                      </c:pt>
                      <c:pt idx="97">
                        <c:v>6487.6712328767135</c:v>
                      </c:pt>
                      <c:pt idx="98">
                        <c:v>6487.6712328767135</c:v>
                      </c:pt>
                      <c:pt idx="99">
                        <c:v>6487.6712328767135</c:v>
                      </c:pt>
                      <c:pt idx="100">
                        <c:v>6487.6712328767135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1-9235-4A6B-A95A-1CC700060914}"/>
                  </c:ext>
                </c:extLst>
              </c15:ser>
            </c15:filteredScatterSeries>
            <c15:filteredScatterSeries>
              <c15:ser>
                <c:idx val="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Production_Forecast!$M$10</c15:sqref>
                        </c15:formulaRef>
                      </c:ext>
                    </c:extLst>
                    <c:strCache>
                      <c:ptCount val="1"/>
                      <c:pt idx="0">
                        <c:v>GOR</c:v>
                      </c:pt>
                    </c:strCache>
                  </c:strRef>
                </c:tx>
                <c:spPr>
                  <a:ln w="19050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Production_Forecast!$M$12:$M$112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731.73</c:v>
                      </c:pt>
                      <c:pt idx="1">
                        <c:v>732.05642436722292</c:v>
                      </c:pt>
                      <c:pt idx="2">
                        <c:v>732.38299435218403</c:v>
                      </c:pt>
                      <c:pt idx="3">
                        <c:v>732.70971001984333</c:v>
                      </c:pt>
                      <c:pt idx="4">
                        <c:v>733.03657143518956</c:v>
                      </c:pt>
                      <c:pt idx="5">
                        <c:v>733.36357866324101</c:v>
                      </c:pt>
                      <c:pt idx="6">
                        <c:v>733.69073176904431</c:v>
                      </c:pt>
                      <c:pt idx="7">
                        <c:v>734.01803081767582</c:v>
                      </c:pt>
                      <c:pt idx="8">
                        <c:v>734.34547587424026</c:v>
                      </c:pt>
                      <c:pt idx="9">
                        <c:v>734.67306700387167</c:v>
                      </c:pt>
                      <c:pt idx="10">
                        <c:v>735.00080427173361</c:v>
                      </c:pt>
                      <c:pt idx="11">
                        <c:v>735.32868774301778</c:v>
                      </c:pt>
                      <c:pt idx="12">
                        <c:v>735.65671748294551</c:v>
                      </c:pt>
                      <c:pt idx="13">
                        <c:v>735.98489355676759</c:v>
                      </c:pt>
                      <c:pt idx="14">
                        <c:v>736.313216029763</c:v>
                      </c:pt>
                      <c:pt idx="15">
                        <c:v>736.64168496724051</c:v>
                      </c:pt>
                      <c:pt idx="16">
                        <c:v>736.97030043453776</c:v>
                      </c:pt>
                      <c:pt idx="17">
                        <c:v>737.29906249702185</c:v>
                      </c:pt>
                      <c:pt idx="18">
                        <c:v>737.62797122008874</c:v>
                      </c:pt>
                      <c:pt idx="19">
                        <c:v>737.9570266691635</c:v>
                      </c:pt>
                      <c:pt idx="20">
                        <c:v>738.28622890970053</c:v>
                      </c:pt>
                      <c:pt idx="21">
                        <c:v>738.61557800718356</c:v>
                      </c:pt>
                      <c:pt idx="22">
                        <c:v>738.94507402712554</c:v>
                      </c:pt>
                      <c:pt idx="23">
                        <c:v>739.27471703506808</c:v>
                      </c:pt>
                      <c:pt idx="24">
                        <c:v>739.60450709658278</c:v>
                      </c:pt>
                      <c:pt idx="25">
                        <c:v>739.93444427726979</c:v>
                      </c:pt>
                      <c:pt idx="26">
                        <c:v>740.2645286427595</c:v>
                      </c:pt>
                      <c:pt idx="27">
                        <c:v>740.59476025871061</c:v>
                      </c:pt>
                      <c:pt idx="28">
                        <c:v>740.92513919081125</c:v>
                      </c:pt>
                      <c:pt idx="29">
                        <c:v>741.25566550477947</c:v>
                      </c:pt>
                      <c:pt idx="30">
                        <c:v>741.58633926636207</c:v>
                      </c:pt>
                      <c:pt idx="31">
                        <c:v>741.91716054133542</c:v>
                      </c:pt>
                      <c:pt idx="32">
                        <c:v>742.24812939550498</c:v>
                      </c:pt>
                      <c:pt idx="33">
                        <c:v>742.57924589470599</c:v>
                      </c:pt>
                      <c:pt idx="34">
                        <c:v>742.91051010480282</c:v>
                      </c:pt>
                      <c:pt idx="35">
                        <c:v>743.24192209168905</c:v>
                      </c:pt>
                      <c:pt idx="36">
                        <c:v>743.57348192128779</c:v>
                      </c:pt>
                      <c:pt idx="37">
                        <c:v>743.90518965955198</c:v>
                      </c:pt>
                      <c:pt idx="38">
                        <c:v>744.23704537246317</c:v>
                      </c:pt>
                      <c:pt idx="39">
                        <c:v>744.56904912603284</c:v>
                      </c:pt>
                      <c:pt idx="40">
                        <c:v>744.901200986302</c:v>
                      </c:pt>
                      <c:pt idx="41">
                        <c:v>745.23350101934102</c:v>
                      </c:pt>
                      <c:pt idx="42">
                        <c:v>745.56594929124958</c:v>
                      </c:pt>
                      <c:pt idx="43">
                        <c:v>745.8985458681567</c:v>
                      </c:pt>
                      <c:pt idx="44">
                        <c:v>746.23129081622176</c:v>
                      </c:pt>
                      <c:pt idx="45">
                        <c:v>746.56418420163266</c:v>
                      </c:pt>
                      <c:pt idx="46">
                        <c:v>746.89722609060721</c:v>
                      </c:pt>
                      <c:pt idx="47">
                        <c:v>747.23041654939277</c:v>
                      </c:pt>
                      <c:pt idx="48">
                        <c:v>747.56375564426651</c:v>
                      </c:pt>
                      <c:pt idx="49">
                        <c:v>747.89724344153467</c:v>
                      </c:pt>
                      <c:pt idx="50">
                        <c:v>748.23088000753307</c:v>
                      </c:pt>
                      <c:pt idx="51">
                        <c:v>748.564665408628</c:v>
                      </c:pt>
                      <c:pt idx="52">
                        <c:v>748.89859971121427</c:v>
                      </c:pt>
                      <c:pt idx="53">
                        <c:v>749.23268298171706</c:v>
                      </c:pt>
                      <c:pt idx="54">
                        <c:v>749.56691528659053</c:v>
                      </c:pt>
                      <c:pt idx="55">
                        <c:v>749.90129669231908</c:v>
                      </c:pt>
                      <c:pt idx="56">
                        <c:v>750.23582726541622</c:v>
                      </c:pt>
                      <c:pt idx="57">
                        <c:v>750.57050707242581</c:v>
                      </c:pt>
                      <c:pt idx="58">
                        <c:v>750.90533617992094</c:v>
                      </c:pt>
                      <c:pt idx="59">
                        <c:v>751.24031465450423</c:v>
                      </c:pt>
                      <c:pt idx="60">
                        <c:v>751.57544256280835</c:v>
                      </c:pt>
                      <c:pt idx="61">
                        <c:v>751.91071997149606</c:v>
                      </c:pt>
                      <c:pt idx="62">
                        <c:v>752.24614694725881</c:v>
                      </c:pt>
                      <c:pt idx="63">
                        <c:v>752.58172355681847</c:v>
                      </c:pt>
                      <c:pt idx="64">
                        <c:v>752.91744986692686</c:v>
                      </c:pt>
                      <c:pt idx="65">
                        <c:v>753.2533259443652</c:v>
                      </c:pt>
                      <c:pt idx="66">
                        <c:v>753.58935185594464</c:v>
                      </c:pt>
                      <c:pt idx="67">
                        <c:v>753.92552766850611</c:v>
                      </c:pt>
                      <c:pt idx="68">
                        <c:v>754.26185344892019</c:v>
                      </c:pt>
                      <c:pt idx="69">
                        <c:v>754.59832926408762</c:v>
                      </c:pt>
                      <c:pt idx="70">
                        <c:v>754.93495518093891</c:v>
                      </c:pt>
                      <c:pt idx="71">
                        <c:v>755.27173126643413</c:v>
                      </c:pt>
                      <c:pt idx="72">
                        <c:v>755.60865758756358</c:v>
                      </c:pt>
                      <c:pt idx="73">
                        <c:v>755.94573421134714</c:v>
                      </c:pt>
                      <c:pt idx="74">
                        <c:v>756.28296120483503</c:v>
                      </c:pt>
                      <c:pt idx="75">
                        <c:v>756.6203386351068</c:v>
                      </c:pt>
                      <c:pt idx="76">
                        <c:v>756.95786656927237</c:v>
                      </c:pt>
                      <c:pt idx="77">
                        <c:v>757.29554507447153</c:v>
                      </c:pt>
                      <c:pt idx="78">
                        <c:v>757.63337421787367</c:v>
                      </c:pt>
                      <c:pt idx="79">
                        <c:v>757.9713540666786</c:v>
                      </c:pt>
                      <c:pt idx="80">
                        <c:v>758.30948468811607</c:v>
                      </c:pt>
                      <c:pt idx="81">
                        <c:v>758.64776614944526</c:v>
                      </c:pt>
                      <c:pt idx="82">
                        <c:v>758.98619851795627</c:v>
                      </c:pt>
                      <c:pt idx="83">
                        <c:v>759.3247818609683</c:v>
                      </c:pt>
                      <c:pt idx="84">
                        <c:v>759.66351624583103</c:v>
                      </c:pt>
                      <c:pt idx="85">
                        <c:v>760.00240173992449</c:v>
                      </c:pt>
                      <c:pt idx="86">
                        <c:v>760.34143841065804</c:v>
                      </c:pt>
                      <c:pt idx="87">
                        <c:v>760.68062632547174</c:v>
                      </c:pt>
                      <c:pt idx="88">
                        <c:v>761.01996555183541</c:v>
                      </c:pt>
                      <c:pt idx="89">
                        <c:v>761.35945615724881</c:v>
                      </c:pt>
                      <c:pt idx="90">
                        <c:v>761.69909820924261</c:v>
                      </c:pt>
                      <c:pt idx="91">
                        <c:v>762.03889177537678</c:v>
                      </c:pt>
                      <c:pt idx="92">
                        <c:v>762.37883692324147</c:v>
                      </c:pt>
                      <c:pt idx="93">
                        <c:v>762.71893372045736</c:v>
                      </c:pt>
                      <c:pt idx="94">
                        <c:v>763.0591822346754</c:v>
                      </c:pt>
                      <c:pt idx="95">
                        <c:v>763.39958253357599</c:v>
                      </c:pt>
                      <c:pt idx="96">
                        <c:v>763.74013468487067</c:v>
                      </c:pt>
                      <c:pt idx="97">
                        <c:v>764.08083875630041</c:v>
                      </c:pt>
                      <c:pt idx="98">
                        <c:v>764.42169481563678</c:v>
                      </c:pt>
                      <c:pt idx="99">
                        <c:v>764.7627029306816</c:v>
                      </c:pt>
                      <c:pt idx="100">
                        <c:v>765.10386316926667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9235-4A6B-A95A-1CC700060914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Production_Forecast!$N$10</c15:sqref>
                        </c15:formulaRef>
                      </c:ext>
                    </c:extLst>
                    <c:strCache>
                      <c:ptCount val="1"/>
                      <c:pt idx="0">
                        <c:v>WCUT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Production_Forecast!$N$12:$N$112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0.37633</c:v>
                      </c:pt>
                      <c:pt idx="1">
                        <c:v>0.37861445494800561</c:v>
                      </c:pt>
                      <c:pt idx="2">
                        <c:v>0.38091277733790929</c:v>
                      </c:pt>
                      <c:pt idx="3">
                        <c:v>0.38322505134994173</c:v>
                      </c:pt>
                      <c:pt idx="4">
                        <c:v>0.38555136167533721</c:v>
                      </c:pt>
                      <c:pt idx="5">
                        <c:v>0.38789179351943559</c:v>
                      </c:pt>
                      <c:pt idx="6">
                        <c:v>0.39024643260480291</c:v>
                      </c:pt>
                      <c:pt idx="7">
                        <c:v>0.39261536517437112</c:v>
                      </c:pt>
                      <c:pt idx="8">
                        <c:v>0.39499867799459709</c:v>
                      </c:pt>
                      <c:pt idx="9">
                        <c:v>0.3973964583586404</c:v>
                      </c:pt>
                      <c:pt idx="10">
                        <c:v>0.39980879408956099</c:v>
                      </c:pt>
                      <c:pt idx="11">
                        <c:v>0.40223577354353501</c:v>
                      </c:pt>
                      <c:pt idx="12">
                        <c:v>0.40467748561309208</c:v>
                      </c:pt>
                      <c:pt idx="13">
                        <c:v>0.40713401973037033</c:v>
                      </c:pt>
                      <c:pt idx="14">
                        <c:v>0.40960546587039232</c:v>
                      </c:pt>
                      <c:pt idx="15">
                        <c:v>0.41209191455436062</c:v>
                      </c:pt>
                      <c:pt idx="16">
                        <c:v>0.41459345685297311</c:v>
                      </c:pt>
                      <c:pt idx="17">
                        <c:v>0.41711018438975878</c:v>
                      </c:pt>
                      <c:pt idx="18">
                        <c:v>0.41964218934443348</c:v>
                      </c:pt>
                      <c:pt idx="19">
                        <c:v>0.42218956445627637</c:v>
                      </c:pt>
                      <c:pt idx="20">
                        <c:v>0.42475240302752626</c:v>
                      </c:pt>
                      <c:pt idx="21">
                        <c:v>0.42733079892679959</c:v>
                      </c:pt>
                      <c:pt idx="22">
                        <c:v>0.42992484659252789</c:v>
                      </c:pt>
                      <c:pt idx="23">
                        <c:v>0.43253464103641726</c:v>
                      </c:pt>
                      <c:pt idx="24">
                        <c:v>0.43516027784692796</c:v>
                      </c:pt>
                      <c:pt idx="25">
                        <c:v>0.43780185319277587</c:v>
                      </c:pt>
                      <c:pt idx="26">
                        <c:v>0.44045946382645451</c:v>
                      </c:pt>
                      <c:pt idx="27">
                        <c:v>0.44313320708777898</c:v>
                      </c:pt>
                      <c:pt idx="28">
                        <c:v>0.44582318090745138</c:v>
                      </c:pt>
                      <c:pt idx="29">
                        <c:v>0.44852948381064706</c:v>
                      </c:pt>
                      <c:pt idx="30">
                        <c:v>0.45125221492062417</c:v>
                      </c:pt>
                      <c:pt idx="31">
                        <c:v>0.45399147396235323</c:v>
                      </c:pt>
                      <c:pt idx="32">
                        <c:v>0.45674736126617088</c:v>
                      </c:pt>
                      <c:pt idx="33">
                        <c:v>0.45951997777145354</c:v>
                      </c:pt>
                      <c:pt idx="34">
                        <c:v>0.4623094250303153</c:v>
                      </c:pt>
                      <c:pt idx="35">
                        <c:v>0.46511580521132712</c:v>
                      </c:pt>
                      <c:pt idx="36">
                        <c:v>0.46793922110325881</c:v>
                      </c:pt>
                      <c:pt idx="37">
                        <c:v>0.4707797761188442</c:v>
                      </c:pt>
                      <c:pt idx="38">
                        <c:v>0.47363757429856862</c:v>
                      </c:pt>
                      <c:pt idx="39">
                        <c:v>0.4765127203144795</c:v>
                      </c:pt>
                      <c:pt idx="40">
                        <c:v>0.47940531947402043</c:v>
                      </c:pt>
                      <c:pt idx="41">
                        <c:v>0.482315477723888</c:v>
                      </c:pt>
                      <c:pt idx="42">
                        <c:v>0.48524330165391233</c:v>
                      </c:pt>
                      <c:pt idx="43">
                        <c:v>0.48818889850096114</c:v>
                      </c:pt>
                      <c:pt idx="44">
                        <c:v>0.4911523761528675</c:v>
                      </c:pt>
                      <c:pt idx="45">
                        <c:v>0.49413384315238168</c:v>
                      </c:pt>
                      <c:pt idx="46">
                        <c:v>0.49713340870114608</c:v>
                      </c:pt>
                      <c:pt idx="47">
                        <c:v>0.50015118266369551</c:v>
                      </c:pt>
                      <c:pt idx="48">
                        <c:v>0.50318727557148113</c:v>
                      </c:pt>
                      <c:pt idx="49">
                        <c:v>0.50624179862691854</c:v>
                      </c:pt>
                      <c:pt idx="50">
                        <c:v>0.50931486370746104</c:v>
                      </c:pt>
                      <c:pt idx="51">
                        <c:v>0.51240658336969713</c:v>
                      </c:pt>
                      <c:pt idx="52">
                        <c:v>0.51551707085347354</c:v>
                      </c:pt>
                      <c:pt idx="53">
                        <c:v>0.51864644008604233</c:v>
                      </c:pt>
                      <c:pt idx="54">
                        <c:v>0.52179480568623382</c:v>
                      </c:pt>
                      <c:pt idx="55">
                        <c:v>0.52496228296865499</c:v>
                      </c:pt>
                      <c:pt idx="56">
                        <c:v>0.52814898794791276</c:v>
                      </c:pt>
                      <c:pt idx="57">
                        <c:v>0.53135503734286349</c:v>
                      </c:pt>
                      <c:pt idx="58">
                        <c:v>0.53458054858088766</c:v>
                      </c:pt>
                      <c:pt idx="59">
                        <c:v>0.53782563980219111</c:v>
                      </c:pt>
                      <c:pt idx="60">
                        <c:v>0.54109042986413258</c:v>
                      </c:pt>
                      <c:pt idx="61">
                        <c:v>0.5443750383455761</c:v>
                      </c:pt>
                      <c:pt idx="62">
                        <c:v>0.54767958555127139</c:v>
                      </c:pt>
                      <c:pt idx="63">
                        <c:v>0.55100419251626032</c:v>
                      </c:pt>
                      <c:pt idx="64">
                        <c:v>0.55434898101030983</c:v>
                      </c:pt>
                      <c:pt idx="65">
                        <c:v>0.55771407354237179</c:v>
                      </c:pt>
                      <c:pt idx="66">
                        <c:v>0.56109959336507065</c:v>
                      </c:pt>
                      <c:pt idx="67">
                        <c:v>0.56450566447921724</c:v>
                      </c:pt>
                      <c:pt idx="68">
                        <c:v>0.56793241163835095</c:v>
                      </c:pt>
                      <c:pt idx="69">
                        <c:v>0.57137996035330851</c:v>
                      </c:pt>
                      <c:pt idx="70">
                        <c:v>0.57484843689682197</c:v>
                      </c:pt>
                      <c:pt idx="71">
                        <c:v>0.57833796830814244</c:v>
                      </c:pt>
                      <c:pt idx="72">
                        <c:v>0.58184868239769427</c:v>
                      </c:pt>
                      <c:pt idx="73">
                        <c:v>0.58538070775175588</c:v>
                      </c:pt>
                      <c:pt idx="74">
                        <c:v>0.58893417373716905</c:v>
                      </c:pt>
                      <c:pt idx="75">
                        <c:v>0.59250921050607797</c:v>
                      </c:pt>
                      <c:pt idx="76">
                        <c:v>0.5961059490006958</c:v>
                      </c:pt>
                      <c:pt idx="77">
                        <c:v>0.59972452095810092</c:v>
                      </c:pt>
                      <c:pt idx="78">
                        <c:v>0.60336505891506165</c:v>
                      </c:pt>
                      <c:pt idx="79">
                        <c:v>0.60702769621289132</c:v>
                      </c:pt>
                      <c:pt idx="80">
                        <c:v>0.61071256700233145</c:v>
                      </c:pt>
                      <c:pt idx="81">
                        <c:v>0.61441980624846571</c:v>
                      </c:pt>
                      <c:pt idx="82">
                        <c:v>0.61814954973566305</c:v>
                      </c:pt>
                      <c:pt idx="83">
                        <c:v>0.62190193407255123</c:v>
                      </c:pt>
                      <c:pt idx="84">
                        <c:v>0.62567709669701999</c:v>
                      </c:pt>
                      <c:pt idx="85">
                        <c:v>0.62947517588125534</c:v>
                      </c:pt>
                      <c:pt idx="86">
                        <c:v>0.63329631073680404</c:v>
                      </c:pt>
                      <c:pt idx="87">
                        <c:v>0.63714064121966862</c:v>
                      </c:pt>
                      <c:pt idx="88">
                        <c:v>0.64100830813543341</c:v>
                      </c:pt>
                      <c:pt idx="89">
                        <c:v>0.6448994531444221</c:v>
                      </c:pt>
                      <c:pt idx="90">
                        <c:v>0.64881421876688627</c:v>
                      </c:pt>
                      <c:pt idx="91">
                        <c:v>0.65275274838822506</c:v>
                      </c:pt>
                      <c:pt idx="92">
                        <c:v>0.65671518626423742</c:v>
                      </c:pt>
                      <c:pt idx="93">
                        <c:v>0.66070167752640574</c:v>
                      </c:pt>
                      <c:pt idx="94">
                        <c:v>0.66471236818721102</c:v>
                      </c:pt>
                      <c:pt idx="95">
                        <c:v>0.66874740514548114</c:v>
                      </c:pt>
                      <c:pt idx="96">
                        <c:v>0.67280693619177168</c:v>
                      </c:pt>
                      <c:pt idx="97">
                        <c:v>0.67689111001377855</c:v>
                      </c:pt>
                      <c:pt idx="98">
                        <c:v>0.68100007620178382</c:v>
                      </c:pt>
                      <c:pt idx="99">
                        <c:v>0.68513398525413516</c:v>
                      </c:pt>
                      <c:pt idx="100">
                        <c:v>0.689292988582758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3-9235-4A6B-A95A-1CC700060914}"/>
                  </c:ext>
                </c:extLst>
              </c15:ser>
            </c15:filteredScatterSeries>
            <c15:filteredScatterSeries>
              <c15:ser>
                <c:idx val="4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Production_Forecast!$G$10</c15:sqref>
                        </c15:formulaRef>
                      </c:ext>
                    </c:extLst>
                    <c:strCache>
                      <c:ptCount val="1"/>
                      <c:pt idx="0">
                        <c:v>Cum. Np</c:v>
                      </c:pt>
                    </c:strCache>
                  </c:strRef>
                </c:tx>
                <c:spPr>
                  <a:ln w="19050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Production_Forecast!$K$12:$K$112</c15:sqref>
                        </c15:formulaRef>
                      </c:ext>
                    </c:extLst>
                    <c:numCache>
                      <c:formatCode>0.00</c:formatCode>
                      <c:ptCount val="101"/>
                      <c:pt idx="0">
                        <c:v>0</c:v>
                      </c:pt>
                      <c:pt idx="1">
                        <c:v>2.990366109806172E-2</c:v>
                      </c:pt>
                      <c:pt idx="2">
                        <c:v>5.6372837931266531E-2</c:v>
                      </c:pt>
                      <c:pt idx="3">
                        <c:v>7.9801986620785331E-2</c:v>
                      </c:pt>
                      <c:pt idx="4">
                        <c:v>0.10054025935871833</c:v>
                      </c:pt>
                      <c:pt idx="5">
                        <c:v>0.11889670763826224</c:v>
                      </c:pt>
                      <c:pt idx="6">
                        <c:v>0.1351448878844034</c:v>
                      </c:pt>
                      <c:pt idx="7">
                        <c:v>0.14952693812041182</c:v>
                      </c:pt>
                      <c:pt idx="8">
                        <c:v>0.16225718642253756</c:v>
                      </c:pt>
                      <c:pt idx="9">
                        <c:v>0.17352534493779748</c:v>
                      </c:pt>
                      <c:pt idx="10">
                        <c:v>0.18349933706360874</c:v>
                      </c:pt>
                      <c:pt idx="11">
                        <c:v>0.19232779992122867</c:v>
                      </c:pt>
                      <c:pt idx="12">
                        <c:v>0.20014229941603701</c:v>
                      </c:pt>
                      <c:pt idx="13">
                        <c:v>0.20705929089453118</c:v>
                      </c:pt>
                      <c:pt idx="14">
                        <c:v>0.21318185461666689</c:v>
                      </c:pt>
                      <c:pt idx="15">
                        <c:v>0.21860123190636871</c:v>
                      </c:pt>
                      <c:pt idx="16">
                        <c:v>0.22339818487264843</c:v>
                      </c:pt>
                      <c:pt idx="17">
                        <c:v>0.22764419996453475</c:v>
                      </c:pt>
                      <c:pt idx="18">
                        <c:v>0.23186717293750775</c:v>
                      </c:pt>
                      <c:pt idx="19">
                        <c:v>0.23609014591048072</c:v>
                      </c:pt>
                      <c:pt idx="20">
                        <c:v>0.24031311888345366</c:v>
                      </c:pt>
                      <c:pt idx="21">
                        <c:v>0.24453609185642666</c:v>
                      </c:pt>
                      <c:pt idx="22">
                        <c:v>0.24875906482939963</c:v>
                      </c:pt>
                      <c:pt idx="23">
                        <c:v>0.25298203780237261</c:v>
                      </c:pt>
                      <c:pt idx="24">
                        <c:v>0.25720501077534558</c:v>
                      </c:pt>
                      <c:pt idx="25">
                        <c:v>0.26142798374831855</c:v>
                      </c:pt>
                      <c:pt idx="26">
                        <c:v>0.26565095672129152</c:v>
                      </c:pt>
                      <c:pt idx="27">
                        <c:v>0.26987392969426449</c:v>
                      </c:pt>
                      <c:pt idx="28">
                        <c:v>0.27409690266723746</c:v>
                      </c:pt>
                      <c:pt idx="29">
                        <c:v>0.27831987564021043</c:v>
                      </c:pt>
                      <c:pt idx="30">
                        <c:v>0.28254284861318341</c:v>
                      </c:pt>
                      <c:pt idx="31">
                        <c:v>0.28676582158615638</c:v>
                      </c:pt>
                      <c:pt idx="32">
                        <c:v>0.29098879455912929</c:v>
                      </c:pt>
                      <c:pt idx="33">
                        <c:v>0.29521176753210226</c:v>
                      </c:pt>
                      <c:pt idx="34">
                        <c:v>0.29943474050507524</c:v>
                      </c:pt>
                      <c:pt idx="35">
                        <c:v>0.30365771347804821</c:v>
                      </c:pt>
                      <c:pt idx="36">
                        <c:v>0.30788068645102118</c:v>
                      </c:pt>
                      <c:pt idx="37">
                        <c:v>0.31210365942399415</c:v>
                      </c:pt>
                      <c:pt idx="38">
                        <c:v>0.31632663239696712</c:v>
                      </c:pt>
                      <c:pt idx="39">
                        <c:v>0.32054960536994009</c:v>
                      </c:pt>
                      <c:pt idx="40">
                        <c:v>0.32477257834291301</c:v>
                      </c:pt>
                      <c:pt idx="41">
                        <c:v>0.32899555131588593</c:v>
                      </c:pt>
                      <c:pt idx="42">
                        <c:v>0.3332185242888589</c:v>
                      </c:pt>
                      <c:pt idx="43">
                        <c:v>0.33744149726183187</c:v>
                      </c:pt>
                      <c:pt idx="44">
                        <c:v>0.34166447023480484</c:v>
                      </c:pt>
                      <c:pt idx="45">
                        <c:v>0.34588744320777776</c:v>
                      </c:pt>
                      <c:pt idx="46">
                        <c:v>0.35011041618075067</c:v>
                      </c:pt>
                      <c:pt idx="47">
                        <c:v>0.3543333891537237</c:v>
                      </c:pt>
                      <c:pt idx="48">
                        <c:v>0.35855636212669667</c:v>
                      </c:pt>
                      <c:pt idx="49">
                        <c:v>0.36277933509966959</c:v>
                      </c:pt>
                      <c:pt idx="50">
                        <c:v>0.36700230807264256</c:v>
                      </c:pt>
                      <c:pt idx="51">
                        <c:v>0.37122528104561553</c:v>
                      </c:pt>
                      <c:pt idx="52">
                        <c:v>0.3754482540185885</c:v>
                      </c:pt>
                      <c:pt idx="53">
                        <c:v>0.37967122699156142</c:v>
                      </c:pt>
                      <c:pt idx="54">
                        <c:v>0.38389419996453439</c:v>
                      </c:pt>
                      <c:pt idx="55">
                        <c:v>0.38811717293750736</c:v>
                      </c:pt>
                      <c:pt idx="56">
                        <c:v>0.39234014591048039</c:v>
                      </c:pt>
                      <c:pt idx="57">
                        <c:v>0.39656311888345336</c:v>
                      </c:pt>
                      <c:pt idx="58">
                        <c:v>0.40078609185642633</c:v>
                      </c:pt>
                      <c:pt idx="59">
                        <c:v>0.40500906482939925</c:v>
                      </c:pt>
                      <c:pt idx="60">
                        <c:v>0.40923203780237222</c:v>
                      </c:pt>
                      <c:pt idx="61">
                        <c:v>0.41345501077534519</c:v>
                      </c:pt>
                      <c:pt idx="62">
                        <c:v>0.41767798374831816</c:v>
                      </c:pt>
                      <c:pt idx="63">
                        <c:v>0.42190095672129113</c:v>
                      </c:pt>
                      <c:pt idx="64">
                        <c:v>0.42612392969426405</c:v>
                      </c:pt>
                      <c:pt idx="65">
                        <c:v>0.43034690266723702</c:v>
                      </c:pt>
                      <c:pt idx="66">
                        <c:v>0.43456987564020999</c:v>
                      </c:pt>
                      <c:pt idx="67">
                        <c:v>0.43879284861318302</c:v>
                      </c:pt>
                      <c:pt idx="68">
                        <c:v>0.44301582158615599</c:v>
                      </c:pt>
                      <c:pt idx="69">
                        <c:v>0.44723879455912885</c:v>
                      </c:pt>
                      <c:pt idx="70">
                        <c:v>0.45146176753210182</c:v>
                      </c:pt>
                      <c:pt idx="71">
                        <c:v>0.45568474050507479</c:v>
                      </c:pt>
                      <c:pt idx="72">
                        <c:v>0.45990771347804771</c:v>
                      </c:pt>
                      <c:pt idx="73">
                        <c:v>0.46413068645102068</c:v>
                      </c:pt>
                      <c:pt idx="74">
                        <c:v>0.46835365942399365</c:v>
                      </c:pt>
                      <c:pt idx="75">
                        <c:v>0.47257663239696662</c:v>
                      </c:pt>
                      <c:pt idx="76">
                        <c:v>0.47679960536993954</c:v>
                      </c:pt>
                      <c:pt idx="77">
                        <c:v>0.48102257834291251</c:v>
                      </c:pt>
                      <c:pt idx="78">
                        <c:v>0.48524555131588548</c:v>
                      </c:pt>
                      <c:pt idx="79">
                        <c:v>0.48946852428885845</c:v>
                      </c:pt>
                      <c:pt idx="80">
                        <c:v>0.49369149726183137</c:v>
                      </c:pt>
                      <c:pt idx="81">
                        <c:v>0.49791447023480434</c:v>
                      </c:pt>
                      <c:pt idx="82">
                        <c:v>0.50213744320777731</c:v>
                      </c:pt>
                      <c:pt idx="83">
                        <c:v>0.50636041618075023</c:v>
                      </c:pt>
                      <c:pt idx="84">
                        <c:v>0.51058338915372325</c:v>
                      </c:pt>
                      <c:pt idx="85">
                        <c:v>0.51480636212669617</c:v>
                      </c:pt>
                      <c:pt idx="86">
                        <c:v>0.5190293350996692</c:v>
                      </c:pt>
                      <c:pt idx="87">
                        <c:v>0.52325230807264211</c:v>
                      </c:pt>
                      <c:pt idx="88">
                        <c:v>0.52747528104561503</c:v>
                      </c:pt>
                      <c:pt idx="89">
                        <c:v>0.53169825401858806</c:v>
                      </c:pt>
                      <c:pt idx="90">
                        <c:v>0.53592122699156108</c:v>
                      </c:pt>
                      <c:pt idx="91">
                        <c:v>0.540144199964534</c:v>
                      </c:pt>
                      <c:pt idx="92">
                        <c:v>0.54436717293750703</c:v>
                      </c:pt>
                      <c:pt idx="93">
                        <c:v>0.54859014591047994</c:v>
                      </c:pt>
                      <c:pt idx="94">
                        <c:v>0.55281311888345286</c:v>
                      </c:pt>
                      <c:pt idx="95">
                        <c:v>0.55703609185642577</c:v>
                      </c:pt>
                      <c:pt idx="96">
                        <c:v>0.56125906482939869</c:v>
                      </c:pt>
                      <c:pt idx="97">
                        <c:v>0.56548203780237172</c:v>
                      </c:pt>
                      <c:pt idx="98">
                        <c:v>0.56970501077534463</c:v>
                      </c:pt>
                      <c:pt idx="99">
                        <c:v>0.57392798374831755</c:v>
                      </c:pt>
                      <c:pt idx="100">
                        <c:v>0.57815095672129058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Production_Forecast!$G$12:$G$112</c15:sqref>
                        </c15:formulaRef>
                      </c:ext>
                    </c:extLst>
                    <c:numCache>
                      <c:formatCode>0</c:formatCode>
                      <c:ptCount val="101"/>
                      <c:pt idx="0">
                        <c:v>0</c:v>
                      </c:pt>
                      <c:pt idx="1">
                        <c:v>10</c:v>
                      </c:pt>
                      <c:pt idx="2">
                        <c:v>20</c:v>
                      </c:pt>
                      <c:pt idx="3">
                        <c:v>30.000000000000007</c:v>
                      </c:pt>
                      <c:pt idx="4">
                        <c:v>40</c:v>
                      </c:pt>
                      <c:pt idx="5">
                        <c:v>50</c:v>
                      </c:pt>
                      <c:pt idx="6">
                        <c:v>60</c:v>
                      </c:pt>
                      <c:pt idx="7">
                        <c:v>69.999999999999986</c:v>
                      </c:pt>
                      <c:pt idx="8">
                        <c:v>80</c:v>
                      </c:pt>
                      <c:pt idx="9">
                        <c:v>90</c:v>
                      </c:pt>
                      <c:pt idx="10">
                        <c:v>99.999999999999972</c:v>
                      </c:pt>
                      <c:pt idx="11">
                        <c:v>109.99999999999999</c:v>
                      </c:pt>
                      <c:pt idx="12">
                        <c:v>120</c:v>
                      </c:pt>
                      <c:pt idx="13">
                        <c:v>130</c:v>
                      </c:pt>
                      <c:pt idx="14">
                        <c:v>140</c:v>
                      </c:pt>
                      <c:pt idx="15">
                        <c:v>150.00000000000003</c:v>
                      </c:pt>
                      <c:pt idx="16">
                        <c:v>160.00000000000003</c:v>
                      </c:pt>
                      <c:pt idx="17">
                        <c:v>170.00000000000003</c:v>
                      </c:pt>
                      <c:pt idx="18">
                        <c:v>180.00000000000006</c:v>
                      </c:pt>
                      <c:pt idx="19">
                        <c:v>190.00000000000006</c:v>
                      </c:pt>
                      <c:pt idx="20">
                        <c:v>200.00000000000003</c:v>
                      </c:pt>
                      <c:pt idx="21">
                        <c:v>210.00000000000006</c:v>
                      </c:pt>
                      <c:pt idx="22">
                        <c:v>220.00000000000006</c:v>
                      </c:pt>
                      <c:pt idx="23">
                        <c:v>230.00000000000006</c:v>
                      </c:pt>
                      <c:pt idx="24">
                        <c:v>240.00000000000009</c:v>
                      </c:pt>
                      <c:pt idx="25">
                        <c:v>250.00000000000011</c:v>
                      </c:pt>
                      <c:pt idx="26">
                        <c:v>260.00000000000011</c:v>
                      </c:pt>
                      <c:pt idx="27">
                        <c:v>270.00000000000011</c:v>
                      </c:pt>
                      <c:pt idx="28">
                        <c:v>280.00000000000011</c:v>
                      </c:pt>
                      <c:pt idx="29">
                        <c:v>290.00000000000017</c:v>
                      </c:pt>
                      <c:pt idx="30">
                        <c:v>300.00000000000017</c:v>
                      </c:pt>
                      <c:pt idx="31">
                        <c:v>310.00000000000017</c:v>
                      </c:pt>
                      <c:pt idx="32">
                        <c:v>320.00000000000017</c:v>
                      </c:pt>
                      <c:pt idx="33">
                        <c:v>330.00000000000017</c:v>
                      </c:pt>
                      <c:pt idx="34">
                        <c:v>340.00000000000017</c:v>
                      </c:pt>
                      <c:pt idx="35">
                        <c:v>350.00000000000023</c:v>
                      </c:pt>
                      <c:pt idx="36">
                        <c:v>360.00000000000023</c:v>
                      </c:pt>
                      <c:pt idx="37">
                        <c:v>370.00000000000023</c:v>
                      </c:pt>
                      <c:pt idx="38">
                        <c:v>380.00000000000023</c:v>
                      </c:pt>
                      <c:pt idx="39">
                        <c:v>390.00000000000023</c:v>
                      </c:pt>
                      <c:pt idx="40">
                        <c:v>400.00000000000011</c:v>
                      </c:pt>
                      <c:pt idx="41">
                        <c:v>410.00000000000011</c:v>
                      </c:pt>
                      <c:pt idx="42">
                        <c:v>420.00000000000011</c:v>
                      </c:pt>
                      <c:pt idx="43">
                        <c:v>430.00000000000011</c:v>
                      </c:pt>
                      <c:pt idx="44">
                        <c:v>440.00000000000006</c:v>
                      </c:pt>
                      <c:pt idx="45">
                        <c:v>449.99999999999994</c:v>
                      </c:pt>
                      <c:pt idx="46">
                        <c:v>459.99999999999994</c:v>
                      </c:pt>
                      <c:pt idx="47">
                        <c:v>469.99999999999994</c:v>
                      </c:pt>
                      <c:pt idx="48">
                        <c:v>479.99999999999989</c:v>
                      </c:pt>
                      <c:pt idx="49">
                        <c:v>489.99999999999989</c:v>
                      </c:pt>
                      <c:pt idx="50">
                        <c:v>499.99999999999983</c:v>
                      </c:pt>
                      <c:pt idx="51">
                        <c:v>509.99999999999977</c:v>
                      </c:pt>
                      <c:pt idx="52">
                        <c:v>519.99999999999977</c:v>
                      </c:pt>
                      <c:pt idx="53">
                        <c:v>529.99999999999966</c:v>
                      </c:pt>
                      <c:pt idx="54">
                        <c:v>539.99999999999955</c:v>
                      </c:pt>
                      <c:pt idx="55">
                        <c:v>549.99999999999955</c:v>
                      </c:pt>
                      <c:pt idx="56">
                        <c:v>559.99999999999966</c:v>
                      </c:pt>
                      <c:pt idx="57">
                        <c:v>569.99999999999966</c:v>
                      </c:pt>
                      <c:pt idx="58">
                        <c:v>579.99999999999955</c:v>
                      </c:pt>
                      <c:pt idx="59">
                        <c:v>589.99999999999955</c:v>
                      </c:pt>
                      <c:pt idx="60">
                        <c:v>599.99999999999955</c:v>
                      </c:pt>
                      <c:pt idx="61">
                        <c:v>609.99999999999943</c:v>
                      </c:pt>
                      <c:pt idx="62">
                        <c:v>619.99999999999932</c:v>
                      </c:pt>
                      <c:pt idx="63">
                        <c:v>629.99999999999932</c:v>
                      </c:pt>
                      <c:pt idx="64">
                        <c:v>639.99999999999932</c:v>
                      </c:pt>
                      <c:pt idx="65">
                        <c:v>649.99999999999932</c:v>
                      </c:pt>
                      <c:pt idx="66">
                        <c:v>659.9999999999992</c:v>
                      </c:pt>
                      <c:pt idx="67">
                        <c:v>669.99999999999932</c:v>
                      </c:pt>
                      <c:pt idx="68">
                        <c:v>679.99999999999932</c:v>
                      </c:pt>
                      <c:pt idx="69">
                        <c:v>689.99999999999909</c:v>
                      </c:pt>
                      <c:pt idx="70">
                        <c:v>699.99999999999909</c:v>
                      </c:pt>
                      <c:pt idx="71">
                        <c:v>709.99999999999909</c:v>
                      </c:pt>
                      <c:pt idx="72">
                        <c:v>719.99999999999898</c:v>
                      </c:pt>
                      <c:pt idx="73">
                        <c:v>729.99999999999898</c:v>
                      </c:pt>
                      <c:pt idx="74">
                        <c:v>739.99999999999898</c:v>
                      </c:pt>
                      <c:pt idx="75">
                        <c:v>749.99999999999898</c:v>
                      </c:pt>
                      <c:pt idx="76">
                        <c:v>759.99999999999886</c:v>
                      </c:pt>
                      <c:pt idx="77">
                        <c:v>769.99999999999886</c:v>
                      </c:pt>
                      <c:pt idx="78">
                        <c:v>779.99999999999886</c:v>
                      </c:pt>
                      <c:pt idx="79">
                        <c:v>789.99999999999875</c:v>
                      </c:pt>
                      <c:pt idx="80">
                        <c:v>799.99999999999875</c:v>
                      </c:pt>
                      <c:pt idx="81">
                        <c:v>809.99999999999875</c:v>
                      </c:pt>
                      <c:pt idx="82">
                        <c:v>819.99999999999864</c:v>
                      </c:pt>
                      <c:pt idx="83">
                        <c:v>829.99999999999864</c:v>
                      </c:pt>
                      <c:pt idx="84">
                        <c:v>839.99999999999864</c:v>
                      </c:pt>
                      <c:pt idx="85">
                        <c:v>849.99999999999852</c:v>
                      </c:pt>
                      <c:pt idx="86">
                        <c:v>859.99999999999852</c:v>
                      </c:pt>
                      <c:pt idx="87">
                        <c:v>869.99999999999852</c:v>
                      </c:pt>
                      <c:pt idx="88">
                        <c:v>879.99999999999841</c:v>
                      </c:pt>
                      <c:pt idx="89">
                        <c:v>889.99999999999841</c:v>
                      </c:pt>
                      <c:pt idx="90">
                        <c:v>899.99999999999852</c:v>
                      </c:pt>
                      <c:pt idx="91">
                        <c:v>909.99999999999841</c:v>
                      </c:pt>
                      <c:pt idx="92">
                        <c:v>919.99999999999841</c:v>
                      </c:pt>
                      <c:pt idx="93">
                        <c:v>929.99999999999841</c:v>
                      </c:pt>
                      <c:pt idx="94">
                        <c:v>939.99999999999818</c:v>
                      </c:pt>
                      <c:pt idx="95">
                        <c:v>949.99999999999818</c:v>
                      </c:pt>
                      <c:pt idx="96">
                        <c:v>959.99999999999818</c:v>
                      </c:pt>
                      <c:pt idx="97">
                        <c:v>969.99999999999807</c:v>
                      </c:pt>
                      <c:pt idx="98">
                        <c:v>979.99999999999807</c:v>
                      </c:pt>
                      <c:pt idx="99">
                        <c:v>989.99999999999807</c:v>
                      </c:pt>
                      <c:pt idx="100">
                        <c:v>999.99999999999807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4-9235-4A6B-A95A-1CC700060914}"/>
                  </c:ext>
                </c:extLst>
              </c15:ser>
            </c15:filteredScatterSeries>
          </c:ext>
        </c:extLst>
      </c:scatterChart>
      <c:valAx>
        <c:axId val="1518137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Time (year)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49776"/>
        <c:crosses val="autoZero"/>
        <c:crossBetween val="midCat"/>
      </c:valAx>
      <c:valAx>
        <c:axId val="1518149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Pressure (psia)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18137808"/>
        <c:crosses val="autoZero"/>
        <c:crossBetween val="midCat"/>
      </c:valAx>
      <c:spPr>
        <a:noFill/>
        <a:ln>
          <a:solidFill>
            <a:sysClr val="windowText" lastClr="000000"/>
          </a:solidFill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2">
            <a:lumMod val="20000"/>
            <a:lumOff val="80000"/>
          </a:schemeClr>
        </a:gs>
        <a:gs pos="74000">
          <a:schemeClr val="accent3">
            <a:lumMod val="45000"/>
            <a:lumOff val="55000"/>
          </a:schemeClr>
        </a:gs>
        <a:gs pos="83000">
          <a:schemeClr val="accent3">
            <a:lumMod val="45000"/>
            <a:lumOff val="55000"/>
          </a:schemeClr>
        </a:gs>
        <a:gs pos="100000">
          <a:schemeClr val="accent3">
            <a:lumMod val="30000"/>
            <a:lumOff val="70000"/>
          </a:schemeClr>
        </a:gs>
      </a:gsLst>
      <a:lin ang="5400000" scaled="1"/>
    </a:gradFill>
    <a:ln w="254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image" Target="../media/image1.png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16</xdr:col>
      <xdr:colOff>24142</xdr:colOff>
      <xdr:row>3</xdr:row>
      <xdr:rowOff>116943</xdr:rowOff>
    </xdr:from>
    <xdr:to>
      <xdr:col>25</xdr:col>
      <xdr:colOff>604275</xdr:colOff>
      <xdr:row>21</xdr:row>
      <xdr:rowOff>71692</xdr:rowOff>
    </xdr:to>
    <xdr:graphicFrame macro="">
      <xdr:nvGraphicFramePr>
        <xdr:cNvPr id="2" name="OilRat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absolute">
    <xdr:from>
      <xdr:col>27</xdr:col>
      <xdr:colOff>19425</xdr:colOff>
      <xdr:row>3</xdr:row>
      <xdr:rowOff>102930</xdr:rowOff>
    </xdr:from>
    <xdr:to>
      <xdr:col>37</xdr:col>
      <xdr:colOff>2</xdr:colOff>
      <xdr:row>21</xdr:row>
      <xdr:rowOff>50103</xdr:rowOff>
    </xdr:to>
    <xdr:graphicFrame macro="">
      <xdr:nvGraphicFramePr>
        <xdr:cNvPr id="5" name="GasOilRati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16</xdr:col>
      <xdr:colOff>9778</xdr:colOff>
      <xdr:row>25</xdr:row>
      <xdr:rowOff>58619</xdr:rowOff>
    </xdr:from>
    <xdr:to>
      <xdr:col>25</xdr:col>
      <xdr:colOff>604275</xdr:colOff>
      <xdr:row>42</xdr:row>
      <xdr:rowOff>94002</xdr:rowOff>
    </xdr:to>
    <xdr:graphicFrame macro="">
      <xdr:nvGraphicFramePr>
        <xdr:cNvPr id="6" name="Watercut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absolute">
    <xdr:from>
      <xdr:col>27</xdr:col>
      <xdr:colOff>17858</xdr:colOff>
      <xdr:row>25</xdr:row>
      <xdr:rowOff>70941</xdr:rowOff>
    </xdr:from>
    <xdr:to>
      <xdr:col>37</xdr:col>
      <xdr:colOff>10243</xdr:colOff>
      <xdr:row>42</xdr:row>
      <xdr:rowOff>106324</xdr:rowOff>
    </xdr:to>
    <xdr:graphicFrame macro="">
      <xdr:nvGraphicFramePr>
        <xdr:cNvPr id="7" name="Pressur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</xdr:col>
      <xdr:colOff>10949</xdr:colOff>
      <xdr:row>47</xdr:row>
      <xdr:rowOff>55104</xdr:rowOff>
    </xdr:from>
    <xdr:to>
      <xdr:col>2</xdr:col>
      <xdr:colOff>446284</xdr:colOff>
      <xdr:row>49</xdr:row>
      <xdr:rowOff>77065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8966" y="7828380"/>
          <a:ext cx="435335" cy="39420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4</xdr:row>
          <xdr:rowOff>190500</xdr:rowOff>
        </xdr:from>
        <xdr:to>
          <xdr:col>13</xdr:col>
          <xdr:colOff>561975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10</xdr:row>
          <xdr:rowOff>190500</xdr:rowOff>
        </xdr:from>
        <xdr:to>
          <xdr:col>13</xdr:col>
          <xdr:colOff>561975</xdr:colOff>
          <xdr:row>15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23</xdr:row>
          <xdr:rowOff>171450</xdr:rowOff>
        </xdr:from>
        <xdr:to>
          <xdr:col>13</xdr:col>
          <xdr:colOff>561975</xdr:colOff>
          <xdr:row>28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Results to Economic Model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40</xdr:row>
          <xdr:rowOff>38100</xdr:rowOff>
        </xdr:from>
        <xdr:to>
          <xdr:col>13</xdr:col>
          <xdr:colOff>561975</xdr:colOff>
          <xdr:row>44</xdr:row>
          <xdr:rowOff>95250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Type Curve Generator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31</xdr:row>
          <xdr:rowOff>171450</xdr:rowOff>
        </xdr:from>
        <xdr:to>
          <xdr:col>13</xdr:col>
          <xdr:colOff>561975</xdr:colOff>
          <xdr:row>35</xdr:row>
          <xdr:rowOff>219075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MY" sz="16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Results to Economic Basis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rgb="FF0070C0"/>
  </sheetPr>
  <dimension ref="A1:BY561"/>
  <sheetViews>
    <sheetView view="pageBreakPreview" topLeftCell="V4" zoomScale="93" zoomScaleNormal="80" zoomScaleSheetLayoutView="93" workbookViewId="0">
      <selection activeCell="AJ22" sqref="AJ22"/>
    </sheetView>
  </sheetViews>
  <sheetFormatPr defaultRowHeight="15" x14ac:dyDescent="0.25"/>
  <cols>
    <col min="1" max="1" width="3.140625" style="34" customWidth="1"/>
    <col min="2" max="2" width="9.28515625" style="24" customWidth="1"/>
    <col min="3" max="3" width="9.140625" style="3" customWidth="1"/>
    <col min="4" max="4" width="9.140625" style="3"/>
    <col min="5" max="5" width="20.28515625" style="3" customWidth="1"/>
    <col min="6" max="9" width="15.7109375" style="3" customWidth="1"/>
    <col min="10" max="10" width="9.140625" style="24"/>
    <col min="11" max="11" width="3.7109375" style="24" customWidth="1"/>
    <col min="12" max="14" width="10.7109375" style="24" customWidth="1"/>
    <col min="15" max="15" width="3.7109375" style="24" customWidth="1"/>
    <col min="16" max="25" width="9.140625" style="24"/>
    <col min="26" max="26" width="9.140625" style="24" customWidth="1"/>
    <col min="27" max="27" width="5.140625" style="24" customWidth="1"/>
    <col min="28" max="38" width="9.140625" style="24"/>
    <col min="39" max="39" width="3.28515625" style="34" customWidth="1"/>
    <col min="40" max="77" width="9.140625" style="24"/>
    <col min="78" max="16384" width="9.140625" style="3"/>
  </cols>
  <sheetData>
    <row r="1" spans="1:39" s="34" customFormat="1" x14ac:dyDescent="0.25"/>
    <row r="2" spans="1:39" s="24" customFormat="1" ht="15.75" thickBot="1" x14ac:dyDescent="0.3">
      <c r="A2" s="34"/>
      <c r="AM2" s="34"/>
    </row>
    <row r="3" spans="1:39" s="24" customFormat="1" ht="21" x14ac:dyDescent="0.25">
      <c r="A3" s="34"/>
      <c r="C3" s="59" t="s">
        <v>56</v>
      </c>
      <c r="D3" s="59"/>
      <c r="E3" s="59"/>
      <c r="F3" s="59"/>
      <c r="G3" s="59"/>
      <c r="H3" s="59"/>
      <c r="I3" s="59"/>
      <c r="K3" s="47"/>
      <c r="L3" s="61" t="s">
        <v>59</v>
      </c>
      <c r="M3" s="61"/>
      <c r="N3" s="61"/>
      <c r="O3" s="48"/>
      <c r="Q3" s="59" t="s">
        <v>60</v>
      </c>
      <c r="R3" s="59"/>
      <c r="S3" s="59"/>
      <c r="T3" s="59"/>
      <c r="U3" s="59"/>
      <c r="V3" s="59"/>
      <c r="W3" s="59"/>
      <c r="X3" s="59"/>
      <c r="Y3" s="59"/>
      <c r="Z3" s="59"/>
      <c r="AB3" s="59" t="s">
        <v>62</v>
      </c>
      <c r="AC3" s="59"/>
      <c r="AD3" s="59"/>
      <c r="AE3" s="59"/>
      <c r="AF3" s="59"/>
      <c r="AG3" s="59"/>
      <c r="AH3" s="59"/>
      <c r="AI3" s="59"/>
      <c r="AJ3" s="59"/>
      <c r="AK3" s="59"/>
      <c r="AM3" s="34"/>
    </row>
    <row r="4" spans="1:39" s="24" customFormat="1" x14ac:dyDescent="0.25">
      <c r="A4" s="34"/>
      <c r="K4" s="42"/>
      <c r="L4" s="25"/>
      <c r="M4" s="25"/>
      <c r="N4" s="25"/>
      <c r="O4" s="43"/>
      <c r="AM4" s="34"/>
    </row>
    <row r="5" spans="1:39" ht="21" x14ac:dyDescent="0.35">
      <c r="C5" s="39" t="s">
        <v>11</v>
      </c>
      <c r="D5" s="39"/>
      <c r="E5" s="27"/>
      <c r="F5" s="41" t="s">
        <v>10</v>
      </c>
      <c r="G5" s="36"/>
      <c r="H5" s="37"/>
      <c r="I5" s="38"/>
      <c r="K5" s="42"/>
      <c r="L5" s="25"/>
      <c r="M5" s="25"/>
      <c r="N5" s="25"/>
      <c r="O5" s="43"/>
    </row>
    <row r="6" spans="1:39" x14ac:dyDescent="0.25">
      <c r="C6" s="25"/>
      <c r="D6" s="25"/>
      <c r="E6" s="25"/>
      <c r="F6" s="25"/>
      <c r="G6" s="25"/>
      <c r="H6" s="25"/>
      <c r="I6" s="25"/>
      <c r="K6" s="42"/>
      <c r="L6" s="25"/>
      <c r="M6" s="25"/>
      <c r="N6" s="25"/>
      <c r="O6" s="43"/>
    </row>
    <row r="7" spans="1:39" ht="21" x14ac:dyDescent="0.35">
      <c r="C7" s="39" t="s">
        <v>12</v>
      </c>
      <c r="D7" s="39"/>
      <c r="E7" s="27"/>
      <c r="F7" s="40" t="s">
        <v>10</v>
      </c>
      <c r="G7" s="36"/>
      <c r="H7" s="37"/>
      <c r="I7" s="38"/>
      <c r="K7" s="42"/>
      <c r="L7" s="25"/>
      <c r="M7" s="25"/>
      <c r="N7" s="25"/>
      <c r="O7" s="43"/>
    </row>
    <row r="8" spans="1:39" s="24" customFormat="1" x14ac:dyDescent="0.25">
      <c r="A8" s="34"/>
      <c r="K8" s="42"/>
      <c r="L8" s="25"/>
      <c r="M8" s="25"/>
      <c r="N8" s="25"/>
      <c r="O8" s="43"/>
      <c r="AM8" s="34"/>
    </row>
    <row r="9" spans="1:39" s="24" customFormat="1" x14ac:dyDescent="0.25">
      <c r="A9" s="34"/>
      <c r="K9" s="42"/>
      <c r="L9" s="25"/>
      <c r="M9" s="25"/>
      <c r="N9" s="25"/>
      <c r="O9" s="43"/>
      <c r="AM9" s="34"/>
    </row>
    <row r="10" spans="1:39" s="24" customFormat="1" ht="21" x14ac:dyDescent="0.35">
      <c r="A10" s="34"/>
      <c r="C10" s="60" t="s">
        <v>57</v>
      </c>
      <c r="D10" s="60"/>
      <c r="E10" s="60"/>
      <c r="F10" s="60"/>
      <c r="G10" s="60"/>
      <c r="H10" s="60"/>
      <c r="I10" s="60"/>
      <c r="K10" s="42"/>
      <c r="L10" s="25"/>
      <c r="M10" s="25"/>
      <c r="N10" s="25"/>
      <c r="O10" s="43"/>
      <c r="AM10" s="34"/>
    </row>
    <row r="11" spans="1:39" s="24" customFormat="1" x14ac:dyDescent="0.25">
      <c r="A11" s="34"/>
      <c r="K11" s="42"/>
      <c r="L11" s="25"/>
      <c r="M11" s="25"/>
      <c r="N11" s="25"/>
      <c r="O11" s="43"/>
      <c r="AM11" s="34"/>
    </row>
    <row r="12" spans="1:39" x14ac:dyDescent="0.25">
      <c r="C12" s="66" t="s">
        <v>40</v>
      </c>
      <c r="D12" s="67"/>
      <c r="E12" s="67"/>
      <c r="F12" s="64" t="s">
        <v>27</v>
      </c>
      <c r="G12" s="65" t="s">
        <v>8</v>
      </c>
      <c r="H12" s="68" t="s">
        <v>7</v>
      </c>
      <c r="I12" s="69" t="s">
        <v>39</v>
      </c>
      <c r="K12" s="42"/>
      <c r="L12" s="25"/>
      <c r="M12" s="25"/>
      <c r="N12" s="25"/>
      <c r="O12" s="43"/>
    </row>
    <row r="13" spans="1:39" x14ac:dyDescent="0.25">
      <c r="C13" s="67"/>
      <c r="D13" s="67"/>
      <c r="E13" s="67"/>
      <c r="F13" s="64"/>
      <c r="G13" s="65"/>
      <c r="H13" s="68"/>
      <c r="I13" s="69"/>
      <c r="K13" s="42"/>
      <c r="L13" s="25"/>
      <c r="M13" s="25"/>
      <c r="N13" s="25"/>
      <c r="O13" s="43"/>
    </row>
    <row r="14" spans="1:39" ht="15" customHeight="1" x14ac:dyDescent="0.25">
      <c r="C14" s="62" t="s">
        <v>21</v>
      </c>
      <c r="D14" s="63"/>
      <c r="E14" s="63"/>
      <c r="F14" s="51">
        <v>1.70842</v>
      </c>
      <c r="G14" s="53">
        <v>95.122929999999997</v>
      </c>
      <c r="H14" s="57">
        <v>91.53013</v>
      </c>
      <c r="I14" s="55">
        <v>0</v>
      </c>
      <c r="K14" s="42"/>
      <c r="L14" s="25"/>
      <c r="M14" s="25"/>
      <c r="N14" s="25"/>
      <c r="O14" s="43"/>
    </row>
    <row r="15" spans="1:39" ht="15" customHeight="1" x14ac:dyDescent="0.25">
      <c r="C15" s="63"/>
      <c r="D15" s="63"/>
      <c r="E15" s="63"/>
      <c r="F15" s="52"/>
      <c r="G15" s="54"/>
      <c r="H15" s="58"/>
      <c r="I15" s="56"/>
      <c r="K15" s="42"/>
      <c r="L15" s="25"/>
      <c r="M15" s="25"/>
      <c r="N15" s="25"/>
      <c r="O15" s="43"/>
    </row>
    <row r="16" spans="1:39" ht="15" customHeight="1" x14ac:dyDescent="0.25">
      <c r="C16" s="62" t="s">
        <v>22</v>
      </c>
      <c r="D16" s="63"/>
      <c r="E16" s="63"/>
      <c r="F16" s="51">
        <v>2.96</v>
      </c>
      <c r="G16" s="53">
        <v>1.46346</v>
      </c>
      <c r="H16" s="57">
        <v>0.37633</v>
      </c>
      <c r="I16" s="55">
        <v>0</v>
      </c>
      <c r="K16" s="42"/>
      <c r="L16" s="25"/>
      <c r="M16" s="25"/>
      <c r="N16" s="25"/>
      <c r="O16" s="43"/>
    </row>
    <row r="17" spans="1:39" ht="15" customHeight="1" x14ac:dyDescent="0.25">
      <c r="C17" s="63"/>
      <c r="D17" s="63"/>
      <c r="E17" s="63"/>
      <c r="F17" s="52"/>
      <c r="G17" s="54"/>
      <c r="H17" s="58"/>
      <c r="I17" s="56"/>
      <c r="K17" s="42"/>
      <c r="L17" s="25"/>
      <c r="M17" s="25"/>
      <c r="N17" s="25"/>
      <c r="O17" s="43"/>
    </row>
    <row r="18" spans="1:39" ht="15" customHeight="1" x14ac:dyDescent="0.25">
      <c r="C18" s="62" t="s">
        <v>23</v>
      </c>
      <c r="D18" s="63"/>
      <c r="E18" s="63"/>
      <c r="F18" s="51">
        <v>1.22</v>
      </c>
      <c r="G18" s="53">
        <v>4.4600000000000004E-3</v>
      </c>
      <c r="H18" s="57">
        <v>6.0519999999999997E-2</v>
      </c>
      <c r="I18" s="55">
        <v>0</v>
      </c>
      <c r="K18" s="42"/>
      <c r="L18" s="25"/>
      <c r="M18" s="25"/>
      <c r="N18" s="25"/>
      <c r="O18" s="43"/>
    </row>
    <row r="19" spans="1:39" ht="15" customHeight="1" x14ac:dyDescent="0.25">
      <c r="C19" s="63"/>
      <c r="D19" s="63"/>
      <c r="E19" s="63"/>
      <c r="F19" s="52"/>
      <c r="G19" s="54"/>
      <c r="H19" s="58"/>
      <c r="I19" s="56"/>
      <c r="K19" s="42"/>
      <c r="L19" s="25"/>
      <c r="M19" s="25"/>
      <c r="N19" s="25"/>
      <c r="O19" s="43"/>
    </row>
    <row r="20" spans="1:39" ht="15" customHeight="1" thickBot="1" x14ac:dyDescent="0.3">
      <c r="C20" s="62" t="s">
        <v>37</v>
      </c>
      <c r="D20" s="63"/>
      <c r="E20" s="63"/>
      <c r="F20" s="51">
        <v>60.068539999999999</v>
      </c>
      <c r="G20" s="53">
        <v>100</v>
      </c>
      <c r="H20" s="57">
        <v>100</v>
      </c>
      <c r="I20" s="55">
        <v>100</v>
      </c>
      <c r="K20" s="42"/>
      <c r="L20" s="25"/>
      <c r="M20" s="25"/>
      <c r="N20" s="25"/>
      <c r="O20" s="43"/>
    </row>
    <row r="21" spans="1:39" ht="21" x14ac:dyDescent="0.25">
      <c r="C21" s="63"/>
      <c r="D21" s="63"/>
      <c r="E21" s="63"/>
      <c r="F21" s="52"/>
      <c r="G21" s="54"/>
      <c r="H21" s="58"/>
      <c r="I21" s="56"/>
      <c r="K21" s="47"/>
      <c r="L21" s="61" t="s">
        <v>64</v>
      </c>
      <c r="M21" s="61"/>
      <c r="N21" s="61"/>
      <c r="O21" s="48"/>
    </row>
    <row r="22" spans="1:39" ht="15" customHeight="1" x14ac:dyDescent="0.25">
      <c r="C22" s="62" t="s">
        <v>24</v>
      </c>
      <c r="D22" s="63"/>
      <c r="E22" s="63"/>
      <c r="F22" s="51">
        <v>23.68</v>
      </c>
      <c r="G22" s="53">
        <v>2.2373699999999999</v>
      </c>
      <c r="H22" s="57">
        <v>95.761589999999998</v>
      </c>
      <c r="I22" s="55">
        <v>1</v>
      </c>
      <c r="K22" s="42"/>
      <c r="L22" s="25"/>
      <c r="M22" s="25"/>
      <c r="N22" s="25"/>
      <c r="O22" s="43"/>
    </row>
    <row r="23" spans="1:39" ht="15" customHeight="1" x14ac:dyDescent="0.25">
      <c r="C23" s="63"/>
      <c r="D23" s="63"/>
      <c r="E23" s="63"/>
      <c r="F23" s="52"/>
      <c r="G23" s="54"/>
      <c r="H23" s="58"/>
      <c r="I23" s="56"/>
      <c r="K23" s="42"/>
      <c r="L23" s="25"/>
      <c r="M23" s="25"/>
      <c r="N23" s="25"/>
      <c r="O23" s="43"/>
    </row>
    <row r="24" spans="1:39" ht="15" customHeight="1" x14ac:dyDescent="0.25">
      <c r="C24" s="62" t="s">
        <v>25</v>
      </c>
      <c r="D24" s="63"/>
      <c r="E24" s="63"/>
      <c r="F24" s="51">
        <v>2134.1722100000002</v>
      </c>
      <c r="G24" s="53">
        <v>1</v>
      </c>
      <c r="H24" s="57">
        <v>0</v>
      </c>
      <c r="I24" s="55">
        <v>1</v>
      </c>
      <c r="K24" s="42"/>
      <c r="L24" s="25"/>
      <c r="M24" s="25"/>
      <c r="N24" s="25"/>
      <c r="O24" s="43"/>
    </row>
    <row r="25" spans="1:39" ht="21" x14ac:dyDescent="0.35">
      <c r="C25" s="63"/>
      <c r="D25" s="63"/>
      <c r="E25" s="63"/>
      <c r="F25" s="52"/>
      <c r="G25" s="54"/>
      <c r="H25" s="58"/>
      <c r="I25" s="56"/>
      <c r="K25" s="42"/>
      <c r="L25" s="25"/>
      <c r="M25" s="25"/>
      <c r="N25" s="25"/>
      <c r="O25" s="43"/>
      <c r="Q25" s="60" t="s">
        <v>61</v>
      </c>
      <c r="R25" s="60"/>
      <c r="S25" s="60"/>
      <c r="T25" s="60"/>
      <c r="U25" s="60"/>
      <c r="V25" s="60"/>
      <c r="W25" s="60"/>
      <c r="X25" s="60"/>
      <c r="Y25" s="60"/>
      <c r="Z25" s="60"/>
      <c r="AB25" s="60" t="s">
        <v>63</v>
      </c>
      <c r="AC25" s="60"/>
      <c r="AD25" s="60"/>
      <c r="AE25" s="60"/>
      <c r="AF25" s="60"/>
      <c r="AG25" s="60"/>
      <c r="AH25" s="60"/>
      <c r="AI25" s="60"/>
      <c r="AJ25" s="60"/>
      <c r="AK25" s="60"/>
    </row>
    <row r="26" spans="1:39" ht="16.5" customHeight="1" x14ac:dyDescent="0.25">
      <c r="C26" s="62" t="s">
        <v>26</v>
      </c>
      <c r="D26" s="63"/>
      <c r="E26" s="63"/>
      <c r="F26" s="51">
        <v>-7.3669999999999999E-2</v>
      </c>
      <c r="G26" s="53">
        <v>-0.01</v>
      </c>
      <c r="H26" s="57">
        <v>0</v>
      </c>
      <c r="I26" s="55">
        <v>-0.01</v>
      </c>
      <c r="K26" s="42"/>
      <c r="L26" s="25"/>
      <c r="M26" s="25"/>
      <c r="N26" s="25"/>
      <c r="O26" s="43"/>
    </row>
    <row r="27" spans="1:39" ht="16.5" customHeight="1" x14ac:dyDescent="0.25">
      <c r="C27" s="63"/>
      <c r="D27" s="63"/>
      <c r="E27" s="63"/>
      <c r="F27" s="52"/>
      <c r="G27" s="54"/>
      <c r="H27" s="58"/>
      <c r="I27" s="56"/>
      <c r="K27" s="42"/>
      <c r="L27" s="25"/>
      <c r="M27" s="25"/>
      <c r="N27" s="25"/>
      <c r="O27" s="43"/>
    </row>
    <row r="28" spans="1:39" s="24" customFormat="1" x14ac:dyDescent="0.25">
      <c r="A28" s="34"/>
      <c r="K28" s="42"/>
      <c r="L28" s="25"/>
      <c r="M28" s="25"/>
      <c r="N28" s="25"/>
      <c r="O28" s="43"/>
      <c r="AM28" s="34"/>
    </row>
    <row r="29" spans="1:39" s="24" customFormat="1" x14ac:dyDescent="0.25">
      <c r="A29" s="34"/>
      <c r="K29" s="42"/>
      <c r="L29" s="25"/>
      <c r="M29" s="25"/>
      <c r="N29" s="25"/>
      <c r="O29" s="43"/>
      <c r="AM29" s="34"/>
    </row>
    <row r="30" spans="1:39" s="24" customFormat="1" ht="21" x14ac:dyDescent="0.25">
      <c r="A30" s="34"/>
      <c r="C30" s="59" t="s">
        <v>58</v>
      </c>
      <c r="D30" s="59"/>
      <c r="E30" s="59"/>
      <c r="F30" s="59"/>
      <c r="G30" s="59"/>
      <c r="H30" s="59"/>
      <c r="I30" s="59"/>
      <c r="K30" s="42"/>
      <c r="L30" s="25"/>
      <c r="M30" s="25"/>
      <c r="N30" s="25"/>
      <c r="O30" s="43"/>
      <c r="AM30" s="34"/>
    </row>
    <row r="31" spans="1:39" s="24" customFormat="1" ht="15.75" thickBot="1" x14ac:dyDescent="0.3">
      <c r="A31" s="34"/>
      <c r="K31" s="42"/>
      <c r="L31" s="25"/>
      <c r="M31" s="25"/>
      <c r="N31" s="25"/>
      <c r="O31" s="43"/>
      <c r="AM31" s="34"/>
    </row>
    <row r="32" spans="1:39" ht="21" customHeight="1" x14ac:dyDescent="0.35">
      <c r="C32" s="14" t="s">
        <v>50</v>
      </c>
      <c r="D32" s="15"/>
      <c r="E32" s="16"/>
      <c r="F32" s="22"/>
      <c r="G32" s="26" t="s">
        <v>10</v>
      </c>
      <c r="H32" s="72">
        <v>10</v>
      </c>
      <c r="I32" s="73"/>
      <c r="K32" s="42"/>
      <c r="L32" s="25"/>
      <c r="M32" s="25"/>
      <c r="N32" s="25"/>
      <c r="O32" s="43"/>
    </row>
    <row r="33" spans="1:77" ht="12.75" customHeight="1" x14ac:dyDescent="0.35">
      <c r="C33" s="17"/>
      <c r="D33" s="11"/>
      <c r="E33" s="11"/>
      <c r="F33" s="18"/>
      <c r="G33" s="24"/>
      <c r="H33" s="28"/>
      <c r="I33" s="29"/>
      <c r="K33" s="42"/>
      <c r="L33" s="25"/>
      <c r="M33" s="25"/>
      <c r="N33" s="25"/>
      <c r="O33" s="43"/>
    </row>
    <row r="34" spans="1:77" ht="21" x14ac:dyDescent="0.35">
      <c r="C34" s="21" t="s">
        <v>35</v>
      </c>
      <c r="D34" s="12"/>
      <c r="E34" s="13"/>
      <c r="F34" s="18"/>
      <c r="G34" s="26" t="s">
        <v>10</v>
      </c>
      <c r="H34" s="74">
        <v>3000</v>
      </c>
      <c r="I34" s="71"/>
      <c r="K34" s="42"/>
      <c r="L34" s="25"/>
      <c r="M34" s="25"/>
      <c r="N34" s="25"/>
      <c r="O34" s="43"/>
    </row>
    <row r="35" spans="1:77" ht="12.75" customHeight="1" x14ac:dyDescent="0.25">
      <c r="C35" s="17"/>
      <c r="D35" s="11"/>
      <c r="E35" s="11"/>
      <c r="F35" s="18"/>
      <c r="G35" s="24"/>
      <c r="H35" s="29"/>
      <c r="I35" s="29"/>
      <c r="K35" s="42"/>
      <c r="L35" s="25"/>
      <c r="M35" s="25"/>
      <c r="N35" s="25"/>
      <c r="O35" s="43"/>
    </row>
    <row r="36" spans="1:77" ht="21" x14ac:dyDescent="0.35">
      <c r="C36" s="21" t="s">
        <v>36</v>
      </c>
      <c r="D36" s="12"/>
      <c r="E36" s="13"/>
      <c r="F36" s="18"/>
      <c r="G36" s="26" t="s">
        <v>10</v>
      </c>
      <c r="H36" s="74">
        <v>500</v>
      </c>
      <c r="I36" s="71"/>
      <c r="K36" s="42"/>
      <c r="L36" s="25"/>
      <c r="M36" s="25"/>
      <c r="N36" s="25"/>
      <c r="O36" s="43"/>
    </row>
    <row r="37" spans="1:77" s="11" customFormat="1" ht="12.75" customHeight="1" x14ac:dyDescent="0.35">
      <c r="A37" s="32"/>
      <c r="B37" s="25"/>
      <c r="C37" s="21"/>
      <c r="D37" s="12"/>
      <c r="E37" s="13"/>
      <c r="F37" s="18"/>
      <c r="G37" s="27"/>
      <c r="H37" s="49"/>
      <c r="I37" s="50"/>
      <c r="J37" s="25"/>
      <c r="K37" s="42"/>
      <c r="L37" s="25"/>
      <c r="M37" s="25"/>
      <c r="N37" s="25"/>
      <c r="O37" s="43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32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</row>
    <row r="38" spans="1:77" ht="21" x14ac:dyDescent="0.35">
      <c r="C38" s="21" t="s">
        <v>41</v>
      </c>
      <c r="D38" s="11"/>
      <c r="E38" s="11"/>
      <c r="F38" s="18"/>
      <c r="G38" s="26" t="s">
        <v>10</v>
      </c>
      <c r="H38" s="70">
        <v>369.39341382212456</v>
      </c>
      <c r="I38" s="71"/>
      <c r="K38" s="42"/>
      <c r="L38" s="25"/>
      <c r="M38" s="25"/>
      <c r="N38" s="25"/>
      <c r="O38" s="43"/>
    </row>
    <row r="39" spans="1:77" s="11" customFormat="1" ht="12.75" customHeight="1" x14ac:dyDescent="0.35">
      <c r="A39" s="32"/>
      <c r="B39" s="25"/>
      <c r="C39" s="21"/>
      <c r="F39" s="18"/>
      <c r="G39" s="27"/>
      <c r="H39" s="31"/>
      <c r="I39" s="30"/>
      <c r="J39" s="25"/>
      <c r="K39" s="42"/>
      <c r="L39" s="25"/>
      <c r="M39" s="25"/>
      <c r="N39" s="25"/>
      <c r="O39" s="43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32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</row>
    <row r="40" spans="1:77" ht="21" x14ac:dyDescent="0.35">
      <c r="C40" s="21" t="s">
        <v>43</v>
      </c>
      <c r="D40" s="11"/>
      <c r="E40" s="11"/>
      <c r="F40" s="18"/>
      <c r="G40" s="26" t="s">
        <v>10</v>
      </c>
      <c r="H40" s="72"/>
      <c r="I40" s="73"/>
      <c r="K40" s="42"/>
      <c r="L40" s="25"/>
      <c r="M40" s="25"/>
      <c r="N40" s="25"/>
      <c r="O40" s="43"/>
    </row>
    <row r="41" spans="1:77" s="11" customFormat="1" ht="12.75" customHeight="1" x14ac:dyDescent="0.35">
      <c r="A41" s="32"/>
      <c r="B41" s="25"/>
      <c r="C41" s="21"/>
      <c r="F41" s="18"/>
      <c r="G41" s="27"/>
      <c r="H41" s="31"/>
      <c r="I41" s="30"/>
      <c r="J41" s="25"/>
      <c r="K41" s="42"/>
      <c r="L41" s="25"/>
      <c r="M41" s="25"/>
      <c r="N41" s="25"/>
      <c r="O41" s="43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32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</row>
    <row r="42" spans="1:77" ht="21" x14ac:dyDescent="0.35">
      <c r="C42" s="21" t="s">
        <v>46</v>
      </c>
      <c r="D42" s="11"/>
      <c r="E42" s="11"/>
      <c r="F42" s="18"/>
      <c r="G42" s="26" t="s">
        <v>10</v>
      </c>
      <c r="H42" s="70"/>
      <c r="I42" s="71"/>
      <c r="K42" s="42"/>
      <c r="L42" s="25"/>
      <c r="M42" s="25"/>
      <c r="N42" s="25"/>
      <c r="O42" s="43"/>
    </row>
    <row r="43" spans="1:77" s="11" customFormat="1" ht="12.75" customHeight="1" x14ac:dyDescent="0.35">
      <c r="A43" s="32"/>
      <c r="B43" s="25"/>
      <c r="C43" s="21"/>
      <c r="F43" s="18"/>
      <c r="G43" s="27"/>
      <c r="H43" s="31"/>
      <c r="I43" s="30"/>
      <c r="J43" s="25"/>
      <c r="K43" s="42"/>
      <c r="L43" s="25"/>
      <c r="M43" s="25"/>
      <c r="N43" s="25"/>
      <c r="O43" s="43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32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</row>
    <row r="44" spans="1:77" ht="21" x14ac:dyDescent="0.35">
      <c r="C44" s="21" t="s">
        <v>47</v>
      </c>
      <c r="D44" s="11"/>
      <c r="E44" s="11"/>
      <c r="F44" s="18"/>
      <c r="G44" s="26" t="s">
        <v>10</v>
      </c>
      <c r="H44" s="70"/>
      <c r="I44" s="71"/>
      <c r="K44" s="42"/>
      <c r="L44" s="25"/>
      <c r="M44" s="25"/>
      <c r="N44" s="25"/>
      <c r="O44" s="43"/>
    </row>
    <row r="45" spans="1:77" s="11" customFormat="1" ht="12.75" customHeight="1" x14ac:dyDescent="0.35">
      <c r="A45" s="32"/>
      <c r="B45" s="25"/>
      <c r="C45" s="21"/>
      <c r="F45" s="18"/>
      <c r="G45" s="27"/>
      <c r="H45" s="31"/>
      <c r="I45" s="30"/>
      <c r="J45" s="25"/>
      <c r="K45" s="42"/>
      <c r="L45" s="25"/>
      <c r="M45" s="25"/>
      <c r="N45" s="25"/>
      <c r="O45" s="43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32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</row>
    <row r="46" spans="1:77" ht="21.75" thickBot="1" x14ac:dyDescent="0.4">
      <c r="C46" s="19" t="s">
        <v>48</v>
      </c>
      <c r="D46" s="20"/>
      <c r="E46" s="20"/>
      <c r="F46" s="23"/>
      <c r="G46" s="26" t="s">
        <v>10</v>
      </c>
      <c r="H46" s="70"/>
      <c r="I46" s="71"/>
      <c r="K46" s="42"/>
      <c r="L46" s="25"/>
      <c r="M46" s="25"/>
      <c r="N46" s="25"/>
      <c r="O46" s="43"/>
    </row>
    <row r="47" spans="1:77" s="24" customFormat="1" ht="15.75" thickBot="1" x14ac:dyDescent="0.3">
      <c r="A47" s="34"/>
      <c r="K47" s="44"/>
      <c r="L47" s="45"/>
      <c r="M47" s="45"/>
      <c r="N47" s="45"/>
      <c r="O47" s="46"/>
      <c r="AM47" s="34"/>
    </row>
    <row r="48" spans="1:77" s="24" customFormat="1" x14ac:dyDescent="0.25">
      <c r="A48" s="34"/>
      <c r="D48" s="33" t="s">
        <v>54</v>
      </c>
      <c r="AM48" s="34"/>
    </row>
    <row r="49" spans="1:39" s="24" customFormat="1" x14ac:dyDescent="0.25">
      <c r="A49" s="34"/>
      <c r="D49" s="33" t="s">
        <v>55</v>
      </c>
      <c r="AM49" s="34"/>
    </row>
    <row r="50" spans="1:39" s="24" customFormat="1" x14ac:dyDescent="0.25">
      <c r="A50" s="34"/>
      <c r="AM50" s="34"/>
    </row>
    <row r="51" spans="1:39" s="34" customFormat="1" x14ac:dyDescent="0.25"/>
    <row r="52" spans="1:39" s="24" customFormat="1" x14ac:dyDescent="0.25">
      <c r="A52" s="34"/>
      <c r="AM52" s="34"/>
    </row>
    <row r="53" spans="1:39" x14ac:dyDescent="0.25">
      <c r="C53" s="24"/>
      <c r="D53" s="24"/>
      <c r="E53" s="24"/>
      <c r="F53" s="24"/>
      <c r="G53" s="24"/>
      <c r="H53" s="24"/>
      <c r="I53" s="24"/>
    </row>
    <row r="54" spans="1:39" s="24" customFormat="1" x14ac:dyDescent="0.25">
      <c r="A54" s="34"/>
    </row>
    <row r="55" spans="1:39" s="24" customFormat="1" x14ac:dyDescent="0.25">
      <c r="A55" s="34"/>
      <c r="AM55" s="34"/>
    </row>
    <row r="56" spans="1:39" s="24" customFormat="1" x14ac:dyDescent="0.25">
      <c r="A56" s="34"/>
      <c r="AM56" s="34"/>
    </row>
    <row r="57" spans="1:39" s="24" customFormat="1" x14ac:dyDescent="0.25">
      <c r="A57" s="34"/>
      <c r="AM57" s="34"/>
    </row>
    <row r="58" spans="1:39" s="24" customFormat="1" x14ac:dyDescent="0.25">
      <c r="A58" s="34"/>
      <c r="AM58" s="34"/>
    </row>
    <row r="59" spans="1:39" s="24" customFormat="1" x14ac:dyDescent="0.25">
      <c r="A59" s="34"/>
      <c r="AM59" s="34"/>
    </row>
    <row r="60" spans="1:39" s="24" customFormat="1" x14ac:dyDescent="0.25">
      <c r="A60" s="34"/>
      <c r="AM60" s="34"/>
    </row>
    <row r="61" spans="1:39" s="24" customFormat="1" x14ac:dyDescent="0.25">
      <c r="A61" s="34"/>
      <c r="AM61" s="34"/>
    </row>
    <row r="62" spans="1:39" s="24" customFormat="1" x14ac:dyDescent="0.25">
      <c r="A62" s="34"/>
      <c r="AM62" s="34"/>
    </row>
    <row r="63" spans="1:39" s="24" customFormat="1" x14ac:dyDescent="0.25">
      <c r="A63" s="34"/>
      <c r="AM63" s="34"/>
    </row>
    <row r="64" spans="1:39" s="24" customFormat="1" x14ac:dyDescent="0.25">
      <c r="A64" s="34"/>
      <c r="AM64" s="34"/>
    </row>
    <row r="65" spans="1:39" s="24" customFormat="1" x14ac:dyDescent="0.25">
      <c r="A65" s="34"/>
      <c r="AM65" s="34"/>
    </row>
    <row r="66" spans="1:39" s="24" customFormat="1" x14ac:dyDescent="0.25">
      <c r="A66" s="34"/>
      <c r="AM66" s="34"/>
    </row>
    <row r="67" spans="1:39" s="24" customFormat="1" x14ac:dyDescent="0.25">
      <c r="A67" s="34"/>
      <c r="AM67" s="34"/>
    </row>
    <row r="68" spans="1:39" s="24" customFormat="1" x14ac:dyDescent="0.25">
      <c r="A68" s="34"/>
      <c r="AM68" s="34"/>
    </row>
    <row r="69" spans="1:39" s="24" customFormat="1" x14ac:dyDescent="0.25">
      <c r="A69" s="34"/>
      <c r="AM69" s="34"/>
    </row>
    <row r="70" spans="1:39" s="24" customFormat="1" x14ac:dyDescent="0.25">
      <c r="A70" s="34"/>
      <c r="AM70" s="34"/>
    </row>
    <row r="71" spans="1:39" s="24" customFormat="1" x14ac:dyDescent="0.25">
      <c r="A71" s="34"/>
      <c r="AM71" s="34"/>
    </row>
    <row r="72" spans="1:39" s="24" customFormat="1" x14ac:dyDescent="0.25">
      <c r="A72" s="34"/>
      <c r="AM72" s="34"/>
    </row>
    <row r="73" spans="1:39" s="24" customFormat="1" x14ac:dyDescent="0.25">
      <c r="A73" s="34"/>
      <c r="AM73" s="34"/>
    </row>
    <row r="74" spans="1:39" s="24" customFormat="1" x14ac:dyDescent="0.25">
      <c r="A74" s="34"/>
      <c r="AM74" s="34"/>
    </row>
    <row r="75" spans="1:39" s="24" customFormat="1" x14ac:dyDescent="0.25">
      <c r="A75" s="34"/>
      <c r="AM75" s="34"/>
    </row>
    <row r="76" spans="1:39" s="24" customFormat="1" x14ac:dyDescent="0.25">
      <c r="A76" s="34"/>
      <c r="AM76" s="34"/>
    </row>
    <row r="77" spans="1:39" s="24" customFormat="1" x14ac:dyDescent="0.25">
      <c r="A77" s="34"/>
      <c r="AM77" s="34"/>
    </row>
    <row r="78" spans="1:39" s="24" customFormat="1" x14ac:dyDescent="0.25">
      <c r="A78" s="34"/>
      <c r="AM78" s="34"/>
    </row>
    <row r="79" spans="1:39" s="24" customFormat="1" x14ac:dyDescent="0.25">
      <c r="A79" s="34"/>
      <c r="AM79" s="34"/>
    </row>
    <row r="80" spans="1:39" s="24" customFormat="1" x14ac:dyDescent="0.25">
      <c r="A80" s="34"/>
      <c r="AM80" s="34"/>
    </row>
    <row r="81" spans="1:39" s="24" customFormat="1" x14ac:dyDescent="0.25">
      <c r="A81" s="34"/>
      <c r="AM81" s="34"/>
    </row>
    <row r="82" spans="1:39" s="24" customFormat="1" x14ac:dyDescent="0.25">
      <c r="A82" s="34"/>
      <c r="AM82" s="34"/>
    </row>
    <row r="83" spans="1:39" s="24" customFormat="1" x14ac:dyDescent="0.25">
      <c r="A83" s="34"/>
      <c r="AM83" s="34"/>
    </row>
    <row r="84" spans="1:39" s="24" customFormat="1" x14ac:dyDescent="0.25">
      <c r="A84" s="34"/>
      <c r="AM84" s="34"/>
    </row>
    <row r="85" spans="1:39" s="24" customFormat="1" x14ac:dyDescent="0.25">
      <c r="A85" s="34"/>
      <c r="AM85" s="34"/>
    </row>
    <row r="86" spans="1:39" s="24" customFormat="1" x14ac:dyDescent="0.25">
      <c r="A86" s="34"/>
      <c r="AM86" s="34"/>
    </row>
    <row r="87" spans="1:39" s="24" customFormat="1" x14ac:dyDescent="0.25">
      <c r="A87" s="34"/>
      <c r="AM87" s="34"/>
    </row>
    <row r="88" spans="1:39" s="24" customFormat="1" x14ac:dyDescent="0.25">
      <c r="A88" s="34"/>
      <c r="AM88" s="34"/>
    </row>
    <row r="89" spans="1:39" s="24" customFormat="1" x14ac:dyDescent="0.25">
      <c r="A89" s="34"/>
      <c r="AM89" s="34"/>
    </row>
    <row r="90" spans="1:39" s="24" customFormat="1" x14ac:dyDescent="0.25">
      <c r="A90" s="34"/>
      <c r="AM90" s="34"/>
    </row>
    <row r="91" spans="1:39" s="24" customFormat="1" x14ac:dyDescent="0.25">
      <c r="A91" s="34"/>
      <c r="AM91" s="34"/>
    </row>
    <row r="92" spans="1:39" s="24" customFormat="1" x14ac:dyDescent="0.25">
      <c r="A92" s="34"/>
      <c r="AM92" s="34"/>
    </row>
    <row r="93" spans="1:39" s="24" customFormat="1" x14ac:dyDescent="0.25">
      <c r="A93" s="34"/>
      <c r="AM93" s="34"/>
    </row>
    <row r="94" spans="1:39" s="24" customFormat="1" x14ac:dyDescent="0.25">
      <c r="A94" s="34"/>
      <c r="AM94" s="34"/>
    </row>
    <row r="95" spans="1:39" s="24" customFormat="1" x14ac:dyDescent="0.25">
      <c r="A95" s="34"/>
      <c r="AM95" s="34"/>
    </row>
    <row r="96" spans="1:39" s="24" customFormat="1" x14ac:dyDescent="0.25">
      <c r="A96" s="34"/>
      <c r="AM96" s="34"/>
    </row>
    <row r="97" spans="1:39" s="24" customFormat="1" x14ac:dyDescent="0.25">
      <c r="A97" s="34"/>
      <c r="AM97" s="34"/>
    </row>
    <row r="98" spans="1:39" s="24" customFormat="1" x14ac:dyDescent="0.25">
      <c r="A98" s="34"/>
      <c r="AM98" s="34"/>
    </row>
    <row r="99" spans="1:39" s="24" customFormat="1" x14ac:dyDescent="0.25">
      <c r="A99" s="34"/>
      <c r="AM99" s="34"/>
    </row>
    <row r="100" spans="1:39" s="24" customFormat="1" x14ac:dyDescent="0.25">
      <c r="A100" s="34"/>
      <c r="AM100" s="34"/>
    </row>
    <row r="101" spans="1:39" s="24" customFormat="1" x14ac:dyDescent="0.25">
      <c r="A101" s="34"/>
      <c r="AM101" s="34"/>
    </row>
    <row r="102" spans="1:39" s="24" customFormat="1" x14ac:dyDescent="0.25">
      <c r="A102" s="34"/>
      <c r="AM102" s="34"/>
    </row>
    <row r="103" spans="1:39" s="24" customFormat="1" x14ac:dyDescent="0.25">
      <c r="A103" s="34"/>
      <c r="AM103" s="34"/>
    </row>
    <row r="104" spans="1:39" s="24" customFormat="1" x14ac:dyDescent="0.25">
      <c r="A104" s="34"/>
      <c r="AM104" s="34"/>
    </row>
    <row r="105" spans="1:39" s="24" customFormat="1" x14ac:dyDescent="0.25">
      <c r="A105" s="34"/>
      <c r="AM105" s="34"/>
    </row>
    <row r="106" spans="1:39" s="24" customFormat="1" x14ac:dyDescent="0.25">
      <c r="A106" s="34"/>
      <c r="AM106" s="34"/>
    </row>
    <row r="107" spans="1:39" s="24" customFormat="1" x14ac:dyDescent="0.25">
      <c r="A107" s="34"/>
      <c r="AM107" s="34"/>
    </row>
    <row r="108" spans="1:39" s="24" customFormat="1" x14ac:dyDescent="0.25">
      <c r="A108" s="34"/>
      <c r="AM108" s="34"/>
    </row>
    <row r="109" spans="1:39" s="24" customFormat="1" x14ac:dyDescent="0.25">
      <c r="A109" s="34"/>
      <c r="AM109" s="34"/>
    </row>
    <row r="110" spans="1:39" s="24" customFormat="1" x14ac:dyDescent="0.25">
      <c r="A110" s="34"/>
      <c r="AM110" s="34"/>
    </row>
    <row r="111" spans="1:39" s="24" customFormat="1" x14ac:dyDescent="0.25">
      <c r="A111" s="34"/>
      <c r="AM111" s="34"/>
    </row>
    <row r="112" spans="1:39" s="24" customFormat="1" x14ac:dyDescent="0.25">
      <c r="A112" s="34"/>
      <c r="AM112" s="34"/>
    </row>
    <row r="113" spans="1:39" s="24" customFormat="1" x14ac:dyDescent="0.25">
      <c r="A113" s="34"/>
      <c r="AM113" s="34"/>
    </row>
    <row r="114" spans="1:39" s="24" customFormat="1" x14ac:dyDescent="0.25">
      <c r="A114" s="34"/>
      <c r="AM114" s="34"/>
    </row>
    <row r="115" spans="1:39" s="24" customFormat="1" x14ac:dyDescent="0.25">
      <c r="A115" s="34"/>
      <c r="AM115" s="34"/>
    </row>
    <row r="116" spans="1:39" s="24" customFormat="1" x14ac:dyDescent="0.25">
      <c r="A116" s="34"/>
      <c r="AM116" s="34"/>
    </row>
    <row r="117" spans="1:39" s="24" customFormat="1" x14ac:dyDescent="0.25">
      <c r="A117" s="34"/>
      <c r="AM117" s="34"/>
    </row>
    <row r="118" spans="1:39" s="24" customFormat="1" x14ac:dyDescent="0.25">
      <c r="A118" s="34"/>
      <c r="AM118" s="34"/>
    </row>
    <row r="119" spans="1:39" s="24" customFormat="1" x14ac:dyDescent="0.25">
      <c r="A119" s="34"/>
      <c r="AM119" s="34"/>
    </row>
    <row r="120" spans="1:39" s="24" customFormat="1" x14ac:dyDescent="0.25">
      <c r="A120" s="34"/>
      <c r="AM120" s="34"/>
    </row>
    <row r="121" spans="1:39" s="24" customFormat="1" x14ac:dyDescent="0.25">
      <c r="A121" s="34"/>
      <c r="AM121" s="34"/>
    </row>
    <row r="122" spans="1:39" s="24" customFormat="1" x14ac:dyDescent="0.25">
      <c r="A122" s="34"/>
      <c r="AM122" s="34"/>
    </row>
    <row r="123" spans="1:39" s="24" customFormat="1" x14ac:dyDescent="0.25">
      <c r="A123" s="34"/>
      <c r="AM123" s="34"/>
    </row>
    <row r="124" spans="1:39" s="24" customFormat="1" x14ac:dyDescent="0.25">
      <c r="A124" s="34"/>
      <c r="AM124" s="34"/>
    </row>
    <row r="125" spans="1:39" s="24" customFormat="1" x14ac:dyDescent="0.25">
      <c r="A125" s="34"/>
      <c r="AM125" s="34"/>
    </row>
    <row r="126" spans="1:39" s="24" customFormat="1" x14ac:dyDescent="0.25">
      <c r="A126" s="34"/>
      <c r="AM126" s="34"/>
    </row>
    <row r="127" spans="1:39" s="24" customFormat="1" x14ac:dyDescent="0.25">
      <c r="A127" s="34"/>
      <c r="AM127" s="34"/>
    </row>
    <row r="128" spans="1:39" s="24" customFormat="1" x14ac:dyDescent="0.25">
      <c r="A128" s="34"/>
      <c r="AM128" s="34"/>
    </row>
    <row r="129" spans="1:39" s="24" customFormat="1" x14ac:dyDescent="0.25">
      <c r="A129" s="34"/>
      <c r="AM129" s="34"/>
    </row>
    <row r="130" spans="1:39" s="24" customFormat="1" x14ac:dyDescent="0.25">
      <c r="A130" s="34"/>
      <c r="AM130" s="34"/>
    </row>
    <row r="131" spans="1:39" s="24" customFormat="1" x14ac:dyDescent="0.25">
      <c r="A131" s="34"/>
      <c r="AM131" s="34"/>
    </row>
    <row r="132" spans="1:39" s="24" customFormat="1" x14ac:dyDescent="0.25">
      <c r="A132" s="34"/>
      <c r="AM132" s="34"/>
    </row>
    <row r="133" spans="1:39" s="24" customFormat="1" x14ac:dyDescent="0.25">
      <c r="A133" s="34"/>
      <c r="AM133" s="34"/>
    </row>
    <row r="134" spans="1:39" s="24" customFormat="1" x14ac:dyDescent="0.25">
      <c r="A134" s="34"/>
      <c r="AM134" s="34"/>
    </row>
    <row r="135" spans="1:39" s="24" customFormat="1" x14ac:dyDescent="0.25">
      <c r="A135" s="34"/>
      <c r="AM135" s="34"/>
    </row>
    <row r="136" spans="1:39" s="24" customFormat="1" x14ac:dyDescent="0.25">
      <c r="A136" s="34"/>
      <c r="AM136" s="34"/>
    </row>
    <row r="137" spans="1:39" s="24" customFormat="1" x14ac:dyDescent="0.25">
      <c r="A137" s="34"/>
      <c r="AM137" s="34"/>
    </row>
    <row r="138" spans="1:39" s="24" customFormat="1" x14ac:dyDescent="0.25">
      <c r="A138" s="34"/>
      <c r="AM138" s="34"/>
    </row>
    <row r="139" spans="1:39" s="24" customFormat="1" x14ac:dyDescent="0.25">
      <c r="A139" s="34"/>
      <c r="AM139" s="34"/>
    </row>
    <row r="140" spans="1:39" s="24" customFormat="1" x14ac:dyDescent="0.25">
      <c r="A140" s="34"/>
      <c r="AM140" s="34"/>
    </row>
    <row r="141" spans="1:39" s="24" customFormat="1" x14ac:dyDescent="0.25">
      <c r="A141" s="34"/>
      <c r="AM141" s="34"/>
    </row>
    <row r="142" spans="1:39" s="24" customFormat="1" x14ac:dyDescent="0.25">
      <c r="A142" s="34"/>
      <c r="AM142" s="34"/>
    </row>
    <row r="143" spans="1:39" s="24" customFormat="1" x14ac:dyDescent="0.25">
      <c r="A143" s="34"/>
      <c r="AM143" s="34"/>
    </row>
    <row r="144" spans="1:39" s="24" customFormat="1" x14ac:dyDescent="0.25">
      <c r="A144" s="34"/>
      <c r="AM144" s="34"/>
    </row>
    <row r="145" spans="1:39" s="24" customFormat="1" x14ac:dyDescent="0.25">
      <c r="A145" s="34"/>
      <c r="AM145" s="34"/>
    </row>
    <row r="146" spans="1:39" s="24" customFormat="1" x14ac:dyDescent="0.25">
      <c r="A146" s="34"/>
      <c r="AM146" s="34"/>
    </row>
    <row r="147" spans="1:39" s="24" customFormat="1" x14ac:dyDescent="0.25">
      <c r="A147" s="34"/>
      <c r="AM147" s="34"/>
    </row>
    <row r="148" spans="1:39" s="24" customFormat="1" x14ac:dyDescent="0.25">
      <c r="A148" s="34"/>
      <c r="AM148" s="34"/>
    </row>
    <row r="149" spans="1:39" s="24" customFormat="1" x14ac:dyDescent="0.25">
      <c r="A149" s="34"/>
      <c r="AM149" s="34"/>
    </row>
    <row r="150" spans="1:39" s="24" customFormat="1" x14ac:dyDescent="0.25">
      <c r="A150" s="34"/>
      <c r="AM150" s="34"/>
    </row>
    <row r="151" spans="1:39" s="24" customFormat="1" x14ac:dyDescent="0.25">
      <c r="A151" s="34"/>
      <c r="AM151" s="34"/>
    </row>
    <row r="152" spans="1:39" s="24" customFormat="1" x14ac:dyDescent="0.25">
      <c r="A152" s="34"/>
      <c r="AM152" s="34"/>
    </row>
    <row r="153" spans="1:39" s="24" customFormat="1" x14ac:dyDescent="0.25">
      <c r="A153" s="34"/>
      <c r="AM153" s="34"/>
    </row>
    <row r="154" spans="1:39" s="24" customFormat="1" x14ac:dyDescent="0.25">
      <c r="A154" s="34"/>
      <c r="AM154" s="34"/>
    </row>
    <row r="155" spans="1:39" s="24" customFormat="1" x14ac:dyDescent="0.25">
      <c r="A155" s="34"/>
      <c r="AM155" s="34"/>
    </row>
    <row r="156" spans="1:39" s="24" customFormat="1" x14ac:dyDescent="0.25">
      <c r="A156" s="34"/>
      <c r="AM156" s="34"/>
    </row>
    <row r="157" spans="1:39" s="24" customFormat="1" x14ac:dyDescent="0.25">
      <c r="A157" s="34"/>
      <c r="AM157" s="34"/>
    </row>
    <row r="158" spans="1:39" s="24" customFormat="1" x14ac:dyDescent="0.25">
      <c r="A158" s="34"/>
      <c r="AM158" s="34"/>
    </row>
    <row r="159" spans="1:39" s="24" customFormat="1" x14ac:dyDescent="0.25">
      <c r="A159" s="34"/>
      <c r="AM159" s="34"/>
    </row>
    <row r="160" spans="1:39" s="24" customFormat="1" x14ac:dyDescent="0.25">
      <c r="A160" s="34"/>
      <c r="AM160" s="34"/>
    </row>
    <row r="161" spans="1:39" s="24" customFormat="1" x14ac:dyDescent="0.25">
      <c r="A161" s="34"/>
      <c r="AM161" s="34"/>
    </row>
    <row r="162" spans="1:39" s="24" customFormat="1" x14ac:dyDescent="0.25">
      <c r="A162" s="34"/>
      <c r="AM162" s="34"/>
    </row>
    <row r="163" spans="1:39" s="24" customFormat="1" x14ac:dyDescent="0.25">
      <c r="A163" s="34"/>
      <c r="AM163" s="34"/>
    </row>
    <row r="164" spans="1:39" s="24" customFormat="1" x14ac:dyDescent="0.25">
      <c r="A164" s="34"/>
      <c r="AM164" s="34"/>
    </row>
    <row r="165" spans="1:39" s="24" customFormat="1" x14ac:dyDescent="0.25">
      <c r="A165" s="34"/>
      <c r="AM165" s="34"/>
    </row>
    <row r="166" spans="1:39" s="24" customFormat="1" x14ac:dyDescent="0.25">
      <c r="A166" s="34"/>
      <c r="AM166" s="34"/>
    </row>
    <row r="167" spans="1:39" s="24" customFormat="1" x14ac:dyDescent="0.25">
      <c r="A167" s="34"/>
      <c r="AM167" s="34"/>
    </row>
    <row r="168" spans="1:39" s="24" customFormat="1" x14ac:dyDescent="0.25">
      <c r="A168" s="34"/>
      <c r="AM168" s="34"/>
    </row>
    <row r="169" spans="1:39" s="24" customFormat="1" x14ac:dyDescent="0.25">
      <c r="A169" s="34"/>
      <c r="AM169" s="34"/>
    </row>
    <row r="170" spans="1:39" s="24" customFormat="1" x14ac:dyDescent="0.25">
      <c r="A170" s="34"/>
      <c r="AM170" s="34"/>
    </row>
    <row r="171" spans="1:39" s="24" customFormat="1" x14ac:dyDescent="0.25">
      <c r="A171" s="34"/>
      <c r="AM171" s="34"/>
    </row>
    <row r="172" spans="1:39" s="24" customFormat="1" x14ac:dyDescent="0.25">
      <c r="A172" s="34"/>
      <c r="AM172" s="34"/>
    </row>
    <row r="173" spans="1:39" s="24" customFormat="1" x14ac:dyDescent="0.25">
      <c r="A173" s="34"/>
      <c r="AM173" s="34"/>
    </row>
    <row r="174" spans="1:39" s="24" customFormat="1" x14ac:dyDescent="0.25">
      <c r="A174" s="34"/>
      <c r="AM174" s="34"/>
    </row>
    <row r="175" spans="1:39" s="24" customFormat="1" x14ac:dyDescent="0.25">
      <c r="A175" s="34"/>
      <c r="AM175" s="34"/>
    </row>
    <row r="176" spans="1:39" s="24" customFormat="1" x14ac:dyDescent="0.25">
      <c r="A176" s="34"/>
      <c r="AM176" s="34"/>
    </row>
    <row r="177" spans="1:39" s="24" customFormat="1" x14ac:dyDescent="0.25">
      <c r="A177" s="34"/>
      <c r="AM177" s="34"/>
    </row>
    <row r="178" spans="1:39" s="24" customFormat="1" x14ac:dyDescent="0.25">
      <c r="A178" s="34"/>
      <c r="AM178" s="34"/>
    </row>
    <row r="179" spans="1:39" s="24" customFormat="1" x14ac:dyDescent="0.25">
      <c r="A179" s="34"/>
      <c r="AM179" s="34"/>
    </row>
    <row r="180" spans="1:39" s="24" customFormat="1" x14ac:dyDescent="0.25">
      <c r="A180" s="34"/>
      <c r="AM180" s="34"/>
    </row>
    <row r="181" spans="1:39" s="24" customFormat="1" x14ac:dyDescent="0.25">
      <c r="A181" s="34"/>
      <c r="AM181" s="34"/>
    </row>
    <row r="182" spans="1:39" s="24" customFormat="1" x14ac:dyDescent="0.25">
      <c r="A182" s="34"/>
      <c r="AM182" s="34"/>
    </row>
    <row r="183" spans="1:39" s="24" customFormat="1" x14ac:dyDescent="0.25">
      <c r="A183" s="34"/>
      <c r="AM183" s="34"/>
    </row>
    <row r="184" spans="1:39" s="24" customFormat="1" x14ac:dyDescent="0.25">
      <c r="A184" s="34"/>
      <c r="AM184" s="34"/>
    </row>
    <row r="185" spans="1:39" s="24" customFormat="1" x14ac:dyDescent="0.25">
      <c r="A185" s="34"/>
      <c r="AM185" s="34"/>
    </row>
    <row r="186" spans="1:39" s="24" customFormat="1" x14ac:dyDescent="0.25">
      <c r="A186" s="34"/>
      <c r="AM186" s="34"/>
    </row>
    <row r="187" spans="1:39" s="24" customFormat="1" x14ac:dyDescent="0.25">
      <c r="A187" s="34"/>
      <c r="AM187" s="34"/>
    </row>
    <row r="188" spans="1:39" s="24" customFormat="1" x14ac:dyDescent="0.25">
      <c r="A188" s="34"/>
      <c r="AM188" s="34"/>
    </row>
    <row r="189" spans="1:39" s="24" customFormat="1" x14ac:dyDescent="0.25">
      <c r="A189" s="34"/>
      <c r="AM189" s="34"/>
    </row>
    <row r="190" spans="1:39" s="24" customFormat="1" x14ac:dyDescent="0.25">
      <c r="A190" s="34"/>
      <c r="AM190" s="34"/>
    </row>
    <row r="191" spans="1:39" s="24" customFormat="1" x14ac:dyDescent="0.25">
      <c r="A191" s="34"/>
      <c r="AM191" s="34"/>
    </row>
    <row r="192" spans="1:39" s="24" customFormat="1" x14ac:dyDescent="0.25">
      <c r="A192" s="34"/>
      <c r="AM192" s="34"/>
    </row>
    <row r="193" spans="1:39" s="24" customFormat="1" x14ac:dyDescent="0.25">
      <c r="A193" s="34"/>
      <c r="AM193" s="34"/>
    </row>
    <row r="194" spans="1:39" s="24" customFormat="1" x14ac:dyDescent="0.25">
      <c r="A194" s="34"/>
      <c r="AM194" s="34"/>
    </row>
    <row r="195" spans="1:39" s="24" customFormat="1" x14ac:dyDescent="0.25">
      <c r="A195" s="34"/>
      <c r="AM195" s="34"/>
    </row>
    <row r="196" spans="1:39" s="24" customFormat="1" x14ac:dyDescent="0.25">
      <c r="A196" s="34"/>
      <c r="AM196" s="34"/>
    </row>
    <row r="197" spans="1:39" s="24" customFormat="1" x14ac:dyDescent="0.25">
      <c r="A197" s="34"/>
      <c r="AM197" s="34"/>
    </row>
    <row r="198" spans="1:39" s="24" customFormat="1" x14ac:dyDescent="0.25">
      <c r="A198" s="34"/>
      <c r="AM198" s="34"/>
    </row>
    <row r="199" spans="1:39" s="24" customFormat="1" x14ac:dyDescent="0.25">
      <c r="A199" s="34"/>
      <c r="AM199" s="34"/>
    </row>
    <row r="200" spans="1:39" s="24" customFormat="1" x14ac:dyDescent="0.25">
      <c r="A200" s="34"/>
      <c r="AM200" s="34"/>
    </row>
    <row r="201" spans="1:39" s="24" customFormat="1" x14ac:dyDescent="0.25">
      <c r="A201" s="34"/>
      <c r="AM201" s="34"/>
    </row>
    <row r="202" spans="1:39" s="24" customFormat="1" x14ac:dyDescent="0.25">
      <c r="A202" s="34"/>
      <c r="AM202" s="34"/>
    </row>
    <row r="203" spans="1:39" s="24" customFormat="1" x14ac:dyDescent="0.25">
      <c r="A203" s="34"/>
      <c r="AM203" s="34"/>
    </row>
    <row r="204" spans="1:39" s="24" customFormat="1" x14ac:dyDescent="0.25">
      <c r="A204" s="34"/>
      <c r="AM204" s="34"/>
    </row>
    <row r="205" spans="1:39" s="24" customFormat="1" x14ac:dyDescent="0.25">
      <c r="A205" s="34"/>
      <c r="AM205" s="34"/>
    </row>
    <row r="206" spans="1:39" s="24" customFormat="1" x14ac:dyDescent="0.25">
      <c r="A206" s="34"/>
      <c r="AM206" s="34"/>
    </row>
    <row r="207" spans="1:39" s="24" customFormat="1" x14ac:dyDescent="0.25">
      <c r="A207" s="34"/>
      <c r="AM207" s="34"/>
    </row>
    <row r="208" spans="1:39" s="24" customFormat="1" x14ac:dyDescent="0.25">
      <c r="A208" s="34"/>
      <c r="AM208" s="34"/>
    </row>
    <row r="209" spans="1:39" s="24" customFormat="1" x14ac:dyDescent="0.25">
      <c r="A209" s="34"/>
      <c r="AM209" s="34"/>
    </row>
    <row r="210" spans="1:39" s="24" customFormat="1" x14ac:dyDescent="0.25">
      <c r="A210" s="34"/>
      <c r="AM210" s="34"/>
    </row>
    <row r="211" spans="1:39" s="24" customFormat="1" x14ac:dyDescent="0.25">
      <c r="A211" s="34"/>
      <c r="AM211" s="34"/>
    </row>
    <row r="212" spans="1:39" s="24" customFormat="1" x14ac:dyDescent="0.25">
      <c r="A212" s="34"/>
      <c r="AM212" s="34"/>
    </row>
    <row r="213" spans="1:39" s="24" customFormat="1" x14ac:dyDescent="0.25">
      <c r="A213" s="34"/>
      <c r="AM213" s="34"/>
    </row>
    <row r="214" spans="1:39" s="24" customFormat="1" x14ac:dyDescent="0.25">
      <c r="A214" s="34"/>
      <c r="AM214" s="34"/>
    </row>
    <row r="215" spans="1:39" s="24" customFormat="1" x14ac:dyDescent="0.25">
      <c r="A215" s="34"/>
      <c r="AM215" s="34"/>
    </row>
    <row r="216" spans="1:39" s="24" customFormat="1" x14ac:dyDescent="0.25">
      <c r="A216" s="34"/>
      <c r="AM216" s="34"/>
    </row>
    <row r="217" spans="1:39" s="24" customFormat="1" x14ac:dyDescent="0.25">
      <c r="A217" s="34"/>
      <c r="AM217" s="34"/>
    </row>
    <row r="218" spans="1:39" s="24" customFormat="1" x14ac:dyDescent="0.25">
      <c r="A218" s="34"/>
      <c r="AM218" s="34"/>
    </row>
    <row r="219" spans="1:39" s="24" customFormat="1" x14ac:dyDescent="0.25">
      <c r="A219" s="34"/>
      <c r="AM219" s="34"/>
    </row>
    <row r="220" spans="1:39" s="24" customFormat="1" x14ac:dyDescent="0.25">
      <c r="A220" s="34"/>
      <c r="AM220" s="34"/>
    </row>
    <row r="221" spans="1:39" s="24" customFormat="1" x14ac:dyDescent="0.25">
      <c r="A221" s="34"/>
      <c r="AM221" s="34"/>
    </row>
    <row r="222" spans="1:39" s="24" customFormat="1" x14ac:dyDescent="0.25">
      <c r="A222" s="34"/>
      <c r="AM222" s="34"/>
    </row>
    <row r="223" spans="1:39" s="24" customFormat="1" x14ac:dyDescent="0.25">
      <c r="A223" s="34"/>
      <c r="AM223" s="34"/>
    </row>
    <row r="224" spans="1:39" s="24" customFormat="1" x14ac:dyDescent="0.25">
      <c r="A224" s="34"/>
      <c r="AM224" s="34"/>
    </row>
    <row r="225" spans="1:39" s="24" customFormat="1" x14ac:dyDescent="0.25">
      <c r="A225" s="34"/>
      <c r="AM225" s="34"/>
    </row>
    <row r="226" spans="1:39" s="24" customFormat="1" x14ac:dyDescent="0.25">
      <c r="A226" s="34"/>
      <c r="AM226" s="34"/>
    </row>
    <row r="227" spans="1:39" s="24" customFormat="1" x14ac:dyDescent="0.25">
      <c r="A227" s="34"/>
      <c r="AM227" s="34"/>
    </row>
    <row r="228" spans="1:39" s="24" customFormat="1" x14ac:dyDescent="0.25">
      <c r="A228" s="34"/>
      <c r="AM228" s="34"/>
    </row>
    <row r="229" spans="1:39" s="24" customFormat="1" x14ac:dyDescent="0.25">
      <c r="A229" s="34"/>
      <c r="AM229" s="34"/>
    </row>
    <row r="230" spans="1:39" s="24" customFormat="1" x14ac:dyDescent="0.25">
      <c r="A230" s="34"/>
      <c r="AM230" s="34"/>
    </row>
    <row r="231" spans="1:39" s="24" customFormat="1" x14ac:dyDescent="0.25">
      <c r="A231" s="34"/>
      <c r="AM231" s="34"/>
    </row>
    <row r="232" spans="1:39" s="24" customFormat="1" x14ac:dyDescent="0.25">
      <c r="A232" s="34"/>
      <c r="AM232" s="34"/>
    </row>
    <row r="233" spans="1:39" s="24" customFormat="1" x14ac:dyDescent="0.25">
      <c r="A233" s="34"/>
      <c r="AM233" s="34"/>
    </row>
    <row r="234" spans="1:39" s="24" customFormat="1" x14ac:dyDescent="0.25">
      <c r="A234" s="34"/>
      <c r="AM234" s="34"/>
    </row>
    <row r="235" spans="1:39" s="24" customFormat="1" x14ac:dyDescent="0.25">
      <c r="A235" s="34"/>
      <c r="AM235" s="34"/>
    </row>
    <row r="236" spans="1:39" s="24" customFormat="1" x14ac:dyDescent="0.25">
      <c r="A236" s="34"/>
      <c r="AM236" s="34"/>
    </row>
    <row r="237" spans="1:39" s="24" customFormat="1" x14ac:dyDescent="0.25">
      <c r="A237" s="34"/>
      <c r="AM237" s="34"/>
    </row>
    <row r="238" spans="1:39" s="24" customFormat="1" x14ac:dyDescent="0.25">
      <c r="A238" s="34"/>
      <c r="AM238" s="34"/>
    </row>
    <row r="239" spans="1:39" s="24" customFormat="1" x14ac:dyDescent="0.25">
      <c r="A239" s="34"/>
      <c r="AM239" s="34"/>
    </row>
    <row r="240" spans="1:39" s="24" customFormat="1" x14ac:dyDescent="0.25">
      <c r="A240" s="34"/>
      <c r="AM240" s="34"/>
    </row>
    <row r="241" spans="1:39" s="24" customFormat="1" x14ac:dyDescent="0.25">
      <c r="A241" s="34"/>
      <c r="AM241" s="34"/>
    </row>
    <row r="242" spans="1:39" s="24" customFormat="1" x14ac:dyDescent="0.25">
      <c r="A242" s="34"/>
      <c r="AM242" s="34"/>
    </row>
    <row r="243" spans="1:39" s="24" customFormat="1" x14ac:dyDescent="0.25">
      <c r="A243" s="34"/>
      <c r="AM243" s="34"/>
    </row>
    <row r="244" spans="1:39" s="24" customFormat="1" x14ac:dyDescent="0.25">
      <c r="A244" s="34"/>
      <c r="AM244" s="34"/>
    </row>
    <row r="245" spans="1:39" s="24" customFormat="1" x14ac:dyDescent="0.25">
      <c r="A245" s="34"/>
      <c r="AM245" s="34"/>
    </row>
    <row r="246" spans="1:39" s="24" customFormat="1" x14ac:dyDescent="0.25">
      <c r="A246" s="34"/>
      <c r="AM246" s="34"/>
    </row>
    <row r="247" spans="1:39" s="24" customFormat="1" x14ac:dyDescent="0.25">
      <c r="A247" s="34"/>
      <c r="AM247" s="34"/>
    </row>
    <row r="248" spans="1:39" s="24" customFormat="1" x14ac:dyDescent="0.25">
      <c r="A248" s="34"/>
      <c r="AM248" s="34"/>
    </row>
    <row r="249" spans="1:39" s="24" customFormat="1" x14ac:dyDescent="0.25">
      <c r="A249" s="34"/>
      <c r="AM249" s="34"/>
    </row>
    <row r="250" spans="1:39" s="24" customFormat="1" x14ac:dyDescent="0.25">
      <c r="A250" s="34"/>
      <c r="AM250" s="34"/>
    </row>
    <row r="251" spans="1:39" s="24" customFormat="1" x14ac:dyDescent="0.25">
      <c r="A251" s="34"/>
      <c r="AM251" s="34"/>
    </row>
    <row r="252" spans="1:39" s="24" customFormat="1" x14ac:dyDescent="0.25">
      <c r="A252" s="34"/>
      <c r="AM252" s="34"/>
    </row>
    <row r="253" spans="1:39" s="24" customFormat="1" x14ac:dyDescent="0.25">
      <c r="A253" s="34"/>
      <c r="AM253" s="34"/>
    </row>
    <row r="254" spans="1:39" s="24" customFormat="1" x14ac:dyDescent="0.25">
      <c r="A254" s="34"/>
      <c r="AM254" s="34"/>
    </row>
    <row r="255" spans="1:39" s="24" customFormat="1" x14ac:dyDescent="0.25">
      <c r="A255" s="34"/>
      <c r="AM255" s="34"/>
    </row>
    <row r="256" spans="1:39" s="24" customFormat="1" x14ac:dyDescent="0.25">
      <c r="A256" s="34"/>
      <c r="AM256" s="34"/>
    </row>
    <row r="257" spans="1:39" s="24" customFormat="1" x14ac:dyDescent="0.25">
      <c r="A257" s="34"/>
      <c r="AM257" s="34"/>
    </row>
    <row r="258" spans="1:39" s="24" customFormat="1" x14ac:dyDescent="0.25">
      <c r="A258" s="34"/>
      <c r="AM258" s="34"/>
    </row>
    <row r="259" spans="1:39" s="24" customFormat="1" x14ac:dyDescent="0.25">
      <c r="A259" s="34"/>
      <c r="AM259" s="34"/>
    </row>
    <row r="260" spans="1:39" s="24" customFormat="1" x14ac:dyDescent="0.25">
      <c r="A260" s="34"/>
      <c r="AM260" s="34"/>
    </row>
    <row r="261" spans="1:39" s="24" customFormat="1" x14ac:dyDescent="0.25">
      <c r="A261" s="34"/>
      <c r="AM261" s="34"/>
    </row>
    <row r="262" spans="1:39" s="24" customFormat="1" x14ac:dyDescent="0.25">
      <c r="A262" s="34"/>
      <c r="AM262" s="34"/>
    </row>
    <row r="263" spans="1:39" s="24" customFormat="1" x14ac:dyDescent="0.25">
      <c r="A263" s="34"/>
      <c r="AM263" s="34"/>
    </row>
    <row r="264" spans="1:39" s="24" customFormat="1" x14ac:dyDescent="0.25">
      <c r="A264" s="34"/>
      <c r="AM264" s="34"/>
    </row>
    <row r="265" spans="1:39" s="24" customFormat="1" x14ac:dyDescent="0.25">
      <c r="A265" s="34"/>
      <c r="AM265" s="34"/>
    </row>
    <row r="266" spans="1:39" s="24" customFormat="1" x14ac:dyDescent="0.25">
      <c r="A266" s="34"/>
      <c r="AM266" s="34"/>
    </row>
    <row r="267" spans="1:39" s="24" customFormat="1" x14ac:dyDescent="0.25">
      <c r="A267" s="34"/>
      <c r="AM267" s="34"/>
    </row>
    <row r="268" spans="1:39" s="24" customFormat="1" x14ac:dyDescent="0.25">
      <c r="A268" s="34"/>
      <c r="AM268" s="34"/>
    </row>
    <row r="269" spans="1:39" s="24" customFormat="1" x14ac:dyDescent="0.25">
      <c r="A269" s="34"/>
      <c r="AM269" s="34"/>
    </row>
    <row r="270" spans="1:39" s="24" customFormat="1" x14ac:dyDescent="0.25">
      <c r="A270" s="34"/>
      <c r="AM270" s="34"/>
    </row>
    <row r="271" spans="1:39" s="24" customFormat="1" x14ac:dyDescent="0.25">
      <c r="A271" s="34"/>
      <c r="AM271" s="34"/>
    </row>
    <row r="272" spans="1:39" s="24" customFormat="1" x14ac:dyDescent="0.25">
      <c r="A272" s="34"/>
      <c r="AM272" s="34"/>
    </row>
    <row r="273" spans="1:39" s="24" customFormat="1" x14ac:dyDescent="0.25">
      <c r="A273" s="34"/>
      <c r="AM273" s="34"/>
    </row>
    <row r="274" spans="1:39" s="24" customFormat="1" x14ac:dyDescent="0.25">
      <c r="A274" s="34"/>
      <c r="AM274" s="34"/>
    </row>
    <row r="275" spans="1:39" s="24" customFormat="1" x14ac:dyDescent="0.25">
      <c r="A275" s="34"/>
      <c r="AM275" s="34"/>
    </row>
    <row r="276" spans="1:39" s="24" customFormat="1" x14ac:dyDescent="0.25">
      <c r="A276" s="34"/>
      <c r="AM276" s="34"/>
    </row>
    <row r="277" spans="1:39" s="24" customFormat="1" x14ac:dyDescent="0.25">
      <c r="A277" s="34"/>
      <c r="AM277" s="34"/>
    </row>
    <row r="278" spans="1:39" s="24" customFormat="1" x14ac:dyDescent="0.25">
      <c r="A278" s="34"/>
      <c r="AM278" s="34"/>
    </row>
    <row r="279" spans="1:39" s="24" customFormat="1" x14ac:dyDescent="0.25">
      <c r="A279" s="34"/>
      <c r="AM279" s="34"/>
    </row>
    <row r="280" spans="1:39" s="24" customFormat="1" x14ac:dyDescent="0.25">
      <c r="A280" s="34"/>
      <c r="AM280" s="34"/>
    </row>
    <row r="281" spans="1:39" s="24" customFormat="1" x14ac:dyDescent="0.25">
      <c r="A281" s="34"/>
      <c r="AM281" s="34"/>
    </row>
    <row r="282" spans="1:39" s="24" customFormat="1" x14ac:dyDescent="0.25">
      <c r="A282" s="34"/>
      <c r="AM282" s="34"/>
    </row>
    <row r="283" spans="1:39" s="24" customFormat="1" x14ac:dyDescent="0.25">
      <c r="A283" s="34"/>
      <c r="AM283" s="34"/>
    </row>
    <row r="284" spans="1:39" s="24" customFormat="1" x14ac:dyDescent="0.25">
      <c r="A284" s="34"/>
      <c r="AM284" s="34"/>
    </row>
    <row r="285" spans="1:39" s="24" customFormat="1" x14ac:dyDescent="0.25">
      <c r="A285" s="34"/>
      <c r="AM285" s="34"/>
    </row>
    <row r="286" spans="1:39" s="24" customFormat="1" x14ac:dyDescent="0.25">
      <c r="A286" s="34"/>
      <c r="AM286" s="34"/>
    </row>
    <row r="287" spans="1:39" s="24" customFormat="1" x14ac:dyDescent="0.25">
      <c r="A287" s="34"/>
      <c r="AM287" s="34"/>
    </row>
    <row r="288" spans="1:39" s="24" customFormat="1" x14ac:dyDescent="0.25">
      <c r="A288" s="34"/>
      <c r="AM288" s="34"/>
    </row>
    <row r="289" spans="1:39" s="24" customFormat="1" x14ac:dyDescent="0.25">
      <c r="A289" s="34"/>
      <c r="AM289" s="34"/>
    </row>
    <row r="290" spans="1:39" s="24" customFormat="1" x14ac:dyDescent="0.25">
      <c r="A290" s="34"/>
      <c r="AM290" s="34"/>
    </row>
    <row r="291" spans="1:39" s="24" customFormat="1" x14ac:dyDescent="0.25">
      <c r="A291" s="34"/>
      <c r="AM291" s="34"/>
    </row>
    <row r="292" spans="1:39" s="24" customFormat="1" x14ac:dyDescent="0.25">
      <c r="A292" s="34"/>
      <c r="AM292" s="34"/>
    </row>
    <row r="293" spans="1:39" s="24" customFormat="1" x14ac:dyDescent="0.25">
      <c r="A293" s="34"/>
      <c r="AM293" s="34"/>
    </row>
    <row r="294" spans="1:39" s="24" customFormat="1" x14ac:dyDescent="0.25">
      <c r="A294" s="34"/>
      <c r="AM294" s="34"/>
    </row>
    <row r="295" spans="1:39" s="24" customFormat="1" x14ac:dyDescent="0.25">
      <c r="A295" s="34"/>
      <c r="AM295" s="34"/>
    </row>
    <row r="296" spans="1:39" s="24" customFormat="1" x14ac:dyDescent="0.25">
      <c r="A296" s="34"/>
      <c r="AM296" s="34"/>
    </row>
    <row r="297" spans="1:39" s="24" customFormat="1" x14ac:dyDescent="0.25">
      <c r="A297" s="34"/>
      <c r="AM297" s="34"/>
    </row>
    <row r="298" spans="1:39" s="24" customFormat="1" x14ac:dyDescent="0.25">
      <c r="A298" s="34"/>
      <c r="AM298" s="34"/>
    </row>
    <row r="299" spans="1:39" s="24" customFormat="1" x14ac:dyDescent="0.25">
      <c r="A299" s="34"/>
      <c r="AM299" s="34"/>
    </row>
    <row r="300" spans="1:39" s="24" customFormat="1" x14ac:dyDescent="0.25">
      <c r="A300" s="34"/>
      <c r="AM300" s="34"/>
    </row>
    <row r="301" spans="1:39" s="24" customFormat="1" x14ac:dyDescent="0.25">
      <c r="A301" s="34"/>
      <c r="AM301" s="34"/>
    </row>
    <row r="302" spans="1:39" s="24" customFormat="1" x14ac:dyDescent="0.25">
      <c r="A302" s="34"/>
      <c r="AM302" s="34"/>
    </row>
    <row r="303" spans="1:39" s="24" customFormat="1" x14ac:dyDescent="0.25">
      <c r="A303" s="34"/>
      <c r="AM303" s="34"/>
    </row>
    <row r="304" spans="1:39" s="24" customFormat="1" x14ac:dyDescent="0.25">
      <c r="A304" s="34"/>
      <c r="AM304" s="34"/>
    </row>
    <row r="305" spans="1:39" s="24" customFormat="1" x14ac:dyDescent="0.25">
      <c r="A305" s="34"/>
      <c r="AM305" s="34"/>
    </row>
    <row r="306" spans="1:39" s="24" customFormat="1" x14ac:dyDescent="0.25">
      <c r="A306" s="34"/>
      <c r="AM306" s="34"/>
    </row>
    <row r="307" spans="1:39" s="24" customFormat="1" x14ac:dyDescent="0.25">
      <c r="A307" s="34"/>
      <c r="AM307" s="34"/>
    </row>
    <row r="308" spans="1:39" s="24" customFormat="1" x14ac:dyDescent="0.25">
      <c r="A308" s="34"/>
      <c r="AM308" s="34"/>
    </row>
    <row r="309" spans="1:39" s="24" customFormat="1" x14ac:dyDescent="0.25">
      <c r="A309" s="34"/>
      <c r="AM309" s="34"/>
    </row>
    <row r="310" spans="1:39" s="24" customFormat="1" x14ac:dyDescent="0.25">
      <c r="A310" s="34"/>
      <c r="AM310" s="34"/>
    </row>
    <row r="311" spans="1:39" s="24" customFormat="1" x14ac:dyDescent="0.25">
      <c r="A311" s="34"/>
      <c r="AM311" s="34"/>
    </row>
    <row r="312" spans="1:39" s="24" customFormat="1" x14ac:dyDescent="0.25">
      <c r="A312" s="34"/>
      <c r="AM312" s="34"/>
    </row>
    <row r="313" spans="1:39" s="24" customFormat="1" x14ac:dyDescent="0.25">
      <c r="A313" s="34"/>
      <c r="AM313" s="34"/>
    </row>
    <row r="314" spans="1:39" s="24" customFormat="1" x14ac:dyDescent="0.25">
      <c r="A314" s="34"/>
      <c r="AM314" s="34"/>
    </row>
    <row r="315" spans="1:39" s="24" customFormat="1" x14ac:dyDescent="0.25">
      <c r="A315" s="34"/>
      <c r="AM315" s="34"/>
    </row>
    <row r="316" spans="1:39" s="24" customFormat="1" x14ac:dyDescent="0.25">
      <c r="A316" s="34"/>
      <c r="AM316" s="34"/>
    </row>
    <row r="317" spans="1:39" s="24" customFormat="1" x14ac:dyDescent="0.25">
      <c r="A317" s="34"/>
      <c r="AM317" s="34"/>
    </row>
    <row r="318" spans="1:39" s="24" customFormat="1" x14ac:dyDescent="0.25">
      <c r="A318" s="34"/>
      <c r="AM318" s="34"/>
    </row>
    <row r="319" spans="1:39" s="24" customFormat="1" x14ac:dyDescent="0.25">
      <c r="A319" s="34"/>
      <c r="AM319" s="34"/>
    </row>
    <row r="320" spans="1:39" s="24" customFormat="1" x14ac:dyDescent="0.25">
      <c r="A320" s="34"/>
      <c r="AM320" s="34"/>
    </row>
    <row r="321" spans="1:39" s="24" customFormat="1" x14ac:dyDescent="0.25">
      <c r="A321" s="34"/>
      <c r="AM321" s="34"/>
    </row>
    <row r="322" spans="1:39" s="24" customFormat="1" x14ac:dyDescent="0.25">
      <c r="A322" s="34"/>
      <c r="AM322" s="34"/>
    </row>
    <row r="323" spans="1:39" s="24" customFormat="1" x14ac:dyDescent="0.25">
      <c r="A323" s="34"/>
      <c r="AM323" s="34"/>
    </row>
    <row r="324" spans="1:39" s="24" customFormat="1" x14ac:dyDescent="0.25">
      <c r="A324" s="34"/>
      <c r="AM324" s="34"/>
    </row>
    <row r="325" spans="1:39" s="24" customFormat="1" x14ac:dyDescent="0.25">
      <c r="A325" s="34"/>
      <c r="AM325" s="34"/>
    </row>
    <row r="326" spans="1:39" s="24" customFormat="1" x14ac:dyDescent="0.25">
      <c r="A326" s="34"/>
      <c r="AM326" s="34"/>
    </row>
    <row r="327" spans="1:39" s="24" customFormat="1" x14ac:dyDescent="0.25">
      <c r="A327" s="34"/>
      <c r="AM327" s="34"/>
    </row>
    <row r="328" spans="1:39" s="24" customFormat="1" x14ac:dyDescent="0.25">
      <c r="A328" s="34"/>
      <c r="AM328" s="34"/>
    </row>
    <row r="329" spans="1:39" s="24" customFormat="1" x14ac:dyDescent="0.25">
      <c r="A329" s="34"/>
      <c r="AM329" s="34"/>
    </row>
    <row r="330" spans="1:39" s="24" customFormat="1" x14ac:dyDescent="0.25">
      <c r="A330" s="34"/>
      <c r="AM330" s="34"/>
    </row>
    <row r="331" spans="1:39" s="24" customFormat="1" x14ac:dyDescent="0.25">
      <c r="A331" s="34"/>
      <c r="AM331" s="34"/>
    </row>
    <row r="332" spans="1:39" s="24" customFormat="1" x14ac:dyDescent="0.25">
      <c r="A332" s="34"/>
      <c r="AM332" s="34"/>
    </row>
    <row r="333" spans="1:39" s="24" customFormat="1" x14ac:dyDescent="0.25">
      <c r="A333" s="34"/>
      <c r="AM333" s="34"/>
    </row>
    <row r="334" spans="1:39" s="24" customFormat="1" x14ac:dyDescent="0.25">
      <c r="A334" s="34"/>
      <c r="AM334" s="34"/>
    </row>
    <row r="335" spans="1:39" s="24" customFormat="1" x14ac:dyDescent="0.25">
      <c r="A335" s="34"/>
      <c r="AM335" s="34"/>
    </row>
    <row r="336" spans="1:39" s="24" customFormat="1" x14ac:dyDescent="0.25">
      <c r="A336" s="34"/>
      <c r="AM336" s="34"/>
    </row>
    <row r="337" spans="1:39" s="24" customFormat="1" x14ac:dyDescent="0.25">
      <c r="A337" s="34"/>
      <c r="AM337" s="34"/>
    </row>
    <row r="338" spans="1:39" s="24" customFormat="1" x14ac:dyDescent="0.25">
      <c r="A338" s="34"/>
      <c r="AM338" s="34"/>
    </row>
    <row r="339" spans="1:39" s="24" customFormat="1" x14ac:dyDescent="0.25">
      <c r="A339" s="34"/>
      <c r="AM339" s="34"/>
    </row>
    <row r="340" spans="1:39" s="24" customFormat="1" x14ac:dyDescent="0.25">
      <c r="A340" s="34"/>
      <c r="AM340" s="34"/>
    </row>
    <row r="341" spans="1:39" s="24" customFormat="1" x14ac:dyDescent="0.25">
      <c r="A341" s="34"/>
      <c r="AM341" s="34"/>
    </row>
    <row r="342" spans="1:39" s="24" customFormat="1" x14ac:dyDescent="0.25">
      <c r="A342" s="34"/>
      <c r="AM342" s="34"/>
    </row>
    <row r="343" spans="1:39" s="24" customFormat="1" x14ac:dyDescent="0.25">
      <c r="A343" s="34"/>
      <c r="AM343" s="34"/>
    </row>
    <row r="344" spans="1:39" s="24" customFormat="1" x14ac:dyDescent="0.25">
      <c r="A344" s="34"/>
      <c r="AM344" s="34"/>
    </row>
    <row r="345" spans="1:39" s="24" customFormat="1" x14ac:dyDescent="0.25">
      <c r="A345" s="34"/>
      <c r="AM345" s="34"/>
    </row>
    <row r="346" spans="1:39" s="24" customFormat="1" x14ac:dyDescent="0.25">
      <c r="A346" s="34"/>
      <c r="AM346" s="34"/>
    </row>
    <row r="347" spans="1:39" s="24" customFormat="1" x14ac:dyDescent="0.25">
      <c r="A347" s="34"/>
      <c r="AM347" s="34"/>
    </row>
    <row r="348" spans="1:39" s="24" customFormat="1" x14ac:dyDescent="0.25">
      <c r="A348" s="34"/>
      <c r="AM348" s="34"/>
    </row>
    <row r="349" spans="1:39" s="24" customFormat="1" x14ac:dyDescent="0.25">
      <c r="A349" s="34"/>
      <c r="AM349" s="34"/>
    </row>
    <row r="350" spans="1:39" s="24" customFormat="1" x14ac:dyDescent="0.25">
      <c r="A350" s="34"/>
      <c r="AM350" s="34"/>
    </row>
    <row r="351" spans="1:39" s="24" customFormat="1" x14ac:dyDescent="0.25">
      <c r="A351" s="34"/>
      <c r="AM351" s="34"/>
    </row>
    <row r="352" spans="1:39" s="24" customFormat="1" x14ac:dyDescent="0.25">
      <c r="A352" s="34"/>
      <c r="AM352" s="34"/>
    </row>
    <row r="353" spans="1:39" s="24" customFormat="1" x14ac:dyDescent="0.25">
      <c r="A353" s="34"/>
      <c r="AM353" s="34"/>
    </row>
    <row r="354" spans="1:39" s="24" customFormat="1" x14ac:dyDescent="0.25">
      <c r="A354" s="34"/>
      <c r="AM354" s="34"/>
    </row>
    <row r="355" spans="1:39" s="24" customFormat="1" x14ac:dyDescent="0.25">
      <c r="A355" s="34"/>
      <c r="AM355" s="34"/>
    </row>
    <row r="356" spans="1:39" s="24" customFormat="1" x14ac:dyDescent="0.25">
      <c r="A356" s="34"/>
      <c r="AM356" s="34"/>
    </row>
    <row r="357" spans="1:39" s="24" customFormat="1" x14ac:dyDescent="0.25">
      <c r="A357" s="34"/>
      <c r="AM357" s="34"/>
    </row>
    <row r="358" spans="1:39" s="24" customFormat="1" x14ac:dyDescent="0.25">
      <c r="A358" s="34"/>
      <c r="AM358" s="34"/>
    </row>
    <row r="359" spans="1:39" s="24" customFormat="1" x14ac:dyDescent="0.25">
      <c r="A359" s="34"/>
      <c r="AM359" s="34"/>
    </row>
    <row r="360" spans="1:39" s="24" customFormat="1" x14ac:dyDescent="0.25">
      <c r="A360" s="34"/>
      <c r="AM360" s="34"/>
    </row>
    <row r="361" spans="1:39" s="24" customFormat="1" x14ac:dyDescent="0.25">
      <c r="A361" s="34"/>
      <c r="AM361" s="34"/>
    </row>
    <row r="362" spans="1:39" s="24" customFormat="1" x14ac:dyDescent="0.25">
      <c r="A362" s="34"/>
      <c r="AM362" s="34"/>
    </row>
    <row r="363" spans="1:39" s="24" customFormat="1" x14ac:dyDescent="0.25">
      <c r="A363" s="34"/>
      <c r="AM363" s="34"/>
    </row>
    <row r="364" spans="1:39" s="24" customFormat="1" x14ac:dyDescent="0.25">
      <c r="A364" s="34"/>
      <c r="AM364" s="34"/>
    </row>
    <row r="365" spans="1:39" s="24" customFormat="1" x14ac:dyDescent="0.25">
      <c r="A365" s="34"/>
      <c r="AM365" s="34"/>
    </row>
    <row r="366" spans="1:39" s="24" customFormat="1" x14ac:dyDescent="0.25">
      <c r="A366" s="34"/>
      <c r="AM366" s="34"/>
    </row>
    <row r="367" spans="1:39" s="24" customFormat="1" x14ac:dyDescent="0.25">
      <c r="A367" s="34"/>
      <c r="AM367" s="34"/>
    </row>
    <row r="368" spans="1:39" s="24" customFormat="1" x14ac:dyDescent="0.25">
      <c r="A368" s="34"/>
      <c r="AM368" s="34"/>
    </row>
    <row r="369" spans="1:39" s="24" customFormat="1" x14ac:dyDescent="0.25">
      <c r="A369" s="34"/>
      <c r="AM369" s="34"/>
    </row>
    <row r="370" spans="1:39" s="24" customFormat="1" x14ac:dyDescent="0.25">
      <c r="A370" s="34"/>
      <c r="AM370" s="34"/>
    </row>
    <row r="371" spans="1:39" s="24" customFormat="1" x14ac:dyDescent="0.25">
      <c r="A371" s="34"/>
      <c r="AM371" s="34"/>
    </row>
    <row r="372" spans="1:39" s="24" customFormat="1" x14ac:dyDescent="0.25">
      <c r="A372" s="34"/>
      <c r="AM372" s="34"/>
    </row>
    <row r="373" spans="1:39" s="24" customFormat="1" x14ac:dyDescent="0.25">
      <c r="A373" s="34"/>
      <c r="AM373" s="34"/>
    </row>
    <row r="374" spans="1:39" s="24" customFormat="1" x14ac:dyDescent="0.25">
      <c r="A374" s="34"/>
      <c r="AM374" s="34"/>
    </row>
    <row r="375" spans="1:39" s="24" customFormat="1" x14ac:dyDescent="0.25">
      <c r="A375" s="34"/>
      <c r="AM375" s="34"/>
    </row>
    <row r="376" spans="1:39" s="24" customFormat="1" x14ac:dyDescent="0.25">
      <c r="A376" s="34"/>
      <c r="AM376" s="34"/>
    </row>
    <row r="377" spans="1:39" s="24" customFormat="1" x14ac:dyDescent="0.25">
      <c r="A377" s="34"/>
      <c r="AM377" s="34"/>
    </row>
    <row r="378" spans="1:39" s="24" customFormat="1" x14ac:dyDescent="0.25">
      <c r="A378" s="34"/>
      <c r="AM378" s="34"/>
    </row>
    <row r="379" spans="1:39" s="24" customFormat="1" x14ac:dyDescent="0.25">
      <c r="A379" s="34"/>
      <c r="AM379" s="34"/>
    </row>
    <row r="380" spans="1:39" s="24" customFormat="1" x14ac:dyDescent="0.25">
      <c r="A380" s="34"/>
      <c r="AM380" s="34"/>
    </row>
    <row r="381" spans="1:39" s="24" customFormat="1" x14ac:dyDescent="0.25">
      <c r="A381" s="34"/>
      <c r="AM381" s="34"/>
    </row>
    <row r="382" spans="1:39" s="24" customFormat="1" x14ac:dyDescent="0.25">
      <c r="A382" s="34"/>
      <c r="AM382" s="34"/>
    </row>
    <row r="383" spans="1:39" s="24" customFormat="1" x14ac:dyDescent="0.25">
      <c r="A383" s="34"/>
      <c r="AM383" s="34"/>
    </row>
    <row r="384" spans="1:39" s="24" customFormat="1" x14ac:dyDescent="0.25">
      <c r="A384" s="34"/>
      <c r="AM384" s="34"/>
    </row>
    <row r="385" spans="1:39" s="24" customFormat="1" x14ac:dyDescent="0.25">
      <c r="A385" s="34"/>
      <c r="AM385" s="34"/>
    </row>
    <row r="386" spans="1:39" s="24" customFormat="1" x14ac:dyDescent="0.25">
      <c r="A386" s="34"/>
      <c r="AM386" s="34"/>
    </row>
    <row r="387" spans="1:39" s="24" customFormat="1" x14ac:dyDescent="0.25">
      <c r="A387" s="34"/>
      <c r="AM387" s="34"/>
    </row>
    <row r="388" spans="1:39" s="24" customFormat="1" x14ac:dyDescent="0.25">
      <c r="A388" s="34"/>
      <c r="AM388" s="34"/>
    </row>
    <row r="389" spans="1:39" s="24" customFormat="1" x14ac:dyDescent="0.25">
      <c r="A389" s="34"/>
      <c r="AM389" s="34"/>
    </row>
    <row r="390" spans="1:39" s="24" customFormat="1" x14ac:dyDescent="0.25">
      <c r="A390" s="34"/>
      <c r="AM390" s="34"/>
    </row>
    <row r="391" spans="1:39" s="24" customFormat="1" x14ac:dyDescent="0.25">
      <c r="A391" s="34"/>
      <c r="AM391" s="34"/>
    </row>
    <row r="392" spans="1:39" s="24" customFormat="1" x14ac:dyDescent="0.25">
      <c r="A392" s="34"/>
      <c r="AM392" s="34"/>
    </row>
    <row r="393" spans="1:39" s="24" customFormat="1" x14ac:dyDescent="0.25">
      <c r="A393" s="34"/>
      <c r="AM393" s="34"/>
    </row>
    <row r="394" spans="1:39" s="24" customFormat="1" x14ac:dyDescent="0.25">
      <c r="A394" s="34"/>
      <c r="AM394" s="34"/>
    </row>
    <row r="395" spans="1:39" s="24" customFormat="1" x14ac:dyDescent="0.25">
      <c r="A395" s="34"/>
      <c r="AM395" s="34"/>
    </row>
    <row r="396" spans="1:39" s="24" customFormat="1" x14ac:dyDescent="0.25">
      <c r="A396" s="34"/>
      <c r="AM396" s="34"/>
    </row>
    <row r="397" spans="1:39" s="24" customFormat="1" x14ac:dyDescent="0.25">
      <c r="A397" s="34"/>
      <c r="AM397" s="34"/>
    </row>
    <row r="398" spans="1:39" s="24" customFormat="1" x14ac:dyDescent="0.25">
      <c r="A398" s="34"/>
      <c r="AM398" s="34"/>
    </row>
    <row r="399" spans="1:39" s="24" customFormat="1" x14ac:dyDescent="0.25">
      <c r="A399" s="34"/>
      <c r="AM399" s="34"/>
    </row>
    <row r="400" spans="1:39" s="24" customFormat="1" x14ac:dyDescent="0.25">
      <c r="A400" s="34"/>
      <c r="AM400" s="34"/>
    </row>
    <row r="401" spans="1:39" s="24" customFormat="1" x14ac:dyDescent="0.25">
      <c r="A401" s="34"/>
      <c r="AM401" s="34"/>
    </row>
    <row r="402" spans="1:39" s="24" customFormat="1" x14ac:dyDescent="0.25">
      <c r="A402" s="34"/>
      <c r="AM402" s="34"/>
    </row>
    <row r="403" spans="1:39" s="24" customFormat="1" x14ac:dyDescent="0.25">
      <c r="A403" s="34"/>
      <c r="AM403" s="34"/>
    </row>
    <row r="404" spans="1:39" s="24" customFormat="1" x14ac:dyDescent="0.25">
      <c r="A404" s="34"/>
      <c r="AM404" s="34"/>
    </row>
    <row r="405" spans="1:39" s="24" customFormat="1" x14ac:dyDescent="0.25">
      <c r="A405" s="34"/>
      <c r="AM405" s="34"/>
    </row>
    <row r="406" spans="1:39" s="24" customFormat="1" x14ac:dyDescent="0.25">
      <c r="A406" s="34"/>
      <c r="AM406" s="34"/>
    </row>
    <row r="407" spans="1:39" s="24" customFormat="1" x14ac:dyDescent="0.25">
      <c r="A407" s="34"/>
      <c r="AM407" s="34"/>
    </row>
    <row r="408" spans="1:39" s="24" customFormat="1" x14ac:dyDescent="0.25">
      <c r="A408" s="34"/>
      <c r="AM408" s="34"/>
    </row>
    <row r="409" spans="1:39" s="24" customFormat="1" x14ac:dyDescent="0.25">
      <c r="A409" s="34"/>
      <c r="AM409" s="34"/>
    </row>
    <row r="410" spans="1:39" s="24" customFormat="1" x14ac:dyDescent="0.25">
      <c r="A410" s="34"/>
      <c r="AM410" s="34"/>
    </row>
    <row r="411" spans="1:39" s="24" customFormat="1" x14ac:dyDescent="0.25">
      <c r="A411" s="34"/>
      <c r="AM411" s="34"/>
    </row>
    <row r="412" spans="1:39" s="24" customFormat="1" x14ac:dyDescent="0.25">
      <c r="A412" s="34"/>
      <c r="AM412" s="34"/>
    </row>
    <row r="413" spans="1:39" s="24" customFormat="1" x14ac:dyDescent="0.25">
      <c r="A413" s="34"/>
      <c r="AM413" s="34"/>
    </row>
    <row r="414" spans="1:39" s="24" customFormat="1" x14ac:dyDescent="0.25">
      <c r="A414" s="34"/>
      <c r="AM414" s="34"/>
    </row>
    <row r="415" spans="1:39" s="24" customFormat="1" x14ac:dyDescent="0.25">
      <c r="A415" s="34"/>
      <c r="AM415" s="34"/>
    </row>
    <row r="416" spans="1:39" s="24" customFormat="1" x14ac:dyDescent="0.25">
      <c r="A416" s="34"/>
      <c r="AM416" s="34"/>
    </row>
    <row r="417" spans="1:39" s="24" customFormat="1" x14ac:dyDescent="0.25">
      <c r="A417" s="34"/>
      <c r="AM417" s="34"/>
    </row>
    <row r="418" spans="1:39" s="24" customFormat="1" x14ac:dyDescent="0.25">
      <c r="A418" s="34"/>
      <c r="AM418" s="34"/>
    </row>
    <row r="419" spans="1:39" s="24" customFormat="1" x14ac:dyDescent="0.25">
      <c r="A419" s="34"/>
      <c r="AM419" s="34"/>
    </row>
    <row r="420" spans="1:39" s="24" customFormat="1" x14ac:dyDescent="0.25">
      <c r="A420" s="34"/>
      <c r="AM420" s="34"/>
    </row>
    <row r="421" spans="1:39" s="24" customFormat="1" x14ac:dyDescent="0.25">
      <c r="A421" s="34"/>
      <c r="AM421" s="34"/>
    </row>
    <row r="422" spans="1:39" s="24" customFormat="1" x14ac:dyDescent="0.25">
      <c r="A422" s="34"/>
      <c r="AM422" s="34"/>
    </row>
    <row r="423" spans="1:39" s="24" customFormat="1" x14ac:dyDescent="0.25">
      <c r="A423" s="34"/>
      <c r="AM423" s="34"/>
    </row>
    <row r="424" spans="1:39" s="24" customFormat="1" x14ac:dyDescent="0.25">
      <c r="A424" s="34"/>
      <c r="AM424" s="34"/>
    </row>
    <row r="425" spans="1:39" s="24" customFormat="1" x14ac:dyDescent="0.25">
      <c r="A425" s="34"/>
      <c r="AM425" s="34"/>
    </row>
    <row r="426" spans="1:39" s="24" customFormat="1" x14ac:dyDescent="0.25">
      <c r="A426" s="34"/>
      <c r="AM426" s="34"/>
    </row>
    <row r="427" spans="1:39" s="24" customFormat="1" x14ac:dyDescent="0.25">
      <c r="A427" s="34"/>
      <c r="AM427" s="34"/>
    </row>
    <row r="428" spans="1:39" s="24" customFormat="1" x14ac:dyDescent="0.25">
      <c r="A428" s="34"/>
      <c r="AM428" s="34"/>
    </row>
    <row r="429" spans="1:39" s="24" customFormat="1" x14ac:dyDescent="0.25">
      <c r="A429" s="34"/>
      <c r="AM429" s="34"/>
    </row>
    <row r="430" spans="1:39" s="24" customFormat="1" x14ac:dyDescent="0.25">
      <c r="A430" s="34"/>
      <c r="AM430" s="34"/>
    </row>
    <row r="431" spans="1:39" s="24" customFormat="1" x14ac:dyDescent="0.25">
      <c r="A431" s="34"/>
      <c r="AM431" s="34"/>
    </row>
    <row r="432" spans="1:39" s="24" customFormat="1" x14ac:dyDescent="0.25">
      <c r="A432" s="34"/>
      <c r="AM432" s="34"/>
    </row>
    <row r="433" spans="1:39" s="24" customFormat="1" x14ac:dyDescent="0.25">
      <c r="A433" s="34"/>
      <c r="AM433" s="34"/>
    </row>
    <row r="434" spans="1:39" s="24" customFormat="1" x14ac:dyDescent="0.25">
      <c r="A434" s="34"/>
      <c r="AM434" s="34"/>
    </row>
    <row r="435" spans="1:39" s="24" customFormat="1" x14ac:dyDescent="0.25">
      <c r="A435" s="34"/>
      <c r="AM435" s="34"/>
    </row>
    <row r="436" spans="1:39" s="24" customFormat="1" x14ac:dyDescent="0.25">
      <c r="A436" s="34"/>
      <c r="AM436" s="34"/>
    </row>
    <row r="437" spans="1:39" s="24" customFormat="1" x14ac:dyDescent="0.25">
      <c r="A437" s="34"/>
      <c r="AM437" s="34"/>
    </row>
    <row r="438" spans="1:39" s="24" customFormat="1" x14ac:dyDescent="0.25">
      <c r="A438" s="34"/>
      <c r="AM438" s="34"/>
    </row>
    <row r="439" spans="1:39" s="24" customFormat="1" x14ac:dyDescent="0.25">
      <c r="A439" s="34"/>
      <c r="AM439" s="34"/>
    </row>
    <row r="440" spans="1:39" s="24" customFormat="1" x14ac:dyDescent="0.25">
      <c r="A440" s="34"/>
      <c r="AM440" s="34"/>
    </row>
    <row r="441" spans="1:39" s="24" customFormat="1" x14ac:dyDescent="0.25">
      <c r="A441" s="34"/>
      <c r="AM441" s="34"/>
    </row>
    <row r="442" spans="1:39" s="24" customFormat="1" x14ac:dyDescent="0.25">
      <c r="A442" s="34"/>
      <c r="AM442" s="34"/>
    </row>
    <row r="443" spans="1:39" s="24" customFormat="1" x14ac:dyDescent="0.25">
      <c r="A443" s="34"/>
      <c r="AM443" s="34"/>
    </row>
    <row r="444" spans="1:39" s="24" customFormat="1" x14ac:dyDescent="0.25">
      <c r="A444" s="34"/>
      <c r="AM444" s="34"/>
    </row>
    <row r="445" spans="1:39" s="24" customFormat="1" x14ac:dyDescent="0.25">
      <c r="A445" s="34"/>
      <c r="AM445" s="34"/>
    </row>
    <row r="446" spans="1:39" s="24" customFormat="1" x14ac:dyDescent="0.25">
      <c r="A446" s="34"/>
      <c r="AM446" s="34"/>
    </row>
    <row r="447" spans="1:39" s="24" customFormat="1" x14ac:dyDescent="0.25">
      <c r="A447" s="34"/>
      <c r="AM447" s="34"/>
    </row>
    <row r="448" spans="1:39" s="24" customFormat="1" x14ac:dyDescent="0.25">
      <c r="A448" s="34"/>
      <c r="AM448" s="34"/>
    </row>
    <row r="449" spans="1:39" s="24" customFormat="1" x14ac:dyDescent="0.25">
      <c r="A449" s="34"/>
      <c r="AM449" s="34"/>
    </row>
    <row r="450" spans="1:39" s="24" customFormat="1" x14ac:dyDescent="0.25">
      <c r="A450" s="34"/>
      <c r="AM450" s="34"/>
    </row>
    <row r="451" spans="1:39" s="24" customFormat="1" x14ac:dyDescent="0.25">
      <c r="A451" s="34"/>
      <c r="AM451" s="34"/>
    </row>
    <row r="452" spans="1:39" s="24" customFormat="1" x14ac:dyDescent="0.25">
      <c r="A452" s="34"/>
      <c r="AM452" s="34"/>
    </row>
    <row r="453" spans="1:39" s="24" customFormat="1" x14ac:dyDescent="0.25">
      <c r="A453" s="34"/>
      <c r="AM453" s="34"/>
    </row>
    <row r="454" spans="1:39" s="24" customFormat="1" x14ac:dyDescent="0.25">
      <c r="A454" s="34"/>
      <c r="AM454" s="34"/>
    </row>
    <row r="455" spans="1:39" s="24" customFormat="1" x14ac:dyDescent="0.25">
      <c r="A455" s="34"/>
      <c r="AM455" s="34"/>
    </row>
    <row r="456" spans="1:39" s="24" customFormat="1" x14ac:dyDescent="0.25">
      <c r="A456" s="34"/>
      <c r="AM456" s="34"/>
    </row>
    <row r="457" spans="1:39" s="24" customFormat="1" x14ac:dyDescent="0.25">
      <c r="A457" s="34"/>
      <c r="AM457" s="34"/>
    </row>
    <row r="458" spans="1:39" s="24" customFormat="1" x14ac:dyDescent="0.25">
      <c r="A458" s="34"/>
      <c r="AM458" s="34"/>
    </row>
    <row r="459" spans="1:39" s="24" customFormat="1" x14ac:dyDescent="0.25">
      <c r="A459" s="34"/>
      <c r="AM459" s="34"/>
    </row>
    <row r="460" spans="1:39" s="24" customFormat="1" x14ac:dyDescent="0.25">
      <c r="A460" s="34"/>
      <c r="AM460" s="34"/>
    </row>
    <row r="461" spans="1:39" s="24" customFormat="1" x14ac:dyDescent="0.25">
      <c r="A461" s="34"/>
      <c r="AM461" s="34"/>
    </row>
    <row r="462" spans="1:39" s="24" customFormat="1" x14ac:dyDescent="0.25">
      <c r="A462" s="34"/>
      <c r="AM462" s="34"/>
    </row>
    <row r="463" spans="1:39" s="24" customFormat="1" x14ac:dyDescent="0.25">
      <c r="A463" s="34"/>
      <c r="AM463" s="34"/>
    </row>
    <row r="464" spans="1:39" s="24" customFormat="1" x14ac:dyDescent="0.25">
      <c r="A464" s="34"/>
      <c r="AM464" s="34"/>
    </row>
    <row r="465" spans="1:39" s="24" customFormat="1" x14ac:dyDescent="0.25">
      <c r="A465" s="34"/>
      <c r="AM465" s="34"/>
    </row>
    <row r="466" spans="1:39" s="24" customFormat="1" x14ac:dyDescent="0.25">
      <c r="A466" s="34"/>
      <c r="AM466" s="34"/>
    </row>
    <row r="467" spans="1:39" s="24" customFormat="1" x14ac:dyDescent="0.25">
      <c r="A467" s="34"/>
      <c r="AM467" s="34"/>
    </row>
    <row r="468" spans="1:39" s="24" customFormat="1" x14ac:dyDescent="0.25">
      <c r="A468" s="34"/>
      <c r="AM468" s="34"/>
    </row>
    <row r="469" spans="1:39" s="24" customFormat="1" x14ac:dyDescent="0.25">
      <c r="A469" s="34"/>
      <c r="AM469" s="34"/>
    </row>
    <row r="470" spans="1:39" s="24" customFormat="1" x14ac:dyDescent="0.25">
      <c r="A470" s="34"/>
      <c r="AM470" s="34"/>
    </row>
    <row r="471" spans="1:39" s="24" customFormat="1" x14ac:dyDescent="0.25">
      <c r="A471" s="34"/>
      <c r="AM471" s="34"/>
    </row>
    <row r="472" spans="1:39" s="24" customFormat="1" x14ac:dyDescent="0.25">
      <c r="A472" s="34"/>
      <c r="AM472" s="34"/>
    </row>
    <row r="473" spans="1:39" s="24" customFormat="1" x14ac:dyDescent="0.25">
      <c r="A473" s="34"/>
      <c r="AM473" s="34"/>
    </row>
    <row r="474" spans="1:39" s="24" customFormat="1" x14ac:dyDescent="0.25">
      <c r="A474" s="34"/>
      <c r="AM474" s="34"/>
    </row>
    <row r="475" spans="1:39" s="24" customFormat="1" x14ac:dyDescent="0.25">
      <c r="A475" s="34"/>
      <c r="AM475" s="34"/>
    </row>
    <row r="476" spans="1:39" s="24" customFormat="1" x14ac:dyDescent="0.25">
      <c r="A476" s="34"/>
      <c r="AM476" s="34"/>
    </row>
    <row r="477" spans="1:39" s="24" customFormat="1" x14ac:dyDescent="0.25">
      <c r="A477" s="34"/>
      <c r="AM477" s="34"/>
    </row>
    <row r="478" spans="1:39" s="24" customFormat="1" x14ac:dyDescent="0.25">
      <c r="A478" s="34"/>
      <c r="AM478" s="34"/>
    </row>
    <row r="479" spans="1:39" s="24" customFormat="1" x14ac:dyDescent="0.25">
      <c r="A479" s="34"/>
      <c r="AM479" s="34"/>
    </row>
    <row r="480" spans="1:39" s="24" customFormat="1" x14ac:dyDescent="0.25">
      <c r="A480" s="34"/>
      <c r="AM480" s="34"/>
    </row>
    <row r="481" spans="1:39" s="24" customFormat="1" x14ac:dyDescent="0.25">
      <c r="A481" s="34"/>
      <c r="AM481" s="34"/>
    </row>
    <row r="482" spans="1:39" s="24" customFormat="1" x14ac:dyDescent="0.25">
      <c r="A482" s="34"/>
      <c r="AM482" s="34"/>
    </row>
    <row r="483" spans="1:39" s="24" customFormat="1" x14ac:dyDescent="0.25">
      <c r="A483" s="34"/>
      <c r="AM483" s="34"/>
    </row>
    <row r="484" spans="1:39" s="24" customFormat="1" x14ac:dyDescent="0.25">
      <c r="A484" s="34"/>
      <c r="AM484" s="34"/>
    </row>
    <row r="485" spans="1:39" s="24" customFormat="1" x14ac:dyDescent="0.25">
      <c r="A485" s="34"/>
      <c r="AM485" s="34"/>
    </row>
    <row r="486" spans="1:39" s="24" customFormat="1" x14ac:dyDescent="0.25">
      <c r="A486" s="34"/>
      <c r="AM486" s="34"/>
    </row>
    <row r="487" spans="1:39" s="24" customFormat="1" x14ac:dyDescent="0.25">
      <c r="A487" s="34"/>
      <c r="AM487" s="34"/>
    </row>
    <row r="488" spans="1:39" s="24" customFormat="1" x14ac:dyDescent="0.25">
      <c r="A488" s="34"/>
      <c r="AM488" s="34"/>
    </row>
    <row r="489" spans="1:39" s="24" customFormat="1" x14ac:dyDescent="0.25">
      <c r="A489" s="34"/>
      <c r="AM489" s="34"/>
    </row>
    <row r="490" spans="1:39" s="24" customFormat="1" x14ac:dyDescent="0.25">
      <c r="A490" s="34"/>
      <c r="AM490" s="34"/>
    </row>
    <row r="491" spans="1:39" s="24" customFormat="1" x14ac:dyDescent="0.25">
      <c r="A491" s="34"/>
      <c r="AM491" s="34"/>
    </row>
    <row r="492" spans="1:39" s="24" customFormat="1" x14ac:dyDescent="0.25">
      <c r="A492" s="34"/>
      <c r="AM492" s="34"/>
    </row>
    <row r="493" spans="1:39" s="24" customFormat="1" x14ac:dyDescent="0.25">
      <c r="A493" s="34"/>
      <c r="AM493" s="34"/>
    </row>
    <row r="494" spans="1:39" s="24" customFormat="1" x14ac:dyDescent="0.25">
      <c r="A494" s="34"/>
      <c r="AM494" s="34"/>
    </row>
    <row r="495" spans="1:39" s="24" customFormat="1" x14ac:dyDescent="0.25">
      <c r="A495" s="34"/>
      <c r="AM495" s="34"/>
    </row>
    <row r="496" spans="1:39" s="24" customFormat="1" x14ac:dyDescent="0.25">
      <c r="A496" s="34"/>
      <c r="AM496" s="34"/>
    </row>
    <row r="497" spans="1:39" s="24" customFormat="1" x14ac:dyDescent="0.25">
      <c r="A497" s="34"/>
      <c r="AM497" s="34"/>
    </row>
    <row r="498" spans="1:39" s="24" customFormat="1" x14ac:dyDescent="0.25">
      <c r="A498" s="34"/>
      <c r="AM498" s="34"/>
    </row>
    <row r="499" spans="1:39" s="24" customFormat="1" x14ac:dyDescent="0.25">
      <c r="A499" s="34"/>
      <c r="AM499" s="34"/>
    </row>
    <row r="500" spans="1:39" s="24" customFormat="1" x14ac:dyDescent="0.25">
      <c r="A500" s="34"/>
      <c r="AM500" s="34"/>
    </row>
    <row r="501" spans="1:39" s="24" customFormat="1" x14ac:dyDescent="0.25">
      <c r="A501" s="34"/>
      <c r="AM501" s="34"/>
    </row>
    <row r="502" spans="1:39" s="24" customFormat="1" x14ac:dyDescent="0.25">
      <c r="A502" s="34"/>
      <c r="AM502" s="34"/>
    </row>
    <row r="503" spans="1:39" s="24" customFormat="1" x14ac:dyDescent="0.25">
      <c r="A503" s="34"/>
      <c r="AM503" s="34"/>
    </row>
    <row r="504" spans="1:39" s="24" customFormat="1" x14ac:dyDescent="0.25">
      <c r="A504" s="34"/>
      <c r="AM504" s="34"/>
    </row>
    <row r="505" spans="1:39" s="24" customFormat="1" x14ac:dyDescent="0.25">
      <c r="A505" s="34"/>
      <c r="AM505" s="34"/>
    </row>
    <row r="506" spans="1:39" s="24" customFormat="1" x14ac:dyDescent="0.25">
      <c r="A506" s="34"/>
      <c r="AM506" s="34"/>
    </row>
    <row r="507" spans="1:39" s="24" customFormat="1" x14ac:dyDescent="0.25">
      <c r="A507" s="34"/>
      <c r="AM507" s="34"/>
    </row>
    <row r="508" spans="1:39" s="24" customFormat="1" x14ac:dyDescent="0.25">
      <c r="A508" s="34"/>
      <c r="AM508" s="34"/>
    </row>
    <row r="509" spans="1:39" s="24" customFormat="1" x14ac:dyDescent="0.25">
      <c r="A509" s="34"/>
      <c r="AM509" s="34"/>
    </row>
    <row r="510" spans="1:39" s="24" customFormat="1" x14ac:dyDescent="0.25">
      <c r="A510" s="34"/>
      <c r="AM510" s="34"/>
    </row>
    <row r="511" spans="1:39" s="24" customFormat="1" x14ac:dyDescent="0.25">
      <c r="A511" s="34"/>
      <c r="AM511" s="34"/>
    </row>
    <row r="512" spans="1:39" s="24" customFormat="1" x14ac:dyDescent="0.25">
      <c r="A512" s="34"/>
      <c r="AM512" s="34"/>
    </row>
    <row r="513" spans="1:39" s="24" customFormat="1" x14ac:dyDescent="0.25">
      <c r="A513" s="34"/>
      <c r="AM513" s="34"/>
    </row>
    <row r="514" spans="1:39" s="24" customFormat="1" x14ac:dyDescent="0.25">
      <c r="A514" s="34"/>
      <c r="AM514" s="34"/>
    </row>
    <row r="515" spans="1:39" s="24" customFormat="1" x14ac:dyDescent="0.25">
      <c r="A515" s="34"/>
      <c r="AM515" s="34"/>
    </row>
    <row r="516" spans="1:39" s="24" customFormat="1" x14ac:dyDescent="0.25">
      <c r="A516" s="34"/>
      <c r="AM516" s="34"/>
    </row>
    <row r="517" spans="1:39" s="24" customFormat="1" x14ac:dyDescent="0.25">
      <c r="A517" s="34"/>
      <c r="AM517" s="34"/>
    </row>
    <row r="518" spans="1:39" s="24" customFormat="1" x14ac:dyDescent="0.25">
      <c r="A518" s="34"/>
      <c r="AM518" s="34"/>
    </row>
    <row r="519" spans="1:39" s="24" customFormat="1" x14ac:dyDescent="0.25">
      <c r="A519" s="34"/>
      <c r="AM519" s="34"/>
    </row>
    <row r="520" spans="1:39" s="24" customFormat="1" x14ac:dyDescent="0.25">
      <c r="A520" s="34"/>
      <c r="AM520" s="34"/>
    </row>
    <row r="521" spans="1:39" s="24" customFormat="1" x14ac:dyDescent="0.25">
      <c r="A521" s="34"/>
      <c r="AM521" s="34"/>
    </row>
    <row r="522" spans="1:39" s="24" customFormat="1" x14ac:dyDescent="0.25">
      <c r="A522" s="34"/>
      <c r="AM522" s="34"/>
    </row>
    <row r="523" spans="1:39" s="24" customFormat="1" x14ac:dyDescent="0.25">
      <c r="A523" s="34"/>
      <c r="AM523" s="34"/>
    </row>
    <row r="524" spans="1:39" s="24" customFormat="1" x14ac:dyDescent="0.25">
      <c r="A524" s="34"/>
      <c r="AM524" s="34"/>
    </row>
    <row r="525" spans="1:39" s="24" customFormat="1" x14ac:dyDescent="0.25">
      <c r="A525" s="34"/>
      <c r="AM525" s="34"/>
    </row>
    <row r="526" spans="1:39" s="24" customFormat="1" x14ac:dyDescent="0.25">
      <c r="A526" s="34"/>
      <c r="AM526" s="34"/>
    </row>
    <row r="527" spans="1:39" s="24" customFormat="1" x14ac:dyDescent="0.25">
      <c r="A527" s="34"/>
      <c r="AM527" s="34"/>
    </row>
    <row r="528" spans="1:39" s="24" customFormat="1" x14ac:dyDescent="0.25">
      <c r="A528" s="34"/>
      <c r="AM528" s="34"/>
    </row>
    <row r="529" spans="1:39" s="24" customFormat="1" x14ac:dyDescent="0.25">
      <c r="A529" s="34"/>
      <c r="AM529" s="34"/>
    </row>
    <row r="530" spans="1:39" s="24" customFormat="1" x14ac:dyDescent="0.25">
      <c r="A530" s="34"/>
      <c r="AM530" s="34"/>
    </row>
    <row r="531" spans="1:39" s="24" customFormat="1" x14ac:dyDescent="0.25">
      <c r="A531" s="34"/>
      <c r="AM531" s="34"/>
    </row>
    <row r="532" spans="1:39" s="24" customFormat="1" x14ac:dyDescent="0.25">
      <c r="A532" s="34"/>
      <c r="AM532" s="34"/>
    </row>
    <row r="533" spans="1:39" s="24" customFormat="1" x14ac:dyDescent="0.25">
      <c r="A533" s="34"/>
      <c r="AM533" s="34"/>
    </row>
    <row r="534" spans="1:39" s="24" customFormat="1" x14ac:dyDescent="0.25">
      <c r="A534" s="34"/>
      <c r="AM534" s="34"/>
    </row>
    <row r="535" spans="1:39" s="24" customFormat="1" x14ac:dyDescent="0.25">
      <c r="A535" s="34"/>
      <c r="AM535" s="34"/>
    </row>
    <row r="536" spans="1:39" s="24" customFormat="1" x14ac:dyDescent="0.25">
      <c r="A536" s="34"/>
      <c r="AM536" s="34"/>
    </row>
    <row r="537" spans="1:39" s="24" customFormat="1" x14ac:dyDescent="0.25">
      <c r="A537" s="34"/>
      <c r="AM537" s="34"/>
    </row>
    <row r="538" spans="1:39" s="24" customFormat="1" x14ac:dyDescent="0.25">
      <c r="A538" s="34"/>
      <c r="AM538" s="34"/>
    </row>
    <row r="539" spans="1:39" s="24" customFormat="1" x14ac:dyDescent="0.25">
      <c r="A539" s="34"/>
      <c r="AM539" s="34"/>
    </row>
    <row r="540" spans="1:39" s="24" customFormat="1" x14ac:dyDescent="0.25">
      <c r="A540" s="34"/>
      <c r="AM540" s="34"/>
    </row>
    <row r="541" spans="1:39" s="24" customFormat="1" x14ac:dyDescent="0.25">
      <c r="A541" s="34"/>
      <c r="AM541" s="34"/>
    </row>
    <row r="542" spans="1:39" s="24" customFormat="1" x14ac:dyDescent="0.25">
      <c r="A542" s="34"/>
      <c r="AM542" s="34"/>
    </row>
    <row r="543" spans="1:39" s="24" customFormat="1" x14ac:dyDescent="0.25">
      <c r="A543" s="34"/>
      <c r="AM543" s="34"/>
    </row>
    <row r="544" spans="1:39" s="24" customFormat="1" x14ac:dyDescent="0.25">
      <c r="A544" s="34"/>
      <c r="AM544" s="34"/>
    </row>
    <row r="545" spans="1:39" s="24" customFormat="1" x14ac:dyDescent="0.25">
      <c r="A545" s="34"/>
      <c r="AM545" s="34"/>
    </row>
    <row r="546" spans="1:39" s="24" customFormat="1" x14ac:dyDescent="0.25">
      <c r="A546" s="34"/>
      <c r="AM546" s="34"/>
    </row>
    <row r="547" spans="1:39" s="24" customFormat="1" x14ac:dyDescent="0.25">
      <c r="A547" s="34"/>
      <c r="AM547" s="34"/>
    </row>
    <row r="548" spans="1:39" s="24" customFormat="1" x14ac:dyDescent="0.25">
      <c r="A548" s="34"/>
      <c r="AM548" s="34"/>
    </row>
    <row r="549" spans="1:39" s="24" customFormat="1" x14ac:dyDescent="0.25">
      <c r="A549" s="34"/>
      <c r="AM549" s="34"/>
    </row>
    <row r="550" spans="1:39" s="24" customFormat="1" x14ac:dyDescent="0.25">
      <c r="A550" s="34"/>
      <c r="AM550" s="34"/>
    </row>
    <row r="551" spans="1:39" s="24" customFormat="1" x14ac:dyDescent="0.25">
      <c r="A551" s="34"/>
      <c r="AM551" s="34"/>
    </row>
    <row r="552" spans="1:39" s="24" customFormat="1" x14ac:dyDescent="0.25">
      <c r="A552" s="34"/>
      <c r="AM552" s="34"/>
    </row>
    <row r="553" spans="1:39" s="24" customFormat="1" x14ac:dyDescent="0.25">
      <c r="A553" s="34"/>
      <c r="AM553" s="34"/>
    </row>
    <row r="554" spans="1:39" s="24" customFormat="1" x14ac:dyDescent="0.25">
      <c r="A554" s="34"/>
      <c r="AM554" s="34"/>
    </row>
    <row r="555" spans="1:39" s="24" customFormat="1" x14ac:dyDescent="0.25">
      <c r="A555" s="34"/>
      <c r="AM555" s="34"/>
    </row>
    <row r="556" spans="1:39" s="24" customFormat="1" x14ac:dyDescent="0.25">
      <c r="A556" s="34"/>
      <c r="AM556" s="34"/>
    </row>
    <row r="557" spans="1:39" s="24" customFormat="1" x14ac:dyDescent="0.25">
      <c r="A557" s="34"/>
      <c r="AM557" s="34"/>
    </row>
    <row r="558" spans="1:39" s="24" customFormat="1" x14ac:dyDescent="0.25">
      <c r="A558" s="34"/>
      <c r="AM558" s="34"/>
    </row>
    <row r="559" spans="1:39" s="24" customFormat="1" x14ac:dyDescent="0.25">
      <c r="A559" s="34"/>
      <c r="AM559" s="34"/>
    </row>
    <row r="560" spans="1:39" s="24" customFormat="1" x14ac:dyDescent="0.25">
      <c r="A560" s="34"/>
      <c r="AM560" s="34"/>
    </row>
    <row r="561" spans="1:39" s="24" customFormat="1" x14ac:dyDescent="0.25">
      <c r="A561" s="34"/>
      <c r="AM561" s="34"/>
    </row>
  </sheetData>
  <dataConsolidate/>
  <mergeCells count="57">
    <mergeCell ref="L21:N21"/>
    <mergeCell ref="H44:I44"/>
    <mergeCell ref="H46:I46"/>
    <mergeCell ref="H32:I32"/>
    <mergeCell ref="H34:I34"/>
    <mergeCell ref="H40:I40"/>
    <mergeCell ref="H26:H27"/>
    <mergeCell ref="I26:I27"/>
    <mergeCell ref="H38:I38"/>
    <mergeCell ref="H36:I36"/>
    <mergeCell ref="H22:H23"/>
    <mergeCell ref="I22:I23"/>
    <mergeCell ref="C16:E17"/>
    <mergeCell ref="C18:E19"/>
    <mergeCell ref="C20:E21"/>
    <mergeCell ref="C22:E23"/>
    <mergeCell ref="H42:I42"/>
    <mergeCell ref="F26:F27"/>
    <mergeCell ref="G26:G27"/>
    <mergeCell ref="F18:F19"/>
    <mergeCell ref="F24:F25"/>
    <mergeCell ref="G24:G25"/>
    <mergeCell ref="H24:H25"/>
    <mergeCell ref="I24:I25"/>
    <mergeCell ref="H20:H21"/>
    <mergeCell ref="I20:I21"/>
    <mergeCell ref="F22:F23"/>
    <mergeCell ref="G22:G23"/>
    <mergeCell ref="C3:I3"/>
    <mergeCell ref="C10:I10"/>
    <mergeCell ref="C30:I30"/>
    <mergeCell ref="L3:N3"/>
    <mergeCell ref="AB3:AK3"/>
    <mergeCell ref="Q3:Z3"/>
    <mergeCell ref="AB25:AK25"/>
    <mergeCell ref="Q25:Z25"/>
    <mergeCell ref="C24:E25"/>
    <mergeCell ref="F12:F13"/>
    <mergeCell ref="G12:G13"/>
    <mergeCell ref="C12:E13"/>
    <mergeCell ref="C26:E27"/>
    <mergeCell ref="H12:H13"/>
    <mergeCell ref="I12:I13"/>
    <mergeCell ref="C14:E15"/>
    <mergeCell ref="I14:I15"/>
    <mergeCell ref="F16:F17"/>
    <mergeCell ref="G16:G17"/>
    <mergeCell ref="H16:H17"/>
    <mergeCell ref="I16:I17"/>
    <mergeCell ref="F14:F15"/>
    <mergeCell ref="G14:G15"/>
    <mergeCell ref="H14:H15"/>
    <mergeCell ref="F20:F21"/>
    <mergeCell ref="G20:G21"/>
    <mergeCell ref="I18:I19"/>
    <mergeCell ref="G18:G19"/>
    <mergeCell ref="H18:H19"/>
  </mergeCells>
  <pageMargins left="0.7" right="0.7" top="0.75" bottom="0.75" header="0.3" footer="0.3"/>
  <pageSetup paperSize="9" scale="22" orientation="portrait" horizontalDpi="200" verticalDpi="200" r:id="rId1"/>
  <rowBreaks count="1" manualBreakCount="1">
    <brk id="391" max="16383" man="1"/>
  </rowBreaks>
  <colBreaks count="1" manualBreakCount="1">
    <brk id="3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lear_Input.Clear_Input">
                <anchor moveWithCells="1" sizeWithCells="1">
                  <from>
                    <xdr:col>11</xdr:col>
                    <xdr:colOff>76200</xdr:colOff>
                    <xdr:row>4</xdr:row>
                    <xdr:rowOff>190500</xdr:rowOff>
                  </from>
                  <to>
                    <xdr:col>13</xdr:col>
                    <xdr:colOff>561975</xdr:colOff>
                    <xdr:row>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Generate_Graphs.Generate_Graphs">
                <anchor moveWithCells="1" sizeWithCells="1">
                  <from>
                    <xdr:col>11</xdr:col>
                    <xdr:colOff>76200</xdr:colOff>
                    <xdr:row>10</xdr:row>
                    <xdr:rowOff>190500</xdr:rowOff>
                  </from>
                  <to>
                    <xdr:col>13</xdr:col>
                    <xdr:colOff>561975</xdr:colOff>
                    <xdr:row>15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Exporting_Results">
                <anchor moveWithCells="1" sizeWithCells="1">
                  <from>
                    <xdr:col>11</xdr:col>
                    <xdr:colOff>76200</xdr:colOff>
                    <xdr:row>23</xdr:row>
                    <xdr:rowOff>171450</xdr:rowOff>
                  </from>
                  <to>
                    <xdr:col>13</xdr:col>
                    <xdr:colOff>561975</xdr:colOff>
                    <xdr:row>28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Call_TypeCurveGen">
                <anchor moveWithCells="1" sizeWithCells="1">
                  <from>
                    <xdr:col>11</xdr:col>
                    <xdr:colOff>76200</xdr:colOff>
                    <xdr:row>40</xdr:row>
                    <xdr:rowOff>38100</xdr:rowOff>
                  </from>
                  <to>
                    <xdr:col>13</xdr:col>
                    <xdr:colOff>561975</xdr:colOff>
                    <xdr:row>44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Export_EconBasis.Export_EconBasis">
                <anchor moveWithCells="1" sizeWithCells="1">
                  <from>
                    <xdr:col>11</xdr:col>
                    <xdr:colOff>76200</xdr:colOff>
                    <xdr:row>31</xdr:row>
                    <xdr:rowOff>171450</xdr:rowOff>
                  </from>
                  <to>
                    <xdr:col>13</xdr:col>
                    <xdr:colOff>561975</xdr:colOff>
                    <xdr:row>35</xdr:row>
                    <xdr:rowOff>219075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Production_Forecast!$S$13:$S$112</xm:f>
          </x14:formula1>
          <xm:sqref>H41</xm:sqref>
        </x14:dataValidation>
        <x14:dataValidation type="list" allowBlank="1" showInputMessage="1" showErrorMessage="1" xr:uid="{00000000-0002-0000-0000-000001000000}">
          <x14:formula1>
            <xm:f>Production_Forecast!$T$13:$T$112</xm:f>
          </x14:formula1>
          <xm:sqref>H39</xm:sqref>
        </x14:dataValidation>
        <x14:dataValidation type="list" allowBlank="1" showInputMessage="1" showErrorMessage="1" xr:uid="{00000000-0002-0000-0000-000002000000}">
          <x14:formula1>
            <xm:f>Production_Forecast!$S$13:$S$1012</xm:f>
          </x14:formula1>
          <xm:sqref>H40:I40</xm:sqref>
        </x14:dataValidation>
        <x14:dataValidation type="list" allowBlank="1" showInputMessage="1" showErrorMessage="1" xr:uid="{00000000-0002-0000-0000-000003000000}">
          <x14:formula1>
            <xm:f>Production_Forecast!$T$13:$T$1012</xm:f>
          </x14:formula1>
          <xm:sqref>H38:I38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W1092"/>
  <sheetViews>
    <sheetView tabSelected="1" workbookViewId="0">
      <pane xSplit="1" ySplit="11" topLeftCell="B12" activePane="bottomRight" state="frozen"/>
      <selection pane="topRight" activeCell="B1" sqref="B1"/>
      <selection pane="bottomLeft" activeCell="A12" sqref="A12"/>
      <selection pane="bottomRight" activeCell="F3" sqref="F3"/>
    </sheetView>
  </sheetViews>
  <sheetFormatPr defaultRowHeight="15" x14ac:dyDescent="0.25"/>
  <cols>
    <col min="1" max="1" width="21.140625" bestFit="1" customWidth="1"/>
    <col min="2" max="3" width="9.140625" style="5"/>
    <col min="4" max="4" width="11.28515625" style="5" customWidth="1"/>
    <col min="5" max="5" width="9.140625" style="5"/>
    <col min="7" max="9" width="9.140625" style="5"/>
    <col min="10" max="10" width="9.5703125" bestFit="1" customWidth="1"/>
    <col min="11" max="11" width="10.28515625" bestFit="1" customWidth="1"/>
    <col min="17" max="17" width="9.5703125" bestFit="1" customWidth="1"/>
    <col min="19" max="19" width="19.42578125" bestFit="1" customWidth="1"/>
  </cols>
  <sheetData>
    <row r="1" spans="1:23" x14ac:dyDescent="0.25">
      <c r="A1" t="s">
        <v>38</v>
      </c>
      <c r="B1" s="5" t="s">
        <v>27</v>
      </c>
      <c r="C1" s="5" t="s">
        <v>6</v>
      </c>
      <c r="D1" s="5" t="s">
        <v>7</v>
      </c>
      <c r="E1" s="5" t="s">
        <v>9</v>
      </c>
    </row>
    <row r="2" spans="1:23" x14ac:dyDescent="0.25">
      <c r="A2" t="s">
        <v>21</v>
      </c>
      <c r="B2" s="35">
        <f>Dashboard_ProdForecast!F14</f>
        <v>1.70842</v>
      </c>
      <c r="C2" s="35">
        <f>Dashboard_ProdForecast!G14</f>
        <v>95.122929999999997</v>
      </c>
      <c r="D2" s="35">
        <f>Dashboard_ProdForecast!H14</f>
        <v>91.53013</v>
      </c>
      <c r="E2" s="35">
        <f>Dashboard_ProdForecast!I14</f>
        <v>0</v>
      </c>
      <c r="G2" s="5" t="s">
        <v>1</v>
      </c>
      <c r="H2" s="5">
        <f>Dashboard_ProdForecast!H32</f>
        <v>10</v>
      </c>
      <c r="I2" s="5" t="s">
        <v>0</v>
      </c>
    </row>
    <row r="3" spans="1:23" x14ac:dyDescent="0.25">
      <c r="A3" t="s">
        <v>22</v>
      </c>
      <c r="B3" s="35">
        <f>IF(B2=0,B6,Dashboard_ProdForecast!F16)</f>
        <v>2.96</v>
      </c>
      <c r="C3" s="35">
        <f>Dashboard_ProdForecast!G16</f>
        <v>1.46346</v>
      </c>
      <c r="D3" s="35">
        <f>Dashboard_ProdForecast!H16</f>
        <v>0.37633</v>
      </c>
      <c r="E3" s="35">
        <f>Dashboard_ProdForecast!I16</f>
        <v>0</v>
      </c>
      <c r="G3" s="5" t="s">
        <v>2</v>
      </c>
      <c r="H3" s="5">
        <f>Dashboard_ProdForecast!H34</f>
        <v>3000</v>
      </c>
      <c r="I3" s="5" t="s">
        <v>3</v>
      </c>
    </row>
    <row r="4" spans="1:23" x14ac:dyDescent="0.25">
      <c r="A4" t="s">
        <v>23</v>
      </c>
      <c r="B4" s="35">
        <f>Dashboard_ProdForecast!F18</f>
        <v>1.22</v>
      </c>
      <c r="C4" s="35">
        <f>Dashboard_ProdForecast!G18</f>
        <v>4.4600000000000004E-3</v>
      </c>
      <c r="D4" s="35">
        <f>Dashboard_ProdForecast!H18</f>
        <v>6.0519999999999997E-2</v>
      </c>
      <c r="E4" s="35">
        <f>Dashboard_ProdForecast!I18</f>
        <v>0</v>
      </c>
      <c r="G4" s="5" t="s">
        <v>29</v>
      </c>
      <c r="H4" s="5">
        <f>Dashboard_ProdForecast!H36</f>
        <v>500</v>
      </c>
      <c r="I4" s="5" t="s">
        <v>20</v>
      </c>
      <c r="K4" s="10" t="s">
        <v>8</v>
      </c>
      <c r="L4" s="1">
        <f>IF(Dashboard_ProdForecast!H42&lt;=0,100*$H$4,Dashboard_ProdForecast!H42)</f>
        <v>50000</v>
      </c>
      <c r="M4" s="10" t="s">
        <v>20</v>
      </c>
    </row>
    <row r="5" spans="1:23" x14ac:dyDescent="0.25">
      <c r="A5" t="s">
        <v>37</v>
      </c>
      <c r="B5" s="35">
        <f>Dashboard_ProdForecast!F20</f>
        <v>60.068539999999999</v>
      </c>
      <c r="C5" s="35">
        <f>Dashboard_ProdForecast!G20</f>
        <v>100</v>
      </c>
      <c r="D5" s="35">
        <f>Dashboard_ProdForecast!H20</f>
        <v>100</v>
      </c>
      <c r="E5" s="35">
        <f>Dashboard_ProdForecast!I20</f>
        <v>100</v>
      </c>
      <c r="G5" s="6" t="s">
        <v>42</v>
      </c>
      <c r="H5" s="7">
        <f>IF(Dashboard_ProdForecast!H40&lt;=0,Dashboard_ProdForecast!H38,VLOOKUP(Dashboard_ProdForecast!H40,Production_Forecast!S12:T1012,2,FALSE))</f>
        <v>369.39341382212456</v>
      </c>
      <c r="I5" s="6" t="s">
        <v>15</v>
      </c>
      <c r="K5" s="10" t="s">
        <v>7</v>
      </c>
      <c r="L5" s="1">
        <f>IF(Dashboard_ProdForecast!H44&lt;=0,100,Dashboard_ProdForecast!H44)</f>
        <v>100</v>
      </c>
      <c r="M5" s="10" t="s">
        <v>4</v>
      </c>
    </row>
    <row r="6" spans="1:23" x14ac:dyDescent="0.25">
      <c r="A6" t="s">
        <v>24</v>
      </c>
      <c r="B6" s="35">
        <f>Dashboard_ProdForecast!F22</f>
        <v>23.68</v>
      </c>
      <c r="C6" s="35">
        <f>Dashboard_ProdForecast!G22</f>
        <v>2.2373699999999999</v>
      </c>
      <c r="D6" s="35">
        <f>Dashboard_ProdForecast!H22</f>
        <v>95.761589999999998</v>
      </c>
      <c r="E6" s="35">
        <f>Dashboard_ProdForecast!I22</f>
        <v>1</v>
      </c>
      <c r="G6" s="5" t="s">
        <v>44</v>
      </c>
      <c r="H6" s="7">
        <f>VLOOKUP(H5,V12:W1012,2,FALSE)</f>
        <v>3000</v>
      </c>
      <c r="I6" s="5" t="s">
        <v>3</v>
      </c>
      <c r="K6" s="10" t="s">
        <v>49</v>
      </c>
      <c r="L6" s="10">
        <f>IF(Dashboard_ProdForecast!H46&lt;=0,100,100-Dashboard_ProdForecast!H46)</f>
        <v>100</v>
      </c>
      <c r="M6" s="10" t="s">
        <v>4</v>
      </c>
    </row>
    <row r="7" spans="1:23" x14ac:dyDescent="0.25">
      <c r="A7" t="s">
        <v>28</v>
      </c>
      <c r="B7" s="35">
        <f>B5</f>
        <v>60.068539999999999</v>
      </c>
      <c r="C7" s="35">
        <v>0</v>
      </c>
      <c r="D7" s="35">
        <v>0</v>
      </c>
      <c r="E7" s="35">
        <f t="shared" ref="E7" si="0">E5</f>
        <v>100</v>
      </c>
      <c r="T7" s="4">
        <f>VLOOKUP(H6,S12:T112,2,FALSE)</f>
        <v>916.18414829308051</v>
      </c>
    </row>
    <row r="8" spans="1:23" x14ac:dyDescent="0.25">
      <c r="A8" t="s">
        <v>25</v>
      </c>
      <c r="B8" s="35">
        <f>Dashboard_ProdForecast!F24</f>
        <v>2134.1722100000002</v>
      </c>
      <c r="C8" s="35">
        <f>Dashboard_ProdForecast!G24</f>
        <v>1</v>
      </c>
      <c r="D8" s="35">
        <f>Dashboard_ProdForecast!H24</f>
        <v>0</v>
      </c>
      <c r="E8" s="35">
        <f>Dashboard_ProdForecast!I24</f>
        <v>1</v>
      </c>
      <c r="M8" t="str">
        <f>"=IF(C12*$H$4&gt;=Dashboard_ProdForecast!$G$27,C12*$H$4,Dashboard_ProdForecast!$G$27)"</f>
        <v>=IF(C12*$H$4&gt;=Dashboard_ProdForecast!$G$27,C12*$H$4,Dashboard_ProdForecast!$G$27)</v>
      </c>
    </row>
    <row r="9" spans="1:23" x14ac:dyDescent="0.25">
      <c r="A9" t="s">
        <v>26</v>
      </c>
      <c r="B9" s="35">
        <f>Dashboard_ProdForecast!F26</f>
        <v>-7.3669999999999999E-2</v>
      </c>
      <c r="C9" s="35">
        <f>Dashboard_ProdForecast!G26</f>
        <v>-0.01</v>
      </c>
      <c r="D9" s="35">
        <f>Dashboard_ProdForecast!H26</f>
        <v>0</v>
      </c>
      <c r="E9" s="35">
        <f>Dashboard_ProdForecast!I26</f>
        <v>-0.01</v>
      </c>
      <c r="S9" t="s">
        <v>45</v>
      </c>
    </row>
    <row r="10" spans="1:23" x14ac:dyDescent="0.25">
      <c r="G10" s="5" t="s">
        <v>13</v>
      </c>
      <c r="H10" s="5" t="s">
        <v>18</v>
      </c>
      <c r="I10" s="5" t="s">
        <v>30</v>
      </c>
      <c r="J10" s="5" t="s">
        <v>31</v>
      </c>
      <c r="K10" s="5" t="s">
        <v>32</v>
      </c>
      <c r="L10" s="5" t="s">
        <v>14</v>
      </c>
      <c r="M10" s="5" t="s">
        <v>8</v>
      </c>
      <c r="N10" s="5" t="s">
        <v>7</v>
      </c>
      <c r="O10" s="5" t="s">
        <v>34</v>
      </c>
      <c r="P10" s="10" t="s">
        <v>51</v>
      </c>
      <c r="Q10" s="10" t="s">
        <v>52</v>
      </c>
      <c r="S10" s="8" t="s">
        <v>34</v>
      </c>
      <c r="T10" s="8" t="s">
        <v>14</v>
      </c>
      <c r="V10" s="9" t="s">
        <v>14</v>
      </c>
      <c r="W10" s="9" t="s">
        <v>34</v>
      </c>
    </row>
    <row r="11" spans="1:23" x14ac:dyDescent="0.25">
      <c r="A11" s="5" t="s">
        <v>5</v>
      </c>
      <c r="B11" s="5" t="s">
        <v>27</v>
      </c>
      <c r="C11" s="5" t="s">
        <v>6</v>
      </c>
      <c r="D11" s="5" t="s">
        <v>7</v>
      </c>
      <c r="E11" s="5" t="s">
        <v>9</v>
      </c>
      <c r="G11" s="5" t="s">
        <v>16</v>
      </c>
      <c r="H11" s="5" t="s">
        <v>17</v>
      </c>
      <c r="I11" s="5" t="s">
        <v>17</v>
      </c>
      <c r="J11" s="5" t="s">
        <v>19</v>
      </c>
      <c r="K11" s="5" t="s">
        <v>33</v>
      </c>
      <c r="L11" s="5" t="s">
        <v>15</v>
      </c>
      <c r="M11" s="5" t="s">
        <v>20</v>
      </c>
      <c r="N11" s="5" t="s">
        <v>4</v>
      </c>
      <c r="O11" s="5" t="s">
        <v>3</v>
      </c>
      <c r="P11" s="10" t="s">
        <v>53</v>
      </c>
      <c r="Q11" s="10" t="s">
        <v>15</v>
      </c>
      <c r="S11" s="8" t="s">
        <v>3</v>
      </c>
      <c r="T11" s="8" t="s">
        <v>15</v>
      </c>
      <c r="V11" s="9" t="s">
        <v>15</v>
      </c>
      <c r="W11" s="9" t="s">
        <v>3</v>
      </c>
    </row>
    <row r="12" spans="1:23" x14ac:dyDescent="0.25">
      <c r="A12" s="2">
        <v>0</v>
      </c>
      <c r="B12" s="7">
        <f t="shared" ref="B12:B43" si="1">IF(A12&lt;=$B$2,$B$3*EXP(A12*$B$4),IF(A12&lt;$B$7,$B$6,IF($B$8*EXP(A12*$B$9)&gt;$B$6,$B$6,$B$8*EXP(A12*$B$9))))</f>
        <v>2.96</v>
      </c>
      <c r="C12" s="7">
        <f>IF($C$5&lt;$C$7,IF(A12&lt;=$C$2,$C$3*EXP(A12*$C$4),IF(A12&lt;=$C$7,$C$6,IF($C$8*EXP(A12*$C$9)&gt;$C$6,$C$6,$C$8*EXP(A12*$C$9)))),IF(A12&lt;=$C$2,$C$3*EXP(A12*$C$4),IF(A12&lt;=$C$5,$C$6,IF($C$8*EXP(A12*$C$9)&gt;$C$6,$C$6,$C$8*EXP(A12*$C$9)))))</f>
        <v>1.46346</v>
      </c>
      <c r="D12" s="7">
        <f>IF(IF($D$5&lt;$D$7,IF(A12&lt;=$D$2,$D$3*EXP(A12*$D$4),IF(A12&lt;=$D$7,$D$6,IF($D$8*EXP(A12*$D$9)&gt;$D$6,$D$6,$D$8*EXP(A12*$D$9)))),IF(A12&lt;=$D$2,$D$3*EXP(A12*$D$4),IF(A12&lt;=$D$5,$D$6,IF($D$8*EXP(A12*$D$9)&gt;$D$6,$D$6,$D$8*EXP(A12*$D$9)))))&lt;=100,IF($D$5&lt;$D$7,IF(A12&lt;=$D$2,$D$3*EXP(A12*$D$4),IF(A12&lt;=$D$7,$D$6,IF($D$8*EXP(A12*$D$9)&gt;$D$6,$D$6,$D$8*EXP(A12*$D$9)))),IF(A12&lt;=$D$2,$D$3*EXP(A12*$D$4),IF(A12&lt;=$D$5,$D$6,IF($D$8*EXP(A12*$D$9)&gt;$D$6,$D$6,$D$8*EXP(A12*$D$9))))),100)</f>
        <v>0.37633</v>
      </c>
      <c r="E12" s="7">
        <f>IF($E$5&lt;$E$7,IF(A12&lt;=$E$2,$E$3*EXP(A12*$E$4),IF(A12&lt;=$E$7,$E$6,IF($E$8*EXP(A12*$E$9)&gt;$E$6,$E$6,$E$8*EXP(A12*$E$9)))),IF(A12&lt;=$E$2,$E$3*EXP(A12*$E$4),IF(A12&lt;=$E$5,$E$6,IF($E$8*EXP(A12*$E$9)&gt;$E$6,$E$6,$E$8*EXP(A12*$E$9)))))</f>
        <v>0</v>
      </c>
      <c r="G12" s="4">
        <f>A12/100*$H$2*1000</f>
        <v>0</v>
      </c>
      <c r="H12" s="1">
        <f>(G12)*1000/L12</f>
        <v>0</v>
      </c>
      <c r="I12" s="1">
        <f>H12</f>
        <v>0</v>
      </c>
      <c r="J12" s="1">
        <f>I12/30</f>
        <v>0</v>
      </c>
      <c r="K12" s="7">
        <f>I12/365</f>
        <v>0</v>
      </c>
      <c r="L12" s="4">
        <f>IF(A12&gt;$B$2,IF(AND(B12/100*$H$2/365*1000000&gt;=$H$5,O12&gt;=$H$6,M12&lt;=$L$4,N12&lt;=$L$5),B12/100*$H$2/365*1000000*$L$6/100,#N/A),B12/100*$H$2/365*1000000*$L$6/100)</f>
        <v>810.95890410958918</v>
      </c>
      <c r="M12" s="1">
        <f>C12*$H$4</f>
        <v>731.73</v>
      </c>
      <c r="N12" s="7">
        <f>D12</f>
        <v>0.37633</v>
      </c>
      <c r="O12" s="1">
        <f>H3</f>
        <v>3000</v>
      </c>
      <c r="P12" s="2">
        <f>L12*M12/1000000</f>
        <v>0.59340295890410966</v>
      </c>
      <c r="Q12" s="2">
        <f>IFERROR(N12/100*L12/(1-N12/100),L12*100)</f>
        <v>3.0634101753485057</v>
      </c>
      <c r="S12" s="1">
        <f t="shared" ref="S12:S43" si="2">E12*$H$3</f>
        <v>0</v>
      </c>
      <c r="T12" s="1">
        <f t="shared" ref="T12:T43" si="3">B12/100*$H$2/365*1000000</f>
        <v>810.95890410958918</v>
      </c>
      <c r="V12" s="1">
        <f>T12</f>
        <v>810.95890410958918</v>
      </c>
      <c r="W12" s="1">
        <f>S12</f>
        <v>0</v>
      </c>
    </row>
    <row r="13" spans="1:23" x14ac:dyDescent="0.25">
      <c r="A13" s="2">
        <f>A12+0.1</f>
        <v>0.1</v>
      </c>
      <c r="B13" s="7">
        <f t="shared" si="1"/>
        <v>3.3440721412697436</v>
      </c>
      <c r="C13" s="7">
        <f t="shared" ref="C13:C76" si="4">IF($C$5&lt;$C$7,IF(A13&lt;=$C$2,$C$3*EXP(A13*$C$4),IF(A13&lt;=$C$7,$C$6,IF($C$8*EXP(A13*$C$9)&gt;$C$6,$C$6,$C$8*EXP(A13*$C$9)))),IF(A13&lt;=$C$2,$C$3*EXP(A13*$C$4),IF(A13&lt;=$C$5,$C$6,IF($C$8*EXP(A13*$C$9)&gt;$C$6,$C$6,$C$8*EXP(A13*$C$9)))))</f>
        <v>1.4641128487344459</v>
      </c>
      <c r="D13" s="7">
        <f t="shared" ref="D13:D76" si="5">IF(IF($D$5&lt;$D$7,IF(A13&lt;=$D$2,$D$3*EXP(A13*$D$4),IF(A13&lt;=$D$7,$D$6,IF($D$8*EXP(A13*$D$9)&gt;$D$6,$D$6,$D$8*EXP(A13*$D$9)))),IF(A13&lt;=$D$2,$D$3*EXP(A13*$D$4),IF(A13&lt;=$D$5,$D$6,IF($D$8*EXP(A13*$D$9)&gt;$D$6,$D$6,$D$8*EXP(A13*$D$9)))))&lt;=100,IF($D$5&lt;$D$7,IF(A13&lt;=$D$2,$D$3*EXP(A13*$D$4),IF(A13&lt;=$D$7,$D$6,IF($D$8*EXP(A13*$D$9)&gt;$D$6,$D$6,$D$8*EXP(A13*$D$9)))),IF(A13&lt;=$D$2,$D$3*EXP(A13*$D$4),IF(A13&lt;=$D$5,$D$6,IF($D$8*EXP(A13*$D$9)&gt;$D$6,$D$6,$D$8*EXP(A13*$D$9))))),100)</f>
        <v>0.37861445494800561</v>
      </c>
      <c r="E13" s="7">
        <f t="shared" ref="E13:E76" si="6">IF($E$5&lt;$E$7,IF(A13&lt;=$E$2,$E$3*EXP(A13*$E$4),IF(A13&lt;=$E$7,$E$6,IF($E$8*EXP(A13*$E$9)&gt;$E$6,$E$6,$E$8*EXP(A13*$E$9)))),IF(A13&lt;=$E$2,$E$3*EXP(A13*$E$4),IF(A13&lt;=$E$5,$E$6,IF($E$8*EXP(A13*$E$9)&gt;$E$6,$E$6,$E$8*EXP(A13*$E$9)))))</f>
        <v>1</v>
      </c>
      <c r="G13" s="4">
        <f t="shared" ref="G13:G76" si="7">A13/100*$H$2*1000</f>
        <v>10</v>
      </c>
      <c r="H13" s="1">
        <f>(G13-G12)*1000/L13</f>
        <v>10.914836300792528</v>
      </c>
      <c r="I13" s="1">
        <f>H13+I12</f>
        <v>10.914836300792528</v>
      </c>
      <c r="J13" s="1">
        <f t="shared" ref="J13:J76" si="8">I13/30</f>
        <v>0.36382787669308425</v>
      </c>
      <c r="K13" s="7">
        <f t="shared" ref="K13:K76" si="9">I13/365</f>
        <v>2.990366109806172E-2</v>
      </c>
      <c r="L13" s="4">
        <f t="shared" ref="L13:L76" si="10">IF(A13&gt;$B$2,IF(AND(B13/100*$H$2/365*1000000&gt;=$H$5,O13&gt;=$H$6,M13&lt;=$L$4,N13&lt;=$L$5),B13/100*$H$2/365*1000000*$L$6/100,#N/A),B13/100*$H$2/365*1000000*$L$6/100)</f>
        <v>916.18414829308051</v>
      </c>
      <c r="M13" s="1">
        <f t="shared" ref="M13:M76" si="11">C13*$H$4</f>
        <v>732.05642436722292</v>
      </c>
      <c r="N13" s="7">
        <f t="shared" ref="N13:N76" si="12">D13</f>
        <v>0.37861445494800561</v>
      </c>
      <c r="O13" s="1">
        <f t="shared" ref="O13:O76" si="13">E13*$H$3</f>
        <v>3000</v>
      </c>
      <c r="P13" s="2">
        <f t="shared" ref="P13:P76" si="14">L13*M13/1000000</f>
        <v>0.67069849166136197</v>
      </c>
      <c r="Q13" s="2">
        <f t="shared" ref="Q12:Q75" si="15">IFERROR(N13/100*L13/(1-N13/100),L13*100)</f>
        <v>3.4819889327991413</v>
      </c>
      <c r="S13" s="1">
        <f t="shared" si="2"/>
        <v>3000</v>
      </c>
      <c r="T13" s="1">
        <f t="shared" si="3"/>
        <v>916.18414829308051</v>
      </c>
      <c r="V13" s="1">
        <f t="shared" ref="V13:V76" si="16">T13</f>
        <v>916.18414829308051</v>
      </c>
      <c r="W13" s="1">
        <f t="shared" ref="W13:W76" si="17">S13</f>
        <v>3000</v>
      </c>
    </row>
    <row r="14" spans="1:23" x14ac:dyDescent="0.25">
      <c r="A14" s="2">
        <f t="shared" ref="A14:A77" si="18">A13+0.1</f>
        <v>0.2</v>
      </c>
      <c r="B14" s="7">
        <f t="shared" si="1"/>
        <v>3.7779792182487855</v>
      </c>
      <c r="C14" s="7">
        <f t="shared" si="4"/>
        <v>1.464765988704368</v>
      </c>
      <c r="D14" s="7">
        <f t="shared" si="5"/>
        <v>0.38091277733790929</v>
      </c>
      <c r="E14" s="7">
        <f t="shared" si="6"/>
        <v>1</v>
      </c>
      <c r="G14" s="4">
        <f t="shared" si="7"/>
        <v>20</v>
      </c>
      <c r="H14" s="1">
        <f t="shared" ref="H14:H77" si="19">(G14-G13)*1000/L14</f>
        <v>9.661249544119757</v>
      </c>
      <c r="I14" s="1">
        <f t="shared" ref="I14:I77" si="20">H14+I13</f>
        <v>20.576085844912285</v>
      </c>
      <c r="J14" s="1">
        <f t="shared" si="8"/>
        <v>0.6858695281637428</v>
      </c>
      <c r="K14" s="7">
        <f t="shared" si="9"/>
        <v>5.6372837931266531E-2</v>
      </c>
      <c r="L14" s="4">
        <f t="shared" si="10"/>
        <v>1035.0627995202153</v>
      </c>
      <c r="M14" s="1">
        <f t="shared" si="11"/>
        <v>732.38299435218403</v>
      </c>
      <c r="N14" s="7">
        <f t="shared" si="12"/>
        <v>0.38091277733790929</v>
      </c>
      <c r="O14" s="1">
        <f t="shared" si="13"/>
        <v>3000</v>
      </c>
      <c r="P14" s="2">
        <f t="shared" si="14"/>
        <v>0.75806239245516971</v>
      </c>
      <c r="Q14" s="2">
        <f t="shared" si="15"/>
        <v>3.957762078296835</v>
      </c>
      <c r="S14" s="1">
        <f t="shared" si="2"/>
        <v>3000</v>
      </c>
      <c r="T14" s="1">
        <f t="shared" si="3"/>
        <v>1035.0627995202153</v>
      </c>
      <c r="V14" s="1">
        <f t="shared" si="16"/>
        <v>1035.0627995202153</v>
      </c>
      <c r="W14" s="1">
        <f t="shared" si="17"/>
        <v>3000</v>
      </c>
    </row>
    <row r="15" spans="1:23" x14ac:dyDescent="0.25">
      <c r="A15" s="2">
        <f t="shared" si="18"/>
        <v>0.30000000000000004</v>
      </c>
      <c r="B15" s="7">
        <f t="shared" si="1"/>
        <v>4.2681875182573679</v>
      </c>
      <c r="C15" s="7">
        <f t="shared" si="4"/>
        <v>1.4654194200396866</v>
      </c>
      <c r="D15" s="7">
        <f t="shared" si="5"/>
        <v>0.38322505134994173</v>
      </c>
      <c r="E15" s="7">
        <f t="shared" si="6"/>
        <v>1</v>
      </c>
      <c r="G15" s="4">
        <f t="shared" si="7"/>
        <v>30.000000000000007</v>
      </c>
      <c r="H15" s="1">
        <f t="shared" si="19"/>
        <v>8.5516392716743592</v>
      </c>
      <c r="I15" s="1">
        <f t="shared" si="20"/>
        <v>29.127725116586646</v>
      </c>
      <c r="J15" s="1">
        <f t="shared" si="8"/>
        <v>0.97092417055288815</v>
      </c>
      <c r="K15" s="7">
        <f t="shared" si="9"/>
        <v>7.9801986620785331E-2</v>
      </c>
      <c r="L15" s="4">
        <f t="shared" si="10"/>
        <v>1169.366443358183</v>
      </c>
      <c r="M15" s="1">
        <f t="shared" si="11"/>
        <v>732.70971001984333</v>
      </c>
      <c r="N15" s="7">
        <f t="shared" si="12"/>
        <v>0.38322505134994173</v>
      </c>
      <c r="O15" s="1">
        <f t="shared" si="13"/>
        <v>3000</v>
      </c>
      <c r="P15" s="2">
        <f t="shared" si="14"/>
        <v>0.85680614761990981</v>
      </c>
      <c r="Q15" s="2">
        <f t="shared" si="15"/>
        <v>4.4985447032775188</v>
      </c>
      <c r="S15" s="1">
        <f t="shared" si="2"/>
        <v>3000</v>
      </c>
      <c r="T15" s="1">
        <f t="shared" si="3"/>
        <v>1169.366443358183</v>
      </c>
      <c r="V15" s="1">
        <f t="shared" si="16"/>
        <v>1169.366443358183</v>
      </c>
      <c r="W15" s="1">
        <f t="shared" si="17"/>
        <v>3000</v>
      </c>
    </row>
    <row r="16" spans="1:23" x14ac:dyDescent="0.25">
      <c r="A16" s="2">
        <f t="shared" si="18"/>
        <v>0.4</v>
      </c>
      <c r="B16" s="7">
        <f t="shared" si="1"/>
        <v>4.8220023559188201</v>
      </c>
      <c r="C16" s="7">
        <f t="shared" si="4"/>
        <v>1.466073142870379</v>
      </c>
      <c r="D16" s="7">
        <f t="shared" si="5"/>
        <v>0.38555136167533721</v>
      </c>
      <c r="E16" s="7">
        <f t="shared" si="6"/>
        <v>1</v>
      </c>
      <c r="G16" s="4">
        <f t="shared" si="7"/>
        <v>40</v>
      </c>
      <c r="H16" s="1">
        <f t="shared" si="19"/>
        <v>7.5694695493455404</v>
      </c>
      <c r="I16" s="1">
        <f t="shared" si="20"/>
        <v>36.697194665932187</v>
      </c>
      <c r="J16" s="1">
        <f t="shared" si="8"/>
        <v>1.2232398221977396</v>
      </c>
      <c r="K16" s="7">
        <f t="shared" si="9"/>
        <v>0.10054025935871833</v>
      </c>
      <c r="L16" s="4">
        <f t="shared" si="10"/>
        <v>1321.0965358681701</v>
      </c>
      <c r="M16" s="1">
        <f t="shared" si="11"/>
        <v>733.03657143518956</v>
      </c>
      <c r="N16" s="7">
        <f t="shared" si="12"/>
        <v>0.38555136167533721</v>
      </c>
      <c r="O16" s="1">
        <f t="shared" si="13"/>
        <v>3000</v>
      </c>
      <c r="P16" s="2">
        <f t="shared" si="14"/>
        <v>0.96841207518770933</v>
      </c>
      <c r="Q16" s="2">
        <f t="shared" si="15"/>
        <v>5.1132197715400647</v>
      </c>
      <c r="S16" s="1">
        <f t="shared" si="2"/>
        <v>3000</v>
      </c>
      <c r="T16" s="1">
        <f t="shared" si="3"/>
        <v>1321.0965358681699</v>
      </c>
      <c r="V16" s="1">
        <f t="shared" si="16"/>
        <v>1321.0965358681699</v>
      </c>
      <c r="W16" s="1">
        <f t="shared" si="17"/>
        <v>3000</v>
      </c>
    </row>
    <row r="17" spans="1:23" x14ac:dyDescent="0.25">
      <c r="A17" s="2">
        <f t="shared" si="18"/>
        <v>0.5</v>
      </c>
      <c r="B17" s="7">
        <f t="shared" si="1"/>
        <v>5.4476769403936469</v>
      </c>
      <c r="C17" s="7">
        <f t="shared" si="4"/>
        <v>1.466727157326482</v>
      </c>
      <c r="D17" s="7">
        <f t="shared" si="5"/>
        <v>0.38789179351943559</v>
      </c>
      <c r="E17" s="7">
        <f t="shared" si="6"/>
        <v>1</v>
      </c>
      <c r="G17" s="4">
        <f t="shared" si="7"/>
        <v>50</v>
      </c>
      <c r="H17" s="1">
        <f t="shared" si="19"/>
        <v>6.7001036220335282</v>
      </c>
      <c r="I17" s="1">
        <f t="shared" si="20"/>
        <v>43.397298287965718</v>
      </c>
      <c r="J17" s="1">
        <f t="shared" si="8"/>
        <v>1.4465766095988573</v>
      </c>
      <c r="K17" s="7">
        <f t="shared" si="9"/>
        <v>0.11889670763826224</v>
      </c>
      <c r="L17" s="4">
        <f t="shared" si="10"/>
        <v>1492.5142302448346</v>
      </c>
      <c r="M17" s="1">
        <f t="shared" si="11"/>
        <v>733.36357866324101</v>
      </c>
      <c r="N17" s="7">
        <f t="shared" si="12"/>
        <v>0.38789179351943559</v>
      </c>
      <c r="O17" s="1">
        <f t="shared" si="13"/>
        <v>3000</v>
      </c>
      <c r="P17" s="2">
        <f t="shared" si="14"/>
        <v>1.0945555770981645</v>
      </c>
      <c r="Q17" s="2">
        <f t="shared" si="15"/>
        <v>5.8118840374596594</v>
      </c>
      <c r="S17" s="1">
        <f t="shared" si="2"/>
        <v>3000</v>
      </c>
      <c r="T17" s="1">
        <f t="shared" si="3"/>
        <v>1492.5142302448346</v>
      </c>
      <c r="V17" s="1">
        <f t="shared" si="16"/>
        <v>1492.5142302448346</v>
      </c>
      <c r="W17" s="1">
        <f t="shared" si="17"/>
        <v>3000</v>
      </c>
    </row>
    <row r="18" spans="1:23" x14ac:dyDescent="0.25">
      <c r="A18" s="2">
        <f t="shared" si="18"/>
        <v>0.6</v>
      </c>
      <c r="B18" s="7">
        <f t="shared" si="1"/>
        <v>6.1545353685837796</v>
      </c>
      <c r="C18" s="7">
        <f t="shared" si="4"/>
        <v>1.4673814635380886</v>
      </c>
      <c r="D18" s="7">
        <f t="shared" si="5"/>
        <v>0.39024643260480291</v>
      </c>
      <c r="E18" s="7">
        <f t="shared" si="6"/>
        <v>1</v>
      </c>
      <c r="G18" s="4">
        <f t="shared" si="7"/>
        <v>60</v>
      </c>
      <c r="H18" s="1">
        <f t="shared" si="19"/>
        <v>5.93058578984152</v>
      </c>
      <c r="I18" s="1">
        <f t="shared" si="20"/>
        <v>49.327884077807241</v>
      </c>
      <c r="J18" s="1">
        <f t="shared" si="8"/>
        <v>1.6442628025935746</v>
      </c>
      <c r="K18" s="7">
        <f t="shared" si="9"/>
        <v>0.1351448878844034</v>
      </c>
      <c r="L18" s="4">
        <f t="shared" si="10"/>
        <v>1686.174073584597</v>
      </c>
      <c r="M18" s="1">
        <f t="shared" si="11"/>
        <v>733.69073176904431</v>
      </c>
      <c r="N18" s="7">
        <f t="shared" si="12"/>
        <v>0.39024643260480291</v>
      </c>
      <c r="O18" s="1">
        <f t="shared" si="13"/>
        <v>3000</v>
      </c>
      <c r="P18" s="2">
        <f t="shared" si="14"/>
        <v>1.2371302899382735</v>
      </c>
      <c r="Q18" s="2">
        <f t="shared" si="15"/>
        <v>6.6060139032658451</v>
      </c>
      <c r="S18" s="1">
        <f t="shared" si="2"/>
        <v>3000</v>
      </c>
      <c r="T18" s="1">
        <f t="shared" si="3"/>
        <v>1686.174073584597</v>
      </c>
      <c r="V18" s="1">
        <f t="shared" si="16"/>
        <v>1686.174073584597</v>
      </c>
      <c r="W18" s="1">
        <f t="shared" si="17"/>
        <v>3000</v>
      </c>
    </row>
    <row r="19" spans="1:23" x14ac:dyDescent="0.25">
      <c r="A19" s="2">
        <f t="shared" si="18"/>
        <v>0.7</v>
      </c>
      <c r="B19" s="7">
        <f t="shared" si="1"/>
        <v>6.9531115772095706</v>
      </c>
      <c r="C19" s="7">
        <f t="shared" si="4"/>
        <v>1.4680360616353516</v>
      </c>
      <c r="D19" s="7">
        <f t="shared" si="5"/>
        <v>0.39261536517437112</v>
      </c>
      <c r="E19" s="7">
        <f t="shared" si="6"/>
        <v>1</v>
      </c>
      <c r="G19" s="4">
        <f t="shared" si="7"/>
        <v>69.999999999999986</v>
      </c>
      <c r="H19" s="1">
        <f t="shared" si="19"/>
        <v>5.2494483361430762</v>
      </c>
      <c r="I19" s="1">
        <f t="shared" si="20"/>
        <v>54.577332413950316</v>
      </c>
      <c r="J19" s="1">
        <f t="shared" si="8"/>
        <v>1.8192444137983439</v>
      </c>
      <c r="K19" s="7">
        <f t="shared" si="9"/>
        <v>0.14952693812041182</v>
      </c>
      <c r="L19" s="4">
        <f t="shared" si="10"/>
        <v>1904.9620759478278</v>
      </c>
      <c r="M19" s="1">
        <f t="shared" si="11"/>
        <v>734.01803081767582</v>
      </c>
      <c r="N19" s="7">
        <f t="shared" si="12"/>
        <v>0.39261536517437112</v>
      </c>
      <c r="O19" s="1">
        <f t="shared" si="13"/>
        <v>3000</v>
      </c>
      <c r="P19" s="2">
        <f t="shared" si="14"/>
        <v>1.3982765117695766</v>
      </c>
      <c r="Q19" s="2">
        <f t="shared" si="15"/>
        <v>7.5086539400020644</v>
      </c>
      <c r="S19" s="1">
        <f t="shared" si="2"/>
        <v>3000</v>
      </c>
      <c r="T19" s="1">
        <f t="shared" si="3"/>
        <v>1904.9620759478278</v>
      </c>
      <c r="V19" s="1">
        <f t="shared" si="16"/>
        <v>1904.9620759478278</v>
      </c>
      <c r="W19" s="1">
        <f t="shared" si="17"/>
        <v>3000</v>
      </c>
    </row>
    <row r="20" spans="1:23" x14ac:dyDescent="0.25">
      <c r="A20" s="2">
        <f t="shared" si="18"/>
        <v>0.79999999999999993</v>
      </c>
      <c r="B20" s="7">
        <f t="shared" si="1"/>
        <v>7.8553063244887316</v>
      </c>
      <c r="C20" s="7">
        <f t="shared" si="4"/>
        <v>1.4686909517484805</v>
      </c>
      <c r="D20" s="7">
        <f t="shared" si="5"/>
        <v>0.39499867799459709</v>
      </c>
      <c r="E20" s="7">
        <f t="shared" si="6"/>
        <v>1</v>
      </c>
      <c r="G20" s="4">
        <f t="shared" si="7"/>
        <v>80</v>
      </c>
      <c r="H20" s="1">
        <f t="shared" si="19"/>
        <v>4.64654063027589</v>
      </c>
      <c r="I20" s="1">
        <f t="shared" si="20"/>
        <v>59.22387304422621</v>
      </c>
      <c r="J20" s="1">
        <f t="shared" si="8"/>
        <v>1.9741291014742071</v>
      </c>
      <c r="K20" s="7">
        <f t="shared" si="9"/>
        <v>0.16225718642253756</v>
      </c>
      <c r="L20" s="4">
        <f t="shared" si="10"/>
        <v>2152.1387190380083</v>
      </c>
      <c r="M20" s="1">
        <f t="shared" si="11"/>
        <v>734.34547587424026</v>
      </c>
      <c r="N20" s="7">
        <f t="shared" si="12"/>
        <v>0.39499867799459709</v>
      </c>
      <c r="O20" s="1">
        <f t="shared" si="13"/>
        <v>3000</v>
      </c>
      <c r="P20" s="2">
        <f t="shared" si="14"/>
        <v>1.5804133317793441</v>
      </c>
      <c r="Q20" s="2">
        <f t="shared" si="15"/>
        <v>8.5346311690996455</v>
      </c>
      <c r="S20" s="1">
        <f t="shared" si="2"/>
        <v>3000</v>
      </c>
      <c r="T20" s="1">
        <f t="shared" si="3"/>
        <v>2152.1387190380083</v>
      </c>
      <c r="V20" s="1">
        <f t="shared" si="16"/>
        <v>2152.1387190380083</v>
      </c>
      <c r="W20" s="1">
        <f t="shared" si="17"/>
        <v>3000</v>
      </c>
    </row>
    <row r="21" spans="1:23" x14ac:dyDescent="0.25">
      <c r="A21" s="2">
        <f t="shared" si="18"/>
        <v>0.89999999999999991</v>
      </c>
      <c r="B21" s="7">
        <f t="shared" si="1"/>
        <v>8.874564540832024</v>
      </c>
      <c r="C21" s="7">
        <f t="shared" si="4"/>
        <v>1.4693461340077434</v>
      </c>
      <c r="D21" s="7">
        <f t="shared" si="5"/>
        <v>0.3973964583586404</v>
      </c>
      <c r="E21" s="7">
        <f t="shared" si="6"/>
        <v>1</v>
      </c>
      <c r="G21" s="4">
        <f t="shared" si="7"/>
        <v>90</v>
      </c>
      <c r="H21" s="1">
        <f t="shared" si="19"/>
        <v>4.1128778580698659</v>
      </c>
      <c r="I21" s="1">
        <f t="shared" si="20"/>
        <v>63.336750902296075</v>
      </c>
      <c r="J21" s="1">
        <f t="shared" si="8"/>
        <v>2.1112250300765356</v>
      </c>
      <c r="K21" s="7">
        <f t="shared" si="9"/>
        <v>0.17352534493779748</v>
      </c>
      <c r="L21" s="4">
        <f t="shared" si="10"/>
        <v>2431.3875454334311</v>
      </c>
      <c r="M21" s="1">
        <f t="shared" si="11"/>
        <v>734.67306700387167</v>
      </c>
      <c r="N21" s="7">
        <f t="shared" si="12"/>
        <v>0.3973964583586404</v>
      </c>
      <c r="O21" s="1">
        <f t="shared" si="13"/>
        <v>3000</v>
      </c>
      <c r="P21" s="2">
        <f t="shared" si="14"/>
        <v>1.7862749450785942</v>
      </c>
      <c r="Q21" s="2">
        <f>IFERROR(N21/100*L21/(1-N21/100),L21*100)</f>
        <v>9.7007986246925668</v>
      </c>
      <c r="S21" s="1">
        <f t="shared" si="2"/>
        <v>3000</v>
      </c>
      <c r="T21" s="1">
        <f t="shared" si="3"/>
        <v>2431.3875454334311</v>
      </c>
      <c r="V21" s="1">
        <f t="shared" si="16"/>
        <v>2431.3875454334311</v>
      </c>
      <c r="W21" s="1">
        <f t="shared" si="17"/>
        <v>3000</v>
      </c>
    </row>
    <row r="22" spans="1:23" x14ac:dyDescent="0.25">
      <c r="A22" s="2">
        <f t="shared" si="18"/>
        <v>0.99999999999999989</v>
      </c>
      <c r="B22" s="7">
        <f t="shared" si="1"/>
        <v>10.026075691519148</v>
      </c>
      <c r="C22" s="7">
        <f t="shared" si="4"/>
        <v>1.4700016085434673</v>
      </c>
      <c r="D22" s="7">
        <f t="shared" si="5"/>
        <v>0.39980879408956099</v>
      </c>
      <c r="E22" s="7">
        <f t="shared" si="6"/>
        <v>1</v>
      </c>
      <c r="G22" s="4">
        <f t="shared" si="7"/>
        <v>99.999999999999972</v>
      </c>
      <c r="H22" s="1">
        <f t="shared" si="19"/>
        <v>3.6405071259211121</v>
      </c>
      <c r="I22" s="1">
        <f t="shared" si="20"/>
        <v>66.977258028217193</v>
      </c>
      <c r="J22" s="1">
        <f t="shared" si="8"/>
        <v>2.2325752676072397</v>
      </c>
      <c r="K22" s="7">
        <f t="shared" si="9"/>
        <v>0.18349933706360874</v>
      </c>
      <c r="L22" s="4">
        <f t="shared" si="10"/>
        <v>2746.8700524709989</v>
      </c>
      <c r="M22" s="1">
        <f t="shared" si="11"/>
        <v>735.00080427173361</v>
      </c>
      <c r="N22" s="7">
        <f t="shared" si="12"/>
        <v>0.39980879408956099</v>
      </c>
      <c r="O22" s="1">
        <f t="shared" si="13"/>
        <v>3000</v>
      </c>
      <c r="P22" s="2">
        <f t="shared" si="14"/>
        <v>2.0189516977961235</v>
      </c>
      <c r="Q22" s="2">
        <f t="shared" si="15"/>
        <v>11.026312197822254</v>
      </c>
      <c r="S22" s="1">
        <f t="shared" si="2"/>
        <v>3000</v>
      </c>
      <c r="T22" s="1">
        <f t="shared" si="3"/>
        <v>2746.8700524709993</v>
      </c>
      <c r="V22" s="1">
        <f t="shared" si="16"/>
        <v>2746.8700524709993</v>
      </c>
      <c r="W22" s="1">
        <f t="shared" si="17"/>
        <v>3000</v>
      </c>
    </row>
    <row r="23" spans="1:23" x14ac:dyDescent="0.25">
      <c r="A23" s="2">
        <f t="shared" si="18"/>
        <v>1.0999999999999999</v>
      </c>
      <c r="B23" s="7">
        <f t="shared" si="1"/>
        <v>11.327000137253703</v>
      </c>
      <c r="C23" s="7">
        <f t="shared" si="4"/>
        <v>1.4706573754860355</v>
      </c>
      <c r="D23" s="7">
        <f t="shared" si="5"/>
        <v>0.40223577354353501</v>
      </c>
      <c r="E23" s="7">
        <f t="shared" si="6"/>
        <v>1</v>
      </c>
      <c r="G23" s="4">
        <f t="shared" si="7"/>
        <v>109.99999999999999</v>
      </c>
      <c r="H23" s="1">
        <f t="shared" si="19"/>
        <v>3.2223889430312735</v>
      </c>
      <c r="I23" s="1">
        <f t="shared" si="20"/>
        <v>70.19964697124847</v>
      </c>
      <c r="J23" s="1">
        <f t="shared" si="8"/>
        <v>2.339988232374949</v>
      </c>
      <c r="K23" s="7">
        <f t="shared" si="9"/>
        <v>0.19232779992122867</v>
      </c>
      <c r="L23" s="4">
        <f t="shared" si="10"/>
        <v>3103.2877088366313</v>
      </c>
      <c r="M23" s="1">
        <f t="shared" si="11"/>
        <v>735.32868774301778</v>
      </c>
      <c r="N23" s="7">
        <f t="shared" si="12"/>
        <v>0.40223577354353501</v>
      </c>
      <c r="O23" s="1">
        <f t="shared" si="13"/>
        <v>3000</v>
      </c>
      <c r="P23" s="2">
        <f t="shared" si="14"/>
        <v>2.2819364786278764</v>
      </c>
      <c r="Q23" s="2">
        <f t="shared" si="15"/>
        <v>12.532945310437697</v>
      </c>
      <c r="S23" s="1">
        <f t="shared" si="2"/>
        <v>3000</v>
      </c>
      <c r="T23" s="1">
        <f t="shared" si="3"/>
        <v>3103.2877088366313</v>
      </c>
      <c r="V23" s="1">
        <f t="shared" si="16"/>
        <v>3103.2877088366313</v>
      </c>
      <c r="W23" s="1">
        <f t="shared" si="17"/>
        <v>3000</v>
      </c>
    </row>
    <row r="24" spans="1:23" x14ac:dyDescent="0.25">
      <c r="A24" s="2">
        <f t="shared" si="18"/>
        <v>1.2</v>
      </c>
      <c r="B24" s="7">
        <f t="shared" si="1"/>
        <v>12.796724865928606</v>
      </c>
      <c r="C24" s="7">
        <f t="shared" si="4"/>
        <v>1.471313434965891</v>
      </c>
      <c r="D24" s="7">
        <f t="shared" si="5"/>
        <v>0.40467748561309208</v>
      </c>
      <c r="E24" s="7">
        <f t="shared" si="6"/>
        <v>1</v>
      </c>
      <c r="G24" s="4">
        <f t="shared" si="7"/>
        <v>120</v>
      </c>
      <c r="H24" s="1">
        <f t="shared" si="19"/>
        <v>2.8522923156050362</v>
      </c>
      <c r="I24" s="1">
        <f t="shared" si="20"/>
        <v>73.051939286853511</v>
      </c>
      <c r="J24" s="1">
        <f t="shared" si="8"/>
        <v>2.4350646428951168</v>
      </c>
      <c r="K24" s="7">
        <f t="shared" si="9"/>
        <v>0.20014229941603701</v>
      </c>
      <c r="L24" s="4">
        <f t="shared" si="10"/>
        <v>3505.9520180626323</v>
      </c>
      <c r="M24" s="1">
        <f t="shared" si="11"/>
        <v>735.65671748294551</v>
      </c>
      <c r="N24" s="7">
        <f t="shared" si="12"/>
        <v>0.40467748561309208</v>
      </c>
      <c r="O24" s="1">
        <f t="shared" si="13"/>
        <v>3000</v>
      </c>
      <c r="P24" s="2">
        <f t="shared" si="14"/>
        <v>2.5791771532606647</v>
      </c>
      <c r="Q24" s="2">
        <f t="shared" si="15"/>
        <v>14.245446588566287</v>
      </c>
      <c r="S24" s="1">
        <f t="shared" si="2"/>
        <v>3000</v>
      </c>
      <c r="T24" s="1">
        <f t="shared" si="3"/>
        <v>3505.9520180626323</v>
      </c>
      <c r="V24" s="1">
        <f t="shared" si="16"/>
        <v>3505.9520180626323</v>
      </c>
      <c r="W24" s="1">
        <f t="shared" si="17"/>
        <v>3000</v>
      </c>
    </row>
    <row r="25" spans="1:23" x14ac:dyDescent="0.25">
      <c r="A25" s="2">
        <f t="shared" si="18"/>
        <v>1.3</v>
      </c>
      <c r="B25" s="7">
        <f t="shared" si="1"/>
        <v>14.457152406637043</v>
      </c>
      <c r="C25" s="7">
        <f t="shared" si="4"/>
        <v>1.4719697871135351</v>
      </c>
      <c r="D25" s="7">
        <f t="shared" si="5"/>
        <v>0.40713401973037033</v>
      </c>
      <c r="E25" s="7">
        <f t="shared" si="6"/>
        <v>1</v>
      </c>
      <c r="G25" s="4">
        <f t="shared" si="7"/>
        <v>130</v>
      </c>
      <c r="H25" s="1">
        <f t="shared" si="19"/>
        <v>2.524701889650375</v>
      </c>
      <c r="I25" s="1">
        <f t="shared" si="20"/>
        <v>75.576641176503884</v>
      </c>
      <c r="J25" s="1">
        <f t="shared" si="8"/>
        <v>2.5192213725501293</v>
      </c>
      <c r="K25" s="7">
        <f t="shared" si="9"/>
        <v>0.20705929089453118</v>
      </c>
      <c r="L25" s="4">
        <f t="shared" si="10"/>
        <v>3960.8636730512439</v>
      </c>
      <c r="M25" s="1">
        <f t="shared" si="11"/>
        <v>735.98489355676759</v>
      </c>
      <c r="N25" s="7">
        <f t="shared" si="12"/>
        <v>0.40713401973037033</v>
      </c>
      <c r="O25" s="1">
        <f t="shared" si="13"/>
        <v>3000</v>
      </c>
      <c r="P25" s="2">
        <f t="shared" si="14"/>
        <v>2.915135828803487</v>
      </c>
      <c r="Q25" s="2">
        <f t="shared" si="15"/>
        <v>16.19194641042688</v>
      </c>
      <c r="S25" s="1">
        <f t="shared" si="2"/>
        <v>3000</v>
      </c>
      <c r="T25" s="1">
        <f t="shared" si="3"/>
        <v>3960.8636730512444</v>
      </c>
      <c r="V25" s="1">
        <f t="shared" si="16"/>
        <v>3960.8636730512444</v>
      </c>
      <c r="W25" s="1">
        <f t="shared" si="17"/>
        <v>3000</v>
      </c>
    </row>
    <row r="26" spans="1:23" x14ac:dyDescent="0.25">
      <c r="A26" s="2">
        <f t="shared" si="18"/>
        <v>1.4000000000000001</v>
      </c>
      <c r="B26" s="7">
        <f t="shared" si="1"/>
        <v>16.333027231461408</v>
      </c>
      <c r="C26" s="7">
        <f t="shared" si="4"/>
        <v>1.4726264320595259</v>
      </c>
      <c r="D26" s="7">
        <f t="shared" si="5"/>
        <v>0.40960546587039232</v>
      </c>
      <c r="E26" s="7">
        <f t="shared" si="6"/>
        <v>1</v>
      </c>
      <c r="G26" s="4">
        <f t="shared" si="7"/>
        <v>140</v>
      </c>
      <c r="H26" s="1">
        <f t="shared" si="19"/>
        <v>2.2347357585795282</v>
      </c>
      <c r="I26" s="1">
        <f t="shared" si="20"/>
        <v>77.811376935083416</v>
      </c>
      <c r="J26" s="1">
        <f t="shared" si="8"/>
        <v>2.5937125645027805</v>
      </c>
      <c r="K26" s="7">
        <f t="shared" si="9"/>
        <v>0.21318185461666689</v>
      </c>
      <c r="L26" s="4">
        <f t="shared" si="10"/>
        <v>4474.8019812223038</v>
      </c>
      <c r="M26" s="1">
        <f t="shared" si="11"/>
        <v>736.313216029763</v>
      </c>
      <c r="N26" s="7">
        <f t="shared" si="12"/>
        <v>0.40960546587039232</v>
      </c>
      <c r="O26" s="1">
        <f t="shared" si="13"/>
        <v>3000</v>
      </c>
      <c r="P26" s="2">
        <f t="shared" si="14"/>
        <v>3.2948558378901494</v>
      </c>
      <c r="Q26" s="2">
        <f t="shared" si="15"/>
        <v>18.404419008182366</v>
      </c>
      <c r="S26" s="1">
        <f t="shared" si="2"/>
        <v>3000</v>
      </c>
      <c r="T26" s="1">
        <f t="shared" si="3"/>
        <v>4474.8019812223038</v>
      </c>
      <c r="V26" s="1">
        <f t="shared" si="16"/>
        <v>4474.8019812223038</v>
      </c>
      <c r="W26" s="1">
        <f t="shared" si="17"/>
        <v>3000</v>
      </c>
    </row>
    <row r="27" spans="1:23" x14ac:dyDescent="0.25">
      <c r="A27" s="2">
        <f t="shared" si="18"/>
        <v>1.5000000000000002</v>
      </c>
      <c r="B27" s="7">
        <f t="shared" si="1"/>
        <v>18.452304509233169</v>
      </c>
      <c r="C27" s="7">
        <f t="shared" si="4"/>
        <v>1.4732833699344809</v>
      </c>
      <c r="D27" s="7">
        <f t="shared" si="5"/>
        <v>0.41209191455436062</v>
      </c>
      <c r="E27" s="7">
        <f t="shared" si="6"/>
        <v>1</v>
      </c>
      <c r="G27" s="4">
        <f t="shared" si="7"/>
        <v>150.00000000000003</v>
      </c>
      <c r="H27" s="1">
        <f t="shared" si="19"/>
        <v>1.9780727107411558</v>
      </c>
      <c r="I27" s="1">
        <f t="shared" si="20"/>
        <v>79.789449645824575</v>
      </c>
      <c r="J27" s="1">
        <f t="shared" si="8"/>
        <v>2.6596483215274858</v>
      </c>
      <c r="K27" s="7">
        <f t="shared" si="9"/>
        <v>0.21860123190636871</v>
      </c>
      <c r="L27" s="4">
        <f t="shared" si="10"/>
        <v>5055.4258929405942</v>
      </c>
      <c r="M27" s="1">
        <f t="shared" si="11"/>
        <v>736.64168496724051</v>
      </c>
      <c r="N27" s="7">
        <f t="shared" si="12"/>
        <v>0.41209191455436062</v>
      </c>
      <c r="O27" s="1">
        <f t="shared" si="13"/>
        <v>3000</v>
      </c>
      <c r="P27" s="2">
        <f t="shared" si="14"/>
        <v>3.7240374480027758</v>
      </c>
      <c r="Q27" s="2">
        <f t="shared" si="15"/>
        <v>20.919207714676791</v>
      </c>
      <c r="S27" s="1">
        <f t="shared" si="2"/>
        <v>3000</v>
      </c>
      <c r="T27" s="1">
        <f t="shared" si="3"/>
        <v>5055.4258929405942</v>
      </c>
      <c r="V27" s="1">
        <f t="shared" si="16"/>
        <v>5055.4258929405942</v>
      </c>
      <c r="W27" s="1">
        <f t="shared" si="17"/>
        <v>3000</v>
      </c>
    </row>
    <row r="28" spans="1:23" x14ac:dyDescent="0.25">
      <c r="A28" s="2">
        <f t="shared" si="18"/>
        <v>1.6000000000000003</v>
      </c>
      <c r="B28" s="7">
        <f t="shared" si="1"/>
        <v>20.846566706605646</v>
      </c>
      <c r="C28" s="7">
        <f t="shared" si="4"/>
        <v>1.4739406008690754</v>
      </c>
      <c r="D28" s="7">
        <f t="shared" si="5"/>
        <v>0.41459345685297311</v>
      </c>
      <c r="E28" s="7">
        <f t="shared" si="6"/>
        <v>1</v>
      </c>
      <c r="G28" s="4">
        <f t="shared" si="7"/>
        <v>160.00000000000003</v>
      </c>
      <c r="H28" s="1">
        <f t="shared" si="19"/>
        <v>1.7508878326920974</v>
      </c>
      <c r="I28" s="1">
        <f t="shared" si="20"/>
        <v>81.540337478516676</v>
      </c>
      <c r="J28" s="1">
        <f t="shared" si="8"/>
        <v>2.7180112492838893</v>
      </c>
      <c r="K28" s="7">
        <f t="shared" si="9"/>
        <v>0.22339818487264843</v>
      </c>
      <c r="L28" s="4">
        <f t="shared" si="10"/>
        <v>5711.3881387960682</v>
      </c>
      <c r="M28" s="1">
        <f t="shared" si="11"/>
        <v>736.97030043453776</v>
      </c>
      <c r="N28" s="7">
        <f t="shared" si="12"/>
        <v>0.41459345685297311</v>
      </c>
      <c r="O28" s="1">
        <f t="shared" si="13"/>
        <v>3000</v>
      </c>
      <c r="P28" s="2">
        <f t="shared" si="14"/>
        <v>4.2091234325467939</v>
      </c>
      <c r="Q28" s="2">
        <f t="shared" si="15"/>
        <v>23.77762198386564</v>
      </c>
      <c r="S28" s="1">
        <f t="shared" si="2"/>
        <v>3000</v>
      </c>
      <c r="T28" s="1">
        <f t="shared" si="3"/>
        <v>5711.3881387960682</v>
      </c>
      <c r="V28" s="1">
        <f t="shared" si="16"/>
        <v>5711.3881387960682</v>
      </c>
      <c r="W28" s="1">
        <f t="shared" si="17"/>
        <v>3000</v>
      </c>
    </row>
    <row r="29" spans="1:23" x14ac:dyDescent="0.25">
      <c r="A29" s="2">
        <f t="shared" si="18"/>
        <v>1.7000000000000004</v>
      </c>
      <c r="B29" s="7">
        <f t="shared" si="1"/>
        <v>23.551494244824756</v>
      </c>
      <c r="C29" s="7">
        <f t="shared" si="4"/>
        <v>1.4745981249940436</v>
      </c>
      <c r="D29" s="7">
        <f t="shared" si="5"/>
        <v>0.41711018438975878</v>
      </c>
      <c r="E29" s="7">
        <f t="shared" si="6"/>
        <v>1</v>
      </c>
      <c r="G29" s="4">
        <f t="shared" si="7"/>
        <v>170.00000000000003</v>
      </c>
      <c r="H29" s="1">
        <f t="shared" si="19"/>
        <v>1.5497955085385109</v>
      </c>
      <c r="I29" s="1">
        <f t="shared" si="20"/>
        <v>83.090132987055185</v>
      </c>
      <c r="J29" s="1">
        <f t="shared" si="8"/>
        <v>2.7696710995685061</v>
      </c>
      <c r="K29" s="7">
        <f t="shared" si="9"/>
        <v>0.22764419996453475</v>
      </c>
      <c r="L29" s="4">
        <f t="shared" si="10"/>
        <v>6452.4641766643172</v>
      </c>
      <c r="M29" s="1">
        <f t="shared" si="11"/>
        <v>737.29906249702185</v>
      </c>
      <c r="N29" s="7">
        <f t="shared" si="12"/>
        <v>0.41711018438975878</v>
      </c>
      <c r="O29" s="1">
        <f t="shared" si="13"/>
        <v>3000</v>
      </c>
      <c r="P29" s="2">
        <f t="shared" si="14"/>
        <v>4.7573957882502187</v>
      </c>
      <c r="Q29" s="2">
        <f t="shared" si="15"/>
        <v>27.026615992769418</v>
      </c>
      <c r="S29" s="1">
        <f t="shared" si="2"/>
        <v>3000</v>
      </c>
      <c r="T29" s="1">
        <f t="shared" si="3"/>
        <v>6452.4641766643172</v>
      </c>
      <c r="V29" s="1">
        <f t="shared" si="16"/>
        <v>6452.4641766643172</v>
      </c>
      <c r="W29" s="1">
        <f t="shared" si="17"/>
        <v>3000</v>
      </c>
    </row>
    <row r="30" spans="1:23" x14ac:dyDescent="0.25">
      <c r="A30" s="2">
        <f t="shared" si="18"/>
        <v>1.8000000000000005</v>
      </c>
      <c r="B30" s="7">
        <f t="shared" si="1"/>
        <v>23.68</v>
      </c>
      <c r="C30" s="7">
        <f t="shared" si="4"/>
        <v>1.4752559424401774</v>
      </c>
      <c r="D30" s="7">
        <f t="shared" si="5"/>
        <v>0.41964218934443348</v>
      </c>
      <c r="E30" s="7">
        <f t="shared" si="6"/>
        <v>1</v>
      </c>
      <c r="G30" s="4">
        <f t="shared" si="7"/>
        <v>180.00000000000006</v>
      </c>
      <c r="H30" s="1">
        <f t="shared" si="19"/>
        <v>1.5413851351351393</v>
      </c>
      <c r="I30" s="1">
        <f t="shared" si="20"/>
        <v>84.631518122190329</v>
      </c>
      <c r="J30" s="1">
        <f t="shared" si="8"/>
        <v>2.8210506040730108</v>
      </c>
      <c r="K30" s="7">
        <f t="shared" si="9"/>
        <v>0.23186717293750775</v>
      </c>
      <c r="L30" s="4">
        <f t="shared" si="10"/>
        <v>6487.6712328767135</v>
      </c>
      <c r="M30" s="1">
        <f t="shared" si="11"/>
        <v>737.62797122008874</v>
      </c>
      <c r="N30" s="7">
        <f t="shared" si="12"/>
        <v>0.41964218934443348</v>
      </c>
      <c r="O30" s="1">
        <f t="shared" si="13"/>
        <v>3000</v>
      </c>
      <c r="P30" s="2">
        <f t="shared" si="14"/>
        <v>4.7854877694497819</v>
      </c>
      <c r="Q30" s="2">
        <f t="shared" si="15"/>
        <v>27.339734660201874</v>
      </c>
      <c r="S30" s="1">
        <f t="shared" si="2"/>
        <v>3000</v>
      </c>
      <c r="T30" s="1">
        <f t="shared" si="3"/>
        <v>6487.6712328767135</v>
      </c>
      <c r="V30" s="1">
        <f t="shared" si="16"/>
        <v>6487.6712328767135</v>
      </c>
      <c r="W30" s="1">
        <f t="shared" si="17"/>
        <v>3000</v>
      </c>
    </row>
    <row r="31" spans="1:23" x14ac:dyDescent="0.25">
      <c r="A31" s="2">
        <f t="shared" si="18"/>
        <v>1.9000000000000006</v>
      </c>
      <c r="B31" s="7">
        <f t="shared" si="1"/>
        <v>23.68</v>
      </c>
      <c r="C31" s="7">
        <f t="shared" si="4"/>
        <v>1.475914053338327</v>
      </c>
      <c r="D31" s="7">
        <f t="shared" si="5"/>
        <v>0.42218956445627637</v>
      </c>
      <c r="E31" s="7">
        <f t="shared" si="6"/>
        <v>1</v>
      </c>
      <c r="G31" s="4">
        <f t="shared" si="7"/>
        <v>190.00000000000006</v>
      </c>
      <c r="H31" s="1">
        <f t="shared" si="19"/>
        <v>1.5413851351351349</v>
      </c>
      <c r="I31" s="1">
        <f t="shared" si="20"/>
        <v>86.172903257325459</v>
      </c>
      <c r="J31" s="1">
        <f t="shared" si="8"/>
        <v>2.8724301085775155</v>
      </c>
      <c r="K31" s="7">
        <f t="shared" si="9"/>
        <v>0.23609014591048072</v>
      </c>
      <c r="L31" s="4">
        <f t="shared" si="10"/>
        <v>6487.6712328767135</v>
      </c>
      <c r="M31" s="1">
        <f t="shared" si="11"/>
        <v>737.9570266691635</v>
      </c>
      <c r="N31" s="7">
        <f t="shared" si="12"/>
        <v>0.42218956445627637</v>
      </c>
      <c r="O31" s="1">
        <f t="shared" si="13"/>
        <v>3000</v>
      </c>
      <c r="P31" s="2">
        <f t="shared" si="14"/>
        <v>4.7876225730207658</v>
      </c>
      <c r="Q31" s="2">
        <f t="shared" si="15"/>
        <v>27.506400072099332</v>
      </c>
      <c r="S31" s="1">
        <f t="shared" si="2"/>
        <v>3000</v>
      </c>
      <c r="T31" s="1">
        <f t="shared" si="3"/>
        <v>6487.6712328767135</v>
      </c>
      <c r="V31" s="1">
        <f t="shared" si="16"/>
        <v>6487.6712328767135</v>
      </c>
      <c r="W31" s="1">
        <f t="shared" si="17"/>
        <v>3000</v>
      </c>
    </row>
    <row r="32" spans="1:23" x14ac:dyDescent="0.25">
      <c r="A32" s="2">
        <f t="shared" si="18"/>
        <v>2.0000000000000004</v>
      </c>
      <c r="B32" s="7">
        <f t="shared" si="1"/>
        <v>23.68</v>
      </c>
      <c r="C32" s="7">
        <f t="shared" si="4"/>
        <v>1.4765724578194011</v>
      </c>
      <c r="D32" s="7">
        <f t="shared" si="5"/>
        <v>0.42475240302752626</v>
      </c>
      <c r="E32" s="7">
        <f t="shared" si="6"/>
        <v>1</v>
      </c>
      <c r="G32" s="4">
        <f t="shared" si="7"/>
        <v>200.00000000000003</v>
      </c>
      <c r="H32" s="1">
        <f t="shared" si="19"/>
        <v>1.5413851351351304</v>
      </c>
      <c r="I32" s="1">
        <f t="shared" si="20"/>
        <v>87.714288392460588</v>
      </c>
      <c r="J32" s="1">
        <f t="shared" si="8"/>
        <v>2.9238096130820197</v>
      </c>
      <c r="K32" s="7">
        <f t="shared" si="9"/>
        <v>0.24031311888345366</v>
      </c>
      <c r="L32" s="4">
        <f t="shared" si="10"/>
        <v>6487.6712328767135</v>
      </c>
      <c r="M32" s="1">
        <f t="shared" si="11"/>
        <v>738.28622890970053</v>
      </c>
      <c r="N32" s="7">
        <f t="shared" si="12"/>
        <v>0.42475240302752626</v>
      </c>
      <c r="O32" s="1">
        <f t="shared" si="13"/>
        <v>3000</v>
      </c>
      <c r="P32" s="2">
        <f t="shared" si="14"/>
        <v>4.7897583289264958</v>
      </c>
      <c r="Q32" s="2">
        <f t="shared" si="15"/>
        <v>27.674085806649021</v>
      </c>
      <c r="S32" s="1">
        <f t="shared" si="2"/>
        <v>3000</v>
      </c>
      <c r="T32" s="1">
        <f t="shared" si="3"/>
        <v>6487.6712328767135</v>
      </c>
      <c r="V32" s="1">
        <f t="shared" si="16"/>
        <v>6487.6712328767135</v>
      </c>
      <c r="W32" s="1">
        <f t="shared" si="17"/>
        <v>3000</v>
      </c>
    </row>
    <row r="33" spans="1:23" x14ac:dyDescent="0.25">
      <c r="A33" s="2">
        <f t="shared" si="18"/>
        <v>2.1000000000000005</v>
      </c>
      <c r="B33" s="7">
        <f t="shared" si="1"/>
        <v>23.68</v>
      </c>
      <c r="C33" s="7">
        <f t="shared" si="4"/>
        <v>1.4772311560143672</v>
      </c>
      <c r="D33" s="7">
        <f t="shared" si="5"/>
        <v>0.42733079892679959</v>
      </c>
      <c r="E33" s="7">
        <f t="shared" si="6"/>
        <v>1</v>
      </c>
      <c r="G33" s="4">
        <f t="shared" si="7"/>
        <v>210.00000000000006</v>
      </c>
      <c r="H33" s="1">
        <f t="shared" si="19"/>
        <v>1.5413851351351393</v>
      </c>
      <c r="I33" s="1">
        <f t="shared" si="20"/>
        <v>89.255673527595732</v>
      </c>
      <c r="J33" s="1">
        <f t="shared" si="8"/>
        <v>2.9751891175865244</v>
      </c>
      <c r="K33" s="7">
        <f t="shared" si="9"/>
        <v>0.24453609185642666</v>
      </c>
      <c r="L33" s="4">
        <f t="shared" si="10"/>
        <v>6487.6712328767135</v>
      </c>
      <c r="M33" s="1">
        <f t="shared" si="11"/>
        <v>738.61557800718356</v>
      </c>
      <c r="N33" s="7">
        <f t="shared" si="12"/>
        <v>0.42733079892679959</v>
      </c>
      <c r="O33" s="1">
        <f t="shared" si="13"/>
        <v>3000</v>
      </c>
      <c r="P33" s="2">
        <f t="shared" si="14"/>
        <v>4.7918950375918117</v>
      </c>
      <c r="Q33" s="2">
        <f t="shared" si="15"/>
        <v>27.842798163029862</v>
      </c>
      <c r="S33" s="1">
        <f t="shared" si="2"/>
        <v>3000</v>
      </c>
      <c r="T33" s="1">
        <f t="shared" si="3"/>
        <v>6487.6712328767135</v>
      </c>
      <c r="V33" s="1">
        <f t="shared" si="16"/>
        <v>6487.6712328767135</v>
      </c>
      <c r="W33" s="1">
        <f t="shared" si="17"/>
        <v>3000</v>
      </c>
    </row>
    <row r="34" spans="1:23" x14ac:dyDescent="0.25">
      <c r="A34" s="2">
        <f t="shared" si="18"/>
        <v>2.2000000000000006</v>
      </c>
      <c r="B34" s="7">
        <f t="shared" si="1"/>
        <v>23.68</v>
      </c>
      <c r="C34" s="7">
        <f t="shared" si="4"/>
        <v>1.477890148054251</v>
      </c>
      <c r="D34" s="7">
        <f t="shared" si="5"/>
        <v>0.42992484659252789</v>
      </c>
      <c r="E34" s="7">
        <f t="shared" si="6"/>
        <v>1</v>
      </c>
      <c r="G34" s="4">
        <f t="shared" si="7"/>
        <v>220.00000000000006</v>
      </c>
      <c r="H34" s="1">
        <f t="shared" si="19"/>
        <v>1.5413851351351349</v>
      </c>
      <c r="I34" s="1">
        <f t="shared" si="20"/>
        <v>90.797058662730862</v>
      </c>
      <c r="J34" s="1">
        <f t="shared" si="8"/>
        <v>3.0265686220910286</v>
      </c>
      <c r="K34" s="7">
        <f t="shared" si="9"/>
        <v>0.24875906482939963</v>
      </c>
      <c r="L34" s="4">
        <f t="shared" si="10"/>
        <v>6487.6712328767135</v>
      </c>
      <c r="M34" s="1">
        <f t="shared" si="11"/>
        <v>738.94507402712554</v>
      </c>
      <c r="N34" s="7">
        <f t="shared" si="12"/>
        <v>0.42992484659252789</v>
      </c>
      <c r="O34" s="1">
        <f t="shared" si="13"/>
        <v>3000</v>
      </c>
      <c r="P34" s="2">
        <f t="shared" si="14"/>
        <v>4.7940326994417353</v>
      </c>
      <c r="Q34" s="2">
        <f t="shared" si="15"/>
        <v>28.012543479955635</v>
      </c>
      <c r="S34" s="1">
        <f t="shared" si="2"/>
        <v>3000</v>
      </c>
      <c r="T34" s="1">
        <f t="shared" si="3"/>
        <v>6487.6712328767135</v>
      </c>
      <c r="V34" s="1">
        <f t="shared" si="16"/>
        <v>6487.6712328767135</v>
      </c>
      <c r="W34" s="1">
        <f t="shared" si="17"/>
        <v>3000</v>
      </c>
    </row>
    <row r="35" spans="1:23" x14ac:dyDescent="0.25">
      <c r="A35" s="2">
        <f t="shared" si="18"/>
        <v>2.3000000000000007</v>
      </c>
      <c r="B35" s="7">
        <f t="shared" si="1"/>
        <v>23.68</v>
      </c>
      <c r="C35" s="7">
        <f t="shared" si="4"/>
        <v>1.4785494340701362</v>
      </c>
      <c r="D35" s="7">
        <f t="shared" si="5"/>
        <v>0.43253464103641726</v>
      </c>
      <c r="E35" s="7">
        <f t="shared" si="6"/>
        <v>1</v>
      </c>
      <c r="G35" s="4">
        <f t="shared" si="7"/>
        <v>230.00000000000006</v>
      </c>
      <c r="H35" s="1">
        <f t="shared" si="19"/>
        <v>1.5413851351351349</v>
      </c>
      <c r="I35" s="1">
        <f t="shared" si="20"/>
        <v>92.338443797865992</v>
      </c>
      <c r="J35" s="1">
        <f t="shared" si="8"/>
        <v>3.0779481265955329</v>
      </c>
      <c r="K35" s="7">
        <f t="shared" si="9"/>
        <v>0.25298203780237261</v>
      </c>
      <c r="L35" s="4">
        <f t="shared" si="10"/>
        <v>6487.6712328767135</v>
      </c>
      <c r="M35" s="1">
        <f t="shared" si="11"/>
        <v>739.27471703506808</v>
      </c>
      <c r="N35" s="7">
        <f t="shared" si="12"/>
        <v>0.43253464103641726</v>
      </c>
      <c r="O35" s="1">
        <f t="shared" si="13"/>
        <v>3000</v>
      </c>
      <c r="P35" s="2">
        <f t="shared" si="14"/>
        <v>4.7961713149014829</v>
      </c>
      <c r="Q35" s="2">
        <f t="shared" si="15"/>
        <v>28.18332813593106</v>
      </c>
      <c r="S35" s="1">
        <f t="shared" si="2"/>
        <v>3000</v>
      </c>
      <c r="T35" s="1">
        <f t="shared" si="3"/>
        <v>6487.6712328767135</v>
      </c>
      <c r="V35" s="1">
        <f t="shared" si="16"/>
        <v>6487.6712328767135</v>
      </c>
      <c r="W35" s="1">
        <f t="shared" si="17"/>
        <v>3000</v>
      </c>
    </row>
    <row r="36" spans="1:23" x14ac:dyDescent="0.25">
      <c r="A36" s="2">
        <f t="shared" si="18"/>
        <v>2.4000000000000008</v>
      </c>
      <c r="B36" s="7">
        <f t="shared" si="1"/>
        <v>23.68</v>
      </c>
      <c r="C36" s="7">
        <f t="shared" si="4"/>
        <v>1.4792090141931655</v>
      </c>
      <c r="D36" s="7">
        <f t="shared" si="5"/>
        <v>0.43516027784692796</v>
      </c>
      <c r="E36" s="7">
        <f t="shared" si="6"/>
        <v>1</v>
      </c>
      <c r="G36" s="4">
        <f t="shared" si="7"/>
        <v>240.00000000000009</v>
      </c>
      <c r="H36" s="1">
        <f t="shared" si="19"/>
        <v>1.5413851351351393</v>
      </c>
      <c r="I36" s="1">
        <f t="shared" si="20"/>
        <v>93.879828933001136</v>
      </c>
      <c r="J36" s="1">
        <f t="shared" si="8"/>
        <v>3.129327631100038</v>
      </c>
      <c r="K36" s="7">
        <f t="shared" si="9"/>
        <v>0.25720501077534558</v>
      </c>
      <c r="L36" s="4">
        <f t="shared" si="10"/>
        <v>6487.6712328767135</v>
      </c>
      <c r="M36" s="1">
        <f t="shared" si="11"/>
        <v>739.60450709658278</v>
      </c>
      <c r="N36" s="7">
        <f t="shared" si="12"/>
        <v>0.43516027784692796</v>
      </c>
      <c r="O36" s="1">
        <f t="shared" si="13"/>
        <v>3000</v>
      </c>
      <c r="P36" s="2">
        <f t="shared" si="14"/>
        <v>4.7983108843964608</v>
      </c>
      <c r="Q36" s="2">
        <f t="shared" si="15"/>
        <v>28.355158549509504</v>
      </c>
      <c r="S36" s="1">
        <f t="shared" si="2"/>
        <v>3000</v>
      </c>
      <c r="T36" s="1">
        <f t="shared" si="3"/>
        <v>6487.6712328767135</v>
      </c>
      <c r="V36" s="1">
        <f t="shared" si="16"/>
        <v>6487.6712328767135</v>
      </c>
      <c r="W36" s="1">
        <f t="shared" si="17"/>
        <v>3000</v>
      </c>
    </row>
    <row r="37" spans="1:23" x14ac:dyDescent="0.25">
      <c r="A37" s="2">
        <f t="shared" si="18"/>
        <v>2.5000000000000009</v>
      </c>
      <c r="B37" s="7">
        <f t="shared" si="1"/>
        <v>23.68</v>
      </c>
      <c r="C37" s="7">
        <f t="shared" si="4"/>
        <v>1.4798688885545397</v>
      </c>
      <c r="D37" s="7">
        <f t="shared" si="5"/>
        <v>0.43780185319277587</v>
      </c>
      <c r="E37" s="7">
        <f t="shared" si="6"/>
        <v>1</v>
      </c>
      <c r="G37" s="4">
        <f t="shared" si="7"/>
        <v>250.00000000000011</v>
      </c>
      <c r="H37" s="1">
        <f t="shared" si="19"/>
        <v>1.5413851351351393</v>
      </c>
      <c r="I37" s="1">
        <f t="shared" si="20"/>
        <v>95.42121406813628</v>
      </c>
      <c r="J37" s="1">
        <f t="shared" si="8"/>
        <v>3.1807071356045427</v>
      </c>
      <c r="K37" s="7">
        <f t="shared" si="9"/>
        <v>0.26142798374831855</v>
      </c>
      <c r="L37" s="4">
        <f t="shared" si="10"/>
        <v>6487.6712328767135</v>
      </c>
      <c r="M37" s="1">
        <f t="shared" si="11"/>
        <v>739.93444427726979</v>
      </c>
      <c r="N37" s="7">
        <f t="shared" si="12"/>
        <v>0.43780185319277587</v>
      </c>
      <c r="O37" s="1">
        <f t="shared" si="13"/>
        <v>3000</v>
      </c>
      <c r="P37" s="2">
        <f t="shared" si="14"/>
        <v>4.8004514083522603</v>
      </c>
      <c r="Q37" s="2">
        <f t="shared" si="15"/>
        <v>28.528041179552542</v>
      </c>
      <c r="S37" s="1">
        <f t="shared" si="2"/>
        <v>3000</v>
      </c>
      <c r="T37" s="1">
        <f t="shared" si="3"/>
        <v>6487.6712328767135</v>
      </c>
      <c r="V37" s="1">
        <f t="shared" si="16"/>
        <v>6487.6712328767135</v>
      </c>
      <c r="W37" s="1">
        <f t="shared" si="17"/>
        <v>3000</v>
      </c>
    </row>
    <row r="38" spans="1:23" x14ac:dyDescent="0.25">
      <c r="A38" s="2">
        <f t="shared" si="18"/>
        <v>2.600000000000001</v>
      </c>
      <c r="B38" s="7">
        <f t="shared" si="1"/>
        <v>23.68</v>
      </c>
      <c r="C38" s="7">
        <f t="shared" si="4"/>
        <v>1.480529057285519</v>
      </c>
      <c r="D38" s="7">
        <f t="shared" si="5"/>
        <v>0.44045946382645451</v>
      </c>
      <c r="E38" s="7">
        <f t="shared" si="6"/>
        <v>1</v>
      </c>
      <c r="G38" s="4">
        <f t="shared" si="7"/>
        <v>260.00000000000011</v>
      </c>
      <c r="H38" s="1">
        <f t="shared" si="19"/>
        <v>1.5413851351351349</v>
      </c>
      <c r="I38" s="1">
        <f t="shared" si="20"/>
        <v>96.962599203271409</v>
      </c>
      <c r="J38" s="1">
        <f t="shared" si="8"/>
        <v>3.2320866401090469</v>
      </c>
      <c r="K38" s="7">
        <f t="shared" si="9"/>
        <v>0.26565095672129152</v>
      </c>
      <c r="L38" s="4">
        <f t="shared" si="10"/>
        <v>6487.6712328767135</v>
      </c>
      <c r="M38" s="1">
        <f t="shared" si="11"/>
        <v>740.2645286427595</v>
      </c>
      <c r="N38" s="7">
        <f t="shared" si="12"/>
        <v>0.44045946382645451</v>
      </c>
      <c r="O38" s="1">
        <f t="shared" si="13"/>
        <v>3000</v>
      </c>
      <c r="P38" s="2">
        <f t="shared" si="14"/>
        <v>4.8025928871946704</v>
      </c>
      <c r="Q38" s="2">
        <f t="shared" si="15"/>
        <v>28.701982525491246</v>
      </c>
      <c r="S38" s="1">
        <f t="shared" si="2"/>
        <v>3000</v>
      </c>
      <c r="T38" s="1">
        <f t="shared" si="3"/>
        <v>6487.6712328767135</v>
      </c>
      <c r="V38" s="1">
        <f t="shared" si="16"/>
        <v>6487.6712328767135</v>
      </c>
      <c r="W38" s="1">
        <f t="shared" si="17"/>
        <v>3000</v>
      </c>
    </row>
    <row r="39" spans="1:23" x14ac:dyDescent="0.25">
      <c r="A39" s="2">
        <f t="shared" si="18"/>
        <v>2.7000000000000011</v>
      </c>
      <c r="B39" s="7">
        <f t="shared" si="1"/>
        <v>23.68</v>
      </c>
      <c r="C39" s="7">
        <f t="shared" si="4"/>
        <v>1.4811895205174213</v>
      </c>
      <c r="D39" s="7">
        <f t="shared" si="5"/>
        <v>0.44313320708777898</v>
      </c>
      <c r="E39" s="7">
        <f t="shared" si="6"/>
        <v>1</v>
      </c>
      <c r="G39" s="4">
        <f t="shared" si="7"/>
        <v>270.00000000000011</v>
      </c>
      <c r="H39" s="1">
        <f t="shared" si="19"/>
        <v>1.5413851351351349</v>
      </c>
      <c r="I39" s="1">
        <f t="shared" si="20"/>
        <v>98.503984338406539</v>
      </c>
      <c r="J39" s="1">
        <f t="shared" si="8"/>
        <v>3.2834661446135511</v>
      </c>
      <c r="K39" s="7">
        <f t="shared" si="9"/>
        <v>0.26987392969426449</v>
      </c>
      <c r="L39" s="4">
        <f t="shared" si="10"/>
        <v>6487.6712328767135</v>
      </c>
      <c r="M39" s="1">
        <f t="shared" si="11"/>
        <v>740.59476025871061</v>
      </c>
      <c r="N39" s="7">
        <f t="shared" si="12"/>
        <v>0.44313320708777898</v>
      </c>
      <c r="O39" s="1">
        <f t="shared" si="13"/>
        <v>3000</v>
      </c>
      <c r="P39" s="2">
        <f t="shared" si="14"/>
        <v>4.8047353213496624</v>
      </c>
      <c r="Q39" s="2">
        <f t="shared" si="15"/>
        <v>28.876989127589304</v>
      </c>
      <c r="S39" s="1">
        <f t="shared" si="2"/>
        <v>3000</v>
      </c>
      <c r="T39" s="1">
        <f t="shared" si="3"/>
        <v>6487.6712328767135</v>
      </c>
      <c r="V39" s="1">
        <f t="shared" si="16"/>
        <v>6487.6712328767135</v>
      </c>
      <c r="W39" s="1">
        <f t="shared" si="17"/>
        <v>3000</v>
      </c>
    </row>
    <row r="40" spans="1:23" x14ac:dyDescent="0.25">
      <c r="A40" s="2">
        <f t="shared" si="18"/>
        <v>2.8000000000000012</v>
      </c>
      <c r="B40" s="7">
        <f t="shared" si="1"/>
        <v>23.68</v>
      </c>
      <c r="C40" s="7">
        <f t="shared" si="4"/>
        <v>1.4818502783816225</v>
      </c>
      <c r="D40" s="7">
        <f t="shared" si="5"/>
        <v>0.44582318090745138</v>
      </c>
      <c r="E40" s="7">
        <f t="shared" si="6"/>
        <v>1</v>
      </c>
      <c r="G40" s="4">
        <f t="shared" si="7"/>
        <v>280.00000000000011</v>
      </c>
      <c r="H40" s="1">
        <f t="shared" si="19"/>
        <v>1.5413851351351349</v>
      </c>
      <c r="I40" s="1">
        <f t="shared" si="20"/>
        <v>100.04536947354167</v>
      </c>
      <c r="J40" s="1">
        <f t="shared" si="8"/>
        <v>3.3348456491180558</v>
      </c>
      <c r="K40" s="7">
        <f t="shared" si="9"/>
        <v>0.27409690266723746</v>
      </c>
      <c r="L40" s="4">
        <f t="shared" si="10"/>
        <v>6487.6712328767135</v>
      </c>
      <c r="M40" s="1">
        <f t="shared" si="11"/>
        <v>740.92513919081125</v>
      </c>
      <c r="N40" s="7">
        <f t="shared" si="12"/>
        <v>0.44582318090745138</v>
      </c>
      <c r="O40" s="1">
        <f t="shared" si="13"/>
        <v>3000</v>
      </c>
      <c r="P40" s="2">
        <f t="shared" si="14"/>
        <v>4.8068787112434013</v>
      </c>
      <c r="Q40" s="2">
        <f t="shared" si="15"/>
        <v>29.05306756720795</v>
      </c>
      <c r="S40" s="1">
        <f t="shared" si="2"/>
        <v>3000</v>
      </c>
      <c r="T40" s="1">
        <f t="shared" si="3"/>
        <v>6487.6712328767135</v>
      </c>
      <c r="V40" s="1">
        <f t="shared" si="16"/>
        <v>6487.6712328767135</v>
      </c>
      <c r="W40" s="1">
        <f t="shared" si="17"/>
        <v>3000</v>
      </c>
    </row>
    <row r="41" spans="1:23" x14ac:dyDescent="0.25">
      <c r="A41" s="2">
        <f t="shared" si="18"/>
        <v>2.9000000000000012</v>
      </c>
      <c r="B41" s="7">
        <f t="shared" si="1"/>
        <v>23.68</v>
      </c>
      <c r="C41" s="7">
        <f t="shared" si="4"/>
        <v>1.482511331009559</v>
      </c>
      <c r="D41" s="7">
        <f t="shared" si="5"/>
        <v>0.44852948381064706</v>
      </c>
      <c r="E41" s="7">
        <f t="shared" si="6"/>
        <v>1</v>
      </c>
      <c r="G41" s="4">
        <f t="shared" si="7"/>
        <v>290.00000000000017</v>
      </c>
      <c r="H41" s="1">
        <f t="shared" si="19"/>
        <v>1.5413851351351435</v>
      </c>
      <c r="I41" s="1">
        <f t="shared" si="20"/>
        <v>101.58675460867681</v>
      </c>
      <c r="J41" s="1">
        <f t="shared" si="8"/>
        <v>3.3862251536225605</v>
      </c>
      <c r="K41" s="7">
        <f t="shared" si="9"/>
        <v>0.27831987564021043</v>
      </c>
      <c r="L41" s="4">
        <f t="shared" si="10"/>
        <v>6487.6712328767135</v>
      </c>
      <c r="M41" s="1">
        <f t="shared" si="11"/>
        <v>741.25566550477947</v>
      </c>
      <c r="N41" s="7">
        <f t="shared" si="12"/>
        <v>0.44852948381064706</v>
      </c>
      <c r="O41" s="1">
        <f t="shared" si="13"/>
        <v>3000</v>
      </c>
      <c r="P41" s="2">
        <f t="shared" si="14"/>
        <v>4.809023057302241</v>
      </c>
      <c r="Q41" s="2">
        <f t="shared" si="15"/>
        <v>29.230224467072617</v>
      </c>
      <c r="S41" s="1">
        <f t="shared" si="2"/>
        <v>3000</v>
      </c>
      <c r="T41" s="1">
        <f t="shared" si="3"/>
        <v>6487.6712328767135</v>
      </c>
      <c r="V41" s="1">
        <f t="shared" si="16"/>
        <v>6487.6712328767135</v>
      </c>
      <c r="W41" s="1">
        <f t="shared" si="17"/>
        <v>3000</v>
      </c>
    </row>
    <row r="42" spans="1:23" x14ac:dyDescent="0.25">
      <c r="A42" s="2">
        <f t="shared" si="18"/>
        <v>3.0000000000000013</v>
      </c>
      <c r="B42" s="7">
        <f t="shared" si="1"/>
        <v>23.68</v>
      </c>
      <c r="C42" s="7">
        <f t="shared" si="4"/>
        <v>1.4831726785327242</v>
      </c>
      <c r="D42" s="7">
        <f t="shared" si="5"/>
        <v>0.45125221492062417</v>
      </c>
      <c r="E42" s="7">
        <f t="shared" si="6"/>
        <v>1</v>
      </c>
      <c r="G42" s="4">
        <f t="shared" si="7"/>
        <v>300.00000000000017</v>
      </c>
      <c r="H42" s="1">
        <f t="shared" si="19"/>
        <v>1.5413851351351349</v>
      </c>
      <c r="I42" s="1">
        <f t="shared" si="20"/>
        <v>103.12813974381194</v>
      </c>
      <c r="J42" s="1">
        <f t="shared" si="8"/>
        <v>3.4376046581270647</v>
      </c>
      <c r="K42" s="7">
        <f t="shared" si="9"/>
        <v>0.28254284861318341</v>
      </c>
      <c r="L42" s="4">
        <f t="shared" si="10"/>
        <v>6487.6712328767135</v>
      </c>
      <c r="M42" s="1">
        <f t="shared" si="11"/>
        <v>741.58633926636207</v>
      </c>
      <c r="N42" s="7">
        <f t="shared" si="12"/>
        <v>0.45125221492062417</v>
      </c>
      <c r="O42" s="1">
        <f t="shared" si="13"/>
        <v>3000</v>
      </c>
      <c r="P42" s="2">
        <f t="shared" si="14"/>
        <v>4.8111683599527284</v>
      </c>
      <c r="Q42" s="2">
        <f t="shared" si="15"/>
        <v>29.40846649154161</v>
      </c>
      <c r="S42" s="1">
        <f t="shared" si="2"/>
        <v>3000</v>
      </c>
      <c r="T42" s="1">
        <f t="shared" si="3"/>
        <v>6487.6712328767135</v>
      </c>
      <c r="V42" s="1">
        <f t="shared" si="16"/>
        <v>6487.6712328767135</v>
      </c>
      <c r="W42" s="1">
        <f t="shared" si="17"/>
        <v>3000</v>
      </c>
    </row>
    <row r="43" spans="1:23" x14ac:dyDescent="0.25">
      <c r="A43" s="2">
        <f t="shared" si="18"/>
        <v>3.1000000000000014</v>
      </c>
      <c r="B43" s="7">
        <f t="shared" si="1"/>
        <v>23.68</v>
      </c>
      <c r="C43" s="7">
        <f t="shared" si="4"/>
        <v>1.4838343210826708</v>
      </c>
      <c r="D43" s="7">
        <f t="shared" si="5"/>
        <v>0.45399147396235323</v>
      </c>
      <c r="E43" s="7">
        <f t="shared" si="6"/>
        <v>1</v>
      </c>
      <c r="G43" s="4">
        <f t="shared" si="7"/>
        <v>310.00000000000017</v>
      </c>
      <c r="H43" s="1">
        <f t="shared" si="19"/>
        <v>1.5413851351351349</v>
      </c>
      <c r="I43" s="1">
        <f t="shared" si="20"/>
        <v>104.66952487894707</v>
      </c>
      <c r="J43" s="1">
        <f t="shared" si="8"/>
        <v>3.488984162631569</v>
      </c>
      <c r="K43" s="7">
        <f t="shared" si="9"/>
        <v>0.28676582158615638</v>
      </c>
      <c r="L43" s="4">
        <f t="shared" si="10"/>
        <v>6487.6712328767135</v>
      </c>
      <c r="M43" s="1">
        <f t="shared" si="11"/>
        <v>741.91716054133542</v>
      </c>
      <c r="N43" s="7">
        <f t="shared" si="12"/>
        <v>0.45399147396235323</v>
      </c>
      <c r="O43" s="1">
        <f t="shared" si="13"/>
        <v>3000</v>
      </c>
      <c r="P43" s="2">
        <f t="shared" si="14"/>
        <v>4.8133146196215959</v>
      </c>
      <c r="Q43" s="2">
        <f t="shared" si="15"/>
        <v>29.587800346876389</v>
      </c>
      <c r="S43" s="1">
        <f t="shared" si="2"/>
        <v>3000</v>
      </c>
      <c r="T43" s="1">
        <f t="shared" si="3"/>
        <v>6487.6712328767135</v>
      </c>
      <c r="V43" s="1">
        <f t="shared" si="16"/>
        <v>6487.6712328767135</v>
      </c>
      <c r="W43" s="1">
        <f t="shared" si="17"/>
        <v>3000</v>
      </c>
    </row>
    <row r="44" spans="1:23" x14ac:dyDescent="0.25">
      <c r="A44" s="2">
        <f t="shared" si="18"/>
        <v>3.2000000000000015</v>
      </c>
      <c r="B44" s="7">
        <f t="shared" ref="B44:B75" si="21">IF(A44&lt;=$B$2,$B$3*EXP(A44*$B$4),IF(A44&lt;$B$7,$B$6,IF($B$8*EXP(A44*$B$9)&gt;$B$6,$B$6,$B$8*EXP(A44*$B$9))))</f>
        <v>23.68</v>
      </c>
      <c r="C44" s="7">
        <f t="shared" si="4"/>
        <v>1.48449625879101</v>
      </c>
      <c r="D44" s="7">
        <f t="shared" si="5"/>
        <v>0.45674736126617088</v>
      </c>
      <c r="E44" s="7">
        <f t="shared" si="6"/>
        <v>1</v>
      </c>
      <c r="G44" s="4">
        <f t="shared" si="7"/>
        <v>320.00000000000017</v>
      </c>
      <c r="H44" s="1">
        <f t="shared" si="19"/>
        <v>1.5413851351351349</v>
      </c>
      <c r="I44" s="1">
        <f t="shared" si="20"/>
        <v>106.2109100140822</v>
      </c>
      <c r="J44" s="1">
        <f t="shared" si="8"/>
        <v>3.5403636671360732</v>
      </c>
      <c r="K44" s="7">
        <f t="shared" si="9"/>
        <v>0.29098879455912929</v>
      </c>
      <c r="L44" s="4">
        <f t="shared" si="10"/>
        <v>6487.6712328767135</v>
      </c>
      <c r="M44" s="1">
        <f t="shared" si="11"/>
        <v>742.24812939550498</v>
      </c>
      <c r="N44" s="7">
        <f t="shared" si="12"/>
        <v>0.45674736126617088</v>
      </c>
      <c r="O44" s="1">
        <f t="shared" si="13"/>
        <v>3000</v>
      </c>
      <c r="P44" s="2">
        <f t="shared" si="14"/>
        <v>4.8154618367357704</v>
      </c>
      <c r="Q44" s="2">
        <f t="shared" si="15"/>
        <v>29.76823278151398</v>
      </c>
      <c r="S44" s="1">
        <f t="shared" ref="S44:S75" si="22">E44*$H$3</f>
        <v>3000</v>
      </c>
      <c r="T44" s="1">
        <f t="shared" ref="T44:T75" si="23">B44/100*$H$2/365*1000000</f>
        <v>6487.6712328767135</v>
      </c>
      <c r="V44" s="1">
        <f t="shared" si="16"/>
        <v>6487.6712328767135</v>
      </c>
      <c r="W44" s="1">
        <f t="shared" si="17"/>
        <v>3000</v>
      </c>
    </row>
    <row r="45" spans="1:23" x14ac:dyDescent="0.25">
      <c r="A45" s="2">
        <f t="shared" si="18"/>
        <v>3.3000000000000016</v>
      </c>
      <c r="B45" s="7">
        <f t="shared" si="21"/>
        <v>23.68</v>
      </c>
      <c r="C45" s="7">
        <f t="shared" si="4"/>
        <v>1.4851584917894121</v>
      </c>
      <c r="D45" s="7">
        <f t="shared" si="5"/>
        <v>0.45951997777145354</v>
      </c>
      <c r="E45" s="7">
        <f t="shared" si="6"/>
        <v>1</v>
      </c>
      <c r="G45" s="4">
        <f t="shared" si="7"/>
        <v>330.00000000000017</v>
      </c>
      <c r="H45" s="1">
        <f t="shared" si="19"/>
        <v>1.5413851351351349</v>
      </c>
      <c r="I45" s="1">
        <f t="shared" si="20"/>
        <v>107.75229514921733</v>
      </c>
      <c r="J45" s="1">
        <f t="shared" si="8"/>
        <v>3.5917431716405779</v>
      </c>
      <c r="K45" s="7">
        <f t="shared" si="9"/>
        <v>0.29521176753210226</v>
      </c>
      <c r="L45" s="4">
        <f t="shared" si="10"/>
        <v>6487.6712328767135</v>
      </c>
      <c r="M45" s="1">
        <f t="shared" si="11"/>
        <v>742.57924589470599</v>
      </c>
      <c r="N45" s="7">
        <f t="shared" si="12"/>
        <v>0.45951997777145354</v>
      </c>
      <c r="O45" s="1">
        <f t="shared" si="13"/>
        <v>3000</v>
      </c>
      <c r="P45" s="2">
        <f t="shared" si="14"/>
        <v>4.8176100117223672</v>
      </c>
      <c r="Q45" s="2">
        <f t="shared" si="15"/>
        <v>29.949770586341014</v>
      </c>
      <c r="S45" s="1">
        <f t="shared" si="22"/>
        <v>3000</v>
      </c>
      <c r="T45" s="1">
        <f t="shared" si="23"/>
        <v>6487.6712328767135</v>
      </c>
      <c r="V45" s="1">
        <f t="shared" si="16"/>
        <v>6487.6712328767135</v>
      </c>
      <c r="W45" s="1">
        <f t="shared" si="17"/>
        <v>3000</v>
      </c>
    </row>
    <row r="46" spans="1:23" x14ac:dyDescent="0.25">
      <c r="A46" s="2">
        <f t="shared" si="18"/>
        <v>3.4000000000000017</v>
      </c>
      <c r="B46" s="7">
        <f t="shared" si="21"/>
        <v>23.68</v>
      </c>
      <c r="C46" s="7">
        <f t="shared" si="4"/>
        <v>1.4858210202096056</v>
      </c>
      <c r="D46" s="7">
        <f t="shared" si="5"/>
        <v>0.4623094250303153</v>
      </c>
      <c r="E46" s="7">
        <f t="shared" si="6"/>
        <v>1</v>
      </c>
      <c r="G46" s="4">
        <f t="shared" si="7"/>
        <v>340.00000000000017</v>
      </c>
      <c r="H46" s="1">
        <f t="shared" si="19"/>
        <v>1.5413851351351349</v>
      </c>
      <c r="I46" s="1">
        <f t="shared" si="20"/>
        <v>109.29368028435246</v>
      </c>
      <c r="J46" s="1">
        <f t="shared" si="8"/>
        <v>3.6431226761450821</v>
      </c>
      <c r="K46" s="7">
        <f t="shared" si="9"/>
        <v>0.29943474050507524</v>
      </c>
      <c r="L46" s="4">
        <f t="shared" si="10"/>
        <v>6487.6712328767135</v>
      </c>
      <c r="M46" s="1">
        <f t="shared" si="11"/>
        <v>742.91051010480282</v>
      </c>
      <c r="N46" s="7">
        <f t="shared" si="12"/>
        <v>0.4623094250303153</v>
      </c>
      <c r="O46" s="1">
        <f t="shared" si="13"/>
        <v>3000</v>
      </c>
      <c r="P46" s="2">
        <f t="shared" si="14"/>
        <v>4.8197591450086943</v>
      </c>
      <c r="Q46" s="2">
        <f t="shared" si="15"/>
        <v>30.132420594969823</v>
      </c>
      <c r="S46" s="1">
        <f t="shared" si="22"/>
        <v>3000</v>
      </c>
      <c r="T46" s="1">
        <f t="shared" si="23"/>
        <v>6487.6712328767135</v>
      </c>
      <c r="V46" s="1">
        <f t="shared" si="16"/>
        <v>6487.6712328767135</v>
      </c>
      <c r="W46" s="1">
        <f t="shared" si="17"/>
        <v>3000</v>
      </c>
    </row>
    <row r="47" spans="1:23" x14ac:dyDescent="0.25">
      <c r="A47" s="2">
        <f t="shared" si="18"/>
        <v>3.5000000000000018</v>
      </c>
      <c r="B47" s="7">
        <f t="shared" si="21"/>
        <v>23.68</v>
      </c>
      <c r="C47" s="7">
        <f t="shared" si="4"/>
        <v>1.4864838441833781</v>
      </c>
      <c r="D47" s="7">
        <f t="shared" si="5"/>
        <v>0.46511580521132712</v>
      </c>
      <c r="E47" s="7">
        <f t="shared" si="6"/>
        <v>1</v>
      </c>
      <c r="G47" s="4">
        <f t="shared" si="7"/>
        <v>350.00000000000023</v>
      </c>
      <c r="H47" s="1">
        <f t="shared" si="19"/>
        <v>1.5413851351351435</v>
      </c>
      <c r="I47" s="1">
        <f t="shared" si="20"/>
        <v>110.83506541948761</v>
      </c>
      <c r="J47" s="1">
        <f t="shared" si="8"/>
        <v>3.6945021806495868</v>
      </c>
      <c r="K47" s="7">
        <f t="shared" si="9"/>
        <v>0.30365771347804821</v>
      </c>
      <c r="L47" s="4">
        <f t="shared" si="10"/>
        <v>6487.6712328767135</v>
      </c>
      <c r="M47" s="1">
        <f t="shared" si="11"/>
        <v>743.24192209168905</v>
      </c>
      <c r="N47" s="7">
        <f t="shared" si="12"/>
        <v>0.46511580521132712</v>
      </c>
      <c r="O47" s="1">
        <f t="shared" si="13"/>
        <v>3000</v>
      </c>
      <c r="P47" s="2">
        <f t="shared" si="14"/>
        <v>4.8219092370222461</v>
      </c>
      <c r="Q47" s="2">
        <f t="shared" si="15"/>
        <v>30.316189684016365</v>
      </c>
      <c r="S47" s="1">
        <f t="shared" si="22"/>
        <v>3000</v>
      </c>
      <c r="T47" s="1">
        <f t="shared" si="23"/>
        <v>6487.6712328767135</v>
      </c>
      <c r="V47" s="1">
        <f t="shared" si="16"/>
        <v>6487.6712328767135</v>
      </c>
      <c r="W47" s="1">
        <f t="shared" si="17"/>
        <v>3000</v>
      </c>
    </row>
    <row r="48" spans="1:23" x14ac:dyDescent="0.25">
      <c r="A48" s="2">
        <f t="shared" si="18"/>
        <v>3.6000000000000019</v>
      </c>
      <c r="B48" s="7">
        <f t="shared" si="21"/>
        <v>23.68</v>
      </c>
      <c r="C48" s="7">
        <f t="shared" si="4"/>
        <v>1.4871469638425756</v>
      </c>
      <c r="D48" s="7">
        <f t="shared" si="5"/>
        <v>0.46793922110325881</v>
      </c>
      <c r="E48" s="7">
        <f t="shared" si="6"/>
        <v>1</v>
      </c>
      <c r="G48" s="4">
        <f t="shared" si="7"/>
        <v>360.00000000000023</v>
      </c>
      <c r="H48" s="1">
        <f t="shared" si="19"/>
        <v>1.5413851351351349</v>
      </c>
      <c r="I48" s="1">
        <f t="shared" si="20"/>
        <v>112.37645055462274</v>
      </c>
      <c r="J48" s="1">
        <f t="shared" si="8"/>
        <v>3.745881685154091</v>
      </c>
      <c r="K48" s="7">
        <f t="shared" si="9"/>
        <v>0.30788068645102118</v>
      </c>
      <c r="L48" s="4">
        <f t="shared" si="10"/>
        <v>6487.6712328767135</v>
      </c>
      <c r="M48" s="1">
        <f t="shared" si="11"/>
        <v>743.57348192128779</v>
      </c>
      <c r="N48" s="7">
        <f t="shared" si="12"/>
        <v>0.46793922110325881</v>
      </c>
      <c r="O48" s="1">
        <f t="shared" si="13"/>
        <v>3000</v>
      </c>
      <c r="P48" s="2">
        <f t="shared" si="14"/>
        <v>4.8240602881907124</v>
      </c>
      <c r="Q48" s="2">
        <f t="shared" si="15"/>
        <v>30.501084773380082</v>
      </c>
      <c r="S48" s="1">
        <f t="shared" si="22"/>
        <v>3000</v>
      </c>
      <c r="T48" s="1">
        <f t="shared" si="23"/>
        <v>6487.6712328767135</v>
      </c>
      <c r="V48" s="1">
        <f t="shared" si="16"/>
        <v>6487.6712328767135</v>
      </c>
      <c r="W48" s="1">
        <f t="shared" si="17"/>
        <v>3000</v>
      </c>
    </row>
    <row r="49" spans="1:23" x14ac:dyDescent="0.25">
      <c r="A49" s="2">
        <f t="shared" si="18"/>
        <v>3.700000000000002</v>
      </c>
      <c r="B49" s="7">
        <f t="shared" si="21"/>
        <v>23.68</v>
      </c>
      <c r="C49" s="7">
        <f t="shared" si="4"/>
        <v>1.487810379319104</v>
      </c>
      <c r="D49" s="7">
        <f t="shared" si="5"/>
        <v>0.4707797761188442</v>
      </c>
      <c r="E49" s="7">
        <f t="shared" si="6"/>
        <v>1</v>
      </c>
      <c r="G49" s="4">
        <f t="shared" si="7"/>
        <v>370.00000000000023</v>
      </c>
      <c r="H49" s="1">
        <f t="shared" si="19"/>
        <v>1.5413851351351349</v>
      </c>
      <c r="I49" s="1">
        <f t="shared" si="20"/>
        <v>113.91783568975787</v>
      </c>
      <c r="J49" s="1">
        <f t="shared" si="8"/>
        <v>3.7972611896585957</v>
      </c>
      <c r="K49" s="7">
        <f t="shared" si="9"/>
        <v>0.31210365942399415</v>
      </c>
      <c r="L49" s="4">
        <f t="shared" si="10"/>
        <v>6487.6712328767135</v>
      </c>
      <c r="M49" s="1">
        <f t="shared" si="11"/>
        <v>743.90518965955198</v>
      </c>
      <c r="N49" s="7">
        <f t="shared" si="12"/>
        <v>0.4707797761188442</v>
      </c>
      <c r="O49" s="1">
        <f t="shared" si="13"/>
        <v>3000</v>
      </c>
      <c r="P49" s="2">
        <f t="shared" si="14"/>
        <v>4.8262122989419707</v>
      </c>
      <c r="Q49" s="2">
        <f t="shared" si="15"/>
        <v>30.687112826525706</v>
      </c>
      <c r="S49" s="1">
        <f t="shared" si="22"/>
        <v>3000</v>
      </c>
      <c r="T49" s="1">
        <f t="shared" si="23"/>
        <v>6487.6712328767135</v>
      </c>
      <c r="V49" s="1">
        <f t="shared" si="16"/>
        <v>6487.6712328767135</v>
      </c>
      <c r="W49" s="1">
        <f t="shared" si="17"/>
        <v>3000</v>
      </c>
    </row>
    <row r="50" spans="1:23" x14ac:dyDescent="0.25">
      <c r="A50" s="2">
        <f t="shared" si="18"/>
        <v>3.800000000000002</v>
      </c>
      <c r="B50" s="7">
        <f t="shared" si="21"/>
        <v>23.68</v>
      </c>
      <c r="C50" s="7">
        <f t="shared" si="4"/>
        <v>1.4884740907449263</v>
      </c>
      <c r="D50" s="7">
        <f t="shared" si="5"/>
        <v>0.47363757429856862</v>
      </c>
      <c r="E50" s="7">
        <f t="shared" si="6"/>
        <v>1</v>
      </c>
      <c r="G50" s="4">
        <f t="shared" si="7"/>
        <v>380.00000000000023</v>
      </c>
      <c r="H50" s="1">
        <f t="shared" si="19"/>
        <v>1.5413851351351349</v>
      </c>
      <c r="I50" s="1">
        <f t="shared" si="20"/>
        <v>115.45922082489299</v>
      </c>
      <c r="J50" s="1">
        <f t="shared" si="8"/>
        <v>3.8486406941631</v>
      </c>
      <c r="K50" s="7">
        <f t="shared" si="9"/>
        <v>0.31632663239696712</v>
      </c>
      <c r="L50" s="4">
        <f t="shared" si="10"/>
        <v>6487.6712328767135</v>
      </c>
      <c r="M50" s="1">
        <f t="shared" si="11"/>
        <v>744.23704537246317</v>
      </c>
      <c r="N50" s="7">
        <f t="shared" si="12"/>
        <v>0.47363757429856862</v>
      </c>
      <c r="O50" s="1">
        <f t="shared" si="13"/>
        <v>3000</v>
      </c>
      <c r="P50" s="2">
        <f t="shared" si="14"/>
        <v>4.8283652697040909</v>
      </c>
      <c r="Q50" s="2">
        <f t="shared" si="15"/>
        <v>30.874280850767004</v>
      </c>
      <c r="S50" s="1">
        <f t="shared" si="22"/>
        <v>3000</v>
      </c>
      <c r="T50" s="1">
        <f t="shared" si="23"/>
        <v>6487.6712328767135</v>
      </c>
      <c r="V50" s="1">
        <f t="shared" si="16"/>
        <v>6487.6712328767135</v>
      </c>
      <c r="W50" s="1">
        <f t="shared" si="17"/>
        <v>3000</v>
      </c>
    </row>
    <row r="51" spans="1:23" x14ac:dyDescent="0.25">
      <c r="A51" s="2">
        <f t="shared" si="18"/>
        <v>3.9000000000000021</v>
      </c>
      <c r="B51" s="7">
        <f t="shared" si="21"/>
        <v>23.68</v>
      </c>
      <c r="C51" s="7">
        <f t="shared" si="4"/>
        <v>1.4891380982520657</v>
      </c>
      <c r="D51" s="7">
        <f t="shared" si="5"/>
        <v>0.4765127203144795</v>
      </c>
      <c r="E51" s="7">
        <f t="shared" si="6"/>
        <v>1</v>
      </c>
      <c r="G51" s="4">
        <f t="shared" si="7"/>
        <v>390.00000000000023</v>
      </c>
      <c r="H51" s="1">
        <f t="shared" si="19"/>
        <v>1.5413851351351349</v>
      </c>
      <c r="I51" s="1">
        <f t="shared" si="20"/>
        <v>117.00060596002812</v>
      </c>
      <c r="J51" s="1">
        <f t="shared" si="8"/>
        <v>3.9000201986676042</v>
      </c>
      <c r="K51" s="7">
        <f t="shared" si="9"/>
        <v>0.32054960536994009</v>
      </c>
      <c r="L51" s="4">
        <f t="shared" si="10"/>
        <v>6487.6712328767135</v>
      </c>
      <c r="M51" s="1">
        <f t="shared" si="11"/>
        <v>744.56904912603284</v>
      </c>
      <c r="N51" s="7">
        <f t="shared" si="12"/>
        <v>0.4765127203144795</v>
      </c>
      <c r="O51" s="1">
        <f t="shared" si="13"/>
        <v>3000</v>
      </c>
      <c r="P51" s="2">
        <f t="shared" si="14"/>
        <v>4.8305192009053313</v>
      </c>
      <c r="Q51" s="2">
        <f t="shared" si="15"/>
        <v>31.06259589755248</v>
      </c>
      <c r="S51" s="1">
        <f t="shared" si="22"/>
        <v>3000</v>
      </c>
      <c r="T51" s="1">
        <f t="shared" si="23"/>
        <v>6487.6712328767135</v>
      </c>
      <c r="V51" s="1">
        <f t="shared" si="16"/>
        <v>6487.6712328767135</v>
      </c>
      <c r="W51" s="1">
        <f t="shared" si="17"/>
        <v>3000</v>
      </c>
    </row>
    <row r="52" spans="1:23" x14ac:dyDescent="0.25">
      <c r="A52" s="2">
        <f t="shared" si="18"/>
        <v>4.0000000000000018</v>
      </c>
      <c r="B52" s="7">
        <f t="shared" si="21"/>
        <v>23.68</v>
      </c>
      <c r="C52" s="7">
        <f t="shared" si="4"/>
        <v>1.4898024019726039</v>
      </c>
      <c r="D52" s="7">
        <f t="shared" si="5"/>
        <v>0.47940531947402043</v>
      </c>
      <c r="E52" s="7">
        <f t="shared" si="6"/>
        <v>1</v>
      </c>
      <c r="G52" s="4">
        <f t="shared" si="7"/>
        <v>400.00000000000011</v>
      </c>
      <c r="H52" s="1">
        <f t="shared" si="19"/>
        <v>1.5413851351351175</v>
      </c>
      <c r="I52" s="1">
        <f t="shared" si="20"/>
        <v>118.54199109516324</v>
      </c>
      <c r="J52" s="1">
        <f t="shared" si="8"/>
        <v>3.951399703172108</v>
      </c>
      <c r="K52" s="7">
        <f t="shared" si="9"/>
        <v>0.32477257834291301</v>
      </c>
      <c r="L52" s="4">
        <f t="shared" si="10"/>
        <v>6487.6712328767135</v>
      </c>
      <c r="M52" s="1">
        <f t="shared" si="11"/>
        <v>744.901200986302</v>
      </c>
      <c r="N52" s="7">
        <f t="shared" si="12"/>
        <v>0.47940531947402043</v>
      </c>
      <c r="O52" s="1">
        <f t="shared" si="13"/>
        <v>3000</v>
      </c>
      <c r="P52" s="2">
        <f t="shared" si="14"/>
        <v>4.8326740929741465</v>
      </c>
      <c r="Q52" s="2">
        <f t="shared" si="15"/>
        <v>31.252065062753047</v>
      </c>
      <c r="S52" s="1">
        <f t="shared" si="22"/>
        <v>3000</v>
      </c>
      <c r="T52" s="1">
        <f t="shared" si="23"/>
        <v>6487.6712328767135</v>
      </c>
      <c r="V52" s="1">
        <f t="shared" si="16"/>
        <v>6487.6712328767135</v>
      </c>
      <c r="W52" s="1">
        <f t="shared" si="17"/>
        <v>3000</v>
      </c>
    </row>
    <row r="53" spans="1:23" x14ac:dyDescent="0.25">
      <c r="A53" s="2">
        <f t="shared" si="18"/>
        <v>4.1000000000000014</v>
      </c>
      <c r="B53" s="7">
        <f t="shared" si="21"/>
        <v>23.68</v>
      </c>
      <c r="C53" s="7">
        <f t="shared" si="4"/>
        <v>1.4904670020386821</v>
      </c>
      <c r="D53" s="7">
        <f t="shared" si="5"/>
        <v>0.482315477723888</v>
      </c>
      <c r="E53" s="7">
        <f t="shared" si="6"/>
        <v>1</v>
      </c>
      <c r="G53" s="4">
        <f t="shared" si="7"/>
        <v>410.00000000000011</v>
      </c>
      <c r="H53" s="1">
        <f t="shared" si="19"/>
        <v>1.5413851351351349</v>
      </c>
      <c r="I53" s="1">
        <f t="shared" si="20"/>
        <v>120.08337623029837</v>
      </c>
      <c r="J53" s="1">
        <f t="shared" si="8"/>
        <v>4.0027792076766122</v>
      </c>
      <c r="K53" s="7">
        <f t="shared" si="9"/>
        <v>0.32899555131588593</v>
      </c>
      <c r="L53" s="4">
        <f t="shared" si="10"/>
        <v>6487.6712328767135</v>
      </c>
      <c r="M53" s="1">
        <f t="shared" si="11"/>
        <v>745.23350101934102</v>
      </c>
      <c r="N53" s="7">
        <f t="shared" si="12"/>
        <v>0.482315477723888</v>
      </c>
      <c r="O53" s="1">
        <f t="shared" si="13"/>
        <v>3000</v>
      </c>
      <c r="P53" s="2">
        <f t="shared" si="14"/>
        <v>4.8348299463391777</v>
      </c>
      <c r="Q53" s="2">
        <f t="shared" si="15"/>
        <v>31.442695486951727</v>
      </c>
      <c r="S53" s="1">
        <f t="shared" si="22"/>
        <v>3000</v>
      </c>
      <c r="T53" s="1">
        <f t="shared" si="23"/>
        <v>6487.6712328767135</v>
      </c>
      <c r="V53" s="1">
        <f t="shared" si="16"/>
        <v>6487.6712328767135</v>
      </c>
      <c r="W53" s="1">
        <f t="shared" si="17"/>
        <v>3000</v>
      </c>
    </row>
    <row r="54" spans="1:23" x14ac:dyDescent="0.25">
      <c r="A54" s="2">
        <f t="shared" si="18"/>
        <v>4.2000000000000011</v>
      </c>
      <c r="B54" s="7">
        <f t="shared" si="21"/>
        <v>23.68</v>
      </c>
      <c r="C54" s="7">
        <f t="shared" si="4"/>
        <v>1.4911318985824991</v>
      </c>
      <c r="D54" s="7">
        <f t="shared" si="5"/>
        <v>0.48524330165391233</v>
      </c>
      <c r="E54" s="7">
        <f t="shared" si="6"/>
        <v>1</v>
      </c>
      <c r="G54" s="4">
        <f t="shared" si="7"/>
        <v>420.00000000000011</v>
      </c>
      <c r="H54" s="1">
        <f t="shared" si="19"/>
        <v>1.5413851351351349</v>
      </c>
      <c r="I54" s="1">
        <f t="shared" si="20"/>
        <v>121.6247613654335</v>
      </c>
      <c r="J54" s="1">
        <f t="shared" si="8"/>
        <v>4.0541587121811169</v>
      </c>
      <c r="K54" s="7">
        <f t="shared" si="9"/>
        <v>0.3332185242888589</v>
      </c>
      <c r="L54" s="4">
        <f t="shared" si="10"/>
        <v>6487.6712328767135</v>
      </c>
      <c r="M54" s="1">
        <f t="shared" si="11"/>
        <v>745.56594929124958</v>
      </c>
      <c r="N54" s="7">
        <f t="shared" si="12"/>
        <v>0.48524330165391233</v>
      </c>
      <c r="O54" s="1">
        <f t="shared" si="13"/>
        <v>3000</v>
      </c>
      <c r="P54" s="2">
        <f t="shared" si="14"/>
        <v>4.8369867614292588</v>
      </c>
      <c r="Q54" s="2">
        <f t="shared" si="15"/>
        <v>31.634494355735335</v>
      </c>
      <c r="S54" s="1">
        <f t="shared" si="22"/>
        <v>3000</v>
      </c>
      <c r="T54" s="1">
        <f t="shared" si="23"/>
        <v>6487.6712328767135</v>
      </c>
      <c r="V54" s="1">
        <f t="shared" si="16"/>
        <v>6487.6712328767135</v>
      </c>
      <c r="W54" s="1">
        <f t="shared" si="17"/>
        <v>3000</v>
      </c>
    </row>
    <row r="55" spans="1:23" x14ac:dyDescent="0.25">
      <c r="A55" s="2">
        <f t="shared" si="18"/>
        <v>4.3000000000000007</v>
      </c>
      <c r="B55" s="7">
        <f t="shared" si="21"/>
        <v>23.68</v>
      </c>
      <c r="C55" s="7">
        <f t="shared" si="4"/>
        <v>1.4917970917363135</v>
      </c>
      <c r="D55" s="7">
        <f t="shared" si="5"/>
        <v>0.48818889850096114</v>
      </c>
      <c r="E55" s="7">
        <f t="shared" si="6"/>
        <v>1</v>
      </c>
      <c r="G55" s="4">
        <f t="shared" si="7"/>
        <v>430.00000000000011</v>
      </c>
      <c r="H55" s="1">
        <f t="shared" si="19"/>
        <v>1.5413851351351349</v>
      </c>
      <c r="I55" s="1">
        <f t="shared" si="20"/>
        <v>123.16614650056863</v>
      </c>
      <c r="J55" s="1">
        <f t="shared" si="8"/>
        <v>4.1055382166856207</v>
      </c>
      <c r="K55" s="7">
        <f t="shared" si="9"/>
        <v>0.33744149726183187</v>
      </c>
      <c r="L55" s="4">
        <f t="shared" si="10"/>
        <v>6487.6712328767135</v>
      </c>
      <c r="M55" s="1">
        <f t="shared" si="11"/>
        <v>745.8985458681567</v>
      </c>
      <c r="N55" s="7">
        <f t="shared" si="12"/>
        <v>0.48818889850096114</v>
      </c>
      <c r="O55" s="1">
        <f t="shared" si="13"/>
        <v>3000</v>
      </c>
      <c r="P55" s="2">
        <f t="shared" si="14"/>
        <v>4.8391445386734118</v>
      </c>
      <c r="Q55" s="2">
        <f t="shared" si="15"/>
        <v>31.827468899988141</v>
      </c>
      <c r="S55" s="1">
        <f t="shared" si="22"/>
        <v>3000</v>
      </c>
      <c r="T55" s="1">
        <f t="shared" si="23"/>
        <v>6487.6712328767135</v>
      </c>
      <c r="V55" s="1">
        <f t="shared" si="16"/>
        <v>6487.6712328767135</v>
      </c>
      <c r="W55" s="1">
        <f t="shared" si="17"/>
        <v>3000</v>
      </c>
    </row>
    <row r="56" spans="1:23" x14ac:dyDescent="0.25">
      <c r="A56" s="2">
        <f t="shared" si="18"/>
        <v>4.4000000000000004</v>
      </c>
      <c r="B56" s="7">
        <f t="shared" si="21"/>
        <v>23.68</v>
      </c>
      <c r="C56" s="7">
        <f t="shared" si="4"/>
        <v>1.4924625816324435</v>
      </c>
      <c r="D56" s="7">
        <f t="shared" si="5"/>
        <v>0.4911523761528675</v>
      </c>
      <c r="E56" s="7">
        <f t="shared" si="6"/>
        <v>1</v>
      </c>
      <c r="G56" s="4">
        <f t="shared" si="7"/>
        <v>440.00000000000006</v>
      </c>
      <c r="H56" s="1">
        <f t="shared" si="19"/>
        <v>1.5413851351351262</v>
      </c>
      <c r="I56" s="1">
        <f t="shared" si="20"/>
        <v>124.70753163570376</v>
      </c>
      <c r="J56" s="1">
        <f t="shared" si="8"/>
        <v>4.1569177211901254</v>
      </c>
      <c r="K56" s="7">
        <f t="shared" si="9"/>
        <v>0.34166447023480484</v>
      </c>
      <c r="L56" s="4">
        <f t="shared" si="10"/>
        <v>6487.6712328767135</v>
      </c>
      <c r="M56" s="1">
        <f t="shared" si="11"/>
        <v>746.23129081622176</v>
      </c>
      <c r="N56" s="7">
        <f t="shared" si="12"/>
        <v>0.4911523761528675</v>
      </c>
      <c r="O56" s="1">
        <f t="shared" si="13"/>
        <v>3000</v>
      </c>
      <c r="P56" s="2">
        <f t="shared" si="14"/>
        <v>4.8413032785008587</v>
      </c>
      <c r="Q56" s="2">
        <f t="shared" si="15"/>
        <v>32.021626396187685</v>
      </c>
      <c r="S56" s="1">
        <f t="shared" si="22"/>
        <v>3000</v>
      </c>
      <c r="T56" s="1">
        <f t="shared" si="23"/>
        <v>6487.6712328767135</v>
      </c>
      <c r="V56" s="1">
        <f t="shared" si="16"/>
        <v>6487.6712328767135</v>
      </c>
      <c r="W56" s="1">
        <f t="shared" si="17"/>
        <v>3000</v>
      </c>
    </row>
    <row r="57" spans="1:23" x14ac:dyDescent="0.25">
      <c r="A57" s="2">
        <f t="shared" si="18"/>
        <v>4.5</v>
      </c>
      <c r="B57" s="7">
        <f t="shared" si="21"/>
        <v>23.68</v>
      </c>
      <c r="C57" s="7">
        <f t="shared" si="4"/>
        <v>1.4931283684032652</v>
      </c>
      <c r="D57" s="7">
        <f t="shared" si="5"/>
        <v>0.49413384315238168</v>
      </c>
      <c r="E57" s="7">
        <f t="shared" si="6"/>
        <v>1</v>
      </c>
      <c r="G57" s="4">
        <f t="shared" si="7"/>
        <v>449.99999999999994</v>
      </c>
      <c r="H57" s="1">
        <f t="shared" si="19"/>
        <v>1.5413851351351175</v>
      </c>
      <c r="I57" s="1">
        <f t="shared" si="20"/>
        <v>126.24891677083887</v>
      </c>
      <c r="J57" s="1">
        <f t="shared" si="8"/>
        <v>4.2082972256946292</v>
      </c>
      <c r="K57" s="7">
        <f t="shared" si="9"/>
        <v>0.34588744320777776</v>
      </c>
      <c r="L57" s="4">
        <f t="shared" si="10"/>
        <v>6487.6712328767135</v>
      </c>
      <c r="M57" s="1">
        <f t="shared" si="11"/>
        <v>746.56418420163266</v>
      </c>
      <c r="N57" s="7">
        <f t="shared" si="12"/>
        <v>0.49413384315238168</v>
      </c>
      <c r="O57" s="1">
        <f t="shared" si="13"/>
        <v>3000</v>
      </c>
      <c r="P57" s="2">
        <f t="shared" si="14"/>
        <v>4.8434629813410046</v>
      </c>
      <c r="Q57" s="2">
        <f t="shared" si="15"/>
        <v>32.216974166702542</v>
      </c>
      <c r="S57" s="1">
        <f t="shared" si="22"/>
        <v>3000</v>
      </c>
      <c r="T57" s="1">
        <f t="shared" si="23"/>
        <v>6487.6712328767135</v>
      </c>
      <c r="V57" s="1">
        <f t="shared" si="16"/>
        <v>6487.6712328767135</v>
      </c>
      <c r="W57" s="1">
        <f t="shared" si="17"/>
        <v>3000</v>
      </c>
    </row>
    <row r="58" spans="1:23" x14ac:dyDescent="0.25">
      <c r="A58" s="2">
        <f t="shared" si="18"/>
        <v>4.5999999999999996</v>
      </c>
      <c r="B58" s="7">
        <f t="shared" si="21"/>
        <v>23.68</v>
      </c>
      <c r="C58" s="7">
        <f t="shared" si="4"/>
        <v>1.4937944521812143</v>
      </c>
      <c r="D58" s="7">
        <f t="shared" si="5"/>
        <v>0.49713340870114608</v>
      </c>
      <c r="E58" s="7">
        <f t="shared" si="6"/>
        <v>1</v>
      </c>
      <c r="G58" s="4">
        <f t="shared" si="7"/>
        <v>459.99999999999994</v>
      </c>
      <c r="H58" s="1">
        <f t="shared" si="19"/>
        <v>1.5413851351351349</v>
      </c>
      <c r="I58" s="1">
        <f t="shared" si="20"/>
        <v>127.790301905974</v>
      </c>
      <c r="J58" s="1">
        <f t="shared" si="8"/>
        <v>4.2596767301991338</v>
      </c>
      <c r="K58" s="7">
        <f t="shared" si="9"/>
        <v>0.35011041618075067</v>
      </c>
      <c r="L58" s="4">
        <f t="shared" si="10"/>
        <v>6487.6712328767135</v>
      </c>
      <c r="M58" s="1">
        <f t="shared" si="11"/>
        <v>746.89722609060721</v>
      </c>
      <c r="N58" s="7">
        <f t="shared" si="12"/>
        <v>0.49713340870114608</v>
      </c>
      <c r="O58" s="1">
        <f t="shared" si="13"/>
        <v>3000</v>
      </c>
      <c r="P58" s="2">
        <f t="shared" si="14"/>
        <v>4.8456236476234471</v>
      </c>
      <c r="Q58" s="2">
        <f t="shared" si="15"/>
        <v>32.413519580092199</v>
      </c>
      <c r="S58" s="1">
        <f t="shared" si="22"/>
        <v>3000</v>
      </c>
      <c r="T58" s="1">
        <f t="shared" si="23"/>
        <v>6487.6712328767135</v>
      </c>
      <c r="V58" s="1">
        <f t="shared" si="16"/>
        <v>6487.6712328767135</v>
      </c>
      <c r="W58" s="1">
        <f t="shared" si="17"/>
        <v>3000</v>
      </c>
    </row>
    <row r="59" spans="1:23" x14ac:dyDescent="0.25">
      <c r="A59" s="2">
        <f t="shared" si="18"/>
        <v>4.6999999999999993</v>
      </c>
      <c r="B59" s="7">
        <f t="shared" si="21"/>
        <v>23.68</v>
      </c>
      <c r="C59" s="7">
        <f t="shared" si="4"/>
        <v>1.4944608330987856</v>
      </c>
      <c r="D59" s="7">
        <f t="shared" si="5"/>
        <v>0.50015118266369551</v>
      </c>
      <c r="E59" s="7">
        <f t="shared" si="6"/>
        <v>1</v>
      </c>
      <c r="G59" s="4">
        <f t="shared" si="7"/>
        <v>469.99999999999994</v>
      </c>
      <c r="H59" s="1">
        <f t="shared" si="19"/>
        <v>1.5413851351351349</v>
      </c>
      <c r="I59" s="1">
        <f t="shared" si="20"/>
        <v>129.33168704110915</v>
      </c>
      <c r="J59" s="1">
        <f t="shared" si="8"/>
        <v>4.3110562347036385</v>
      </c>
      <c r="K59" s="7">
        <f t="shared" si="9"/>
        <v>0.3543333891537237</v>
      </c>
      <c r="L59" s="4">
        <f t="shared" si="10"/>
        <v>6487.6712328767135</v>
      </c>
      <c r="M59" s="1">
        <f t="shared" si="11"/>
        <v>747.23041654939277</v>
      </c>
      <c r="N59" s="7">
        <f t="shared" si="12"/>
        <v>0.50015118266369551</v>
      </c>
      <c r="O59" s="1">
        <f t="shared" si="13"/>
        <v>3000</v>
      </c>
      <c r="P59" s="2">
        <f t="shared" si="14"/>
        <v>4.8477852777779793</v>
      </c>
      <c r="Q59" s="2">
        <f t="shared" si="15"/>
        <v>32.611270051409015</v>
      </c>
      <c r="S59" s="1">
        <f t="shared" si="22"/>
        <v>3000</v>
      </c>
      <c r="T59" s="1">
        <f t="shared" si="23"/>
        <v>6487.6712328767135</v>
      </c>
      <c r="V59" s="1">
        <f t="shared" si="16"/>
        <v>6487.6712328767135</v>
      </c>
      <c r="W59" s="1">
        <f t="shared" si="17"/>
        <v>3000</v>
      </c>
    </row>
    <row r="60" spans="1:23" x14ac:dyDescent="0.25">
      <c r="A60" s="2">
        <f t="shared" si="18"/>
        <v>4.7999999999999989</v>
      </c>
      <c r="B60" s="7">
        <f t="shared" si="21"/>
        <v>23.68</v>
      </c>
      <c r="C60" s="7">
        <f t="shared" si="4"/>
        <v>1.4951275112885329</v>
      </c>
      <c r="D60" s="7">
        <f t="shared" si="5"/>
        <v>0.50318727557148113</v>
      </c>
      <c r="E60" s="7">
        <f t="shared" si="6"/>
        <v>1</v>
      </c>
      <c r="G60" s="4">
        <f t="shared" si="7"/>
        <v>479.99999999999989</v>
      </c>
      <c r="H60" s="1">
        <f t="shared" si="19"/>
        <v>1.5413851351351262</v>
      </c>
      <c r="I60" s="1">
        <f t="shared" si="20"/>
        <v>130.87307217624428</v>
      </c>
      <c r="J60" s="1">
        <f t="shared" si="8"/>
        <v>4.3624357392081423</v>
      </c>
      <c r="K60" s="7">
        <f t="shared" si="9"/>
        <v>0.35855636212669667</v>
      </c>
      <c r="L60" s="4">
        <f t="shared" si="10"/>
        <v>6487.6712328767135</v>
      </c>
      <c r="M60" s="1">
        <f t="shared" si="11"/>
        <v>747.56375564426651</v>
      </c>
      <c r="N60" s="7">
        <f t="shared" si="12"/>
        <v>0.50318727557148113</v>
      </c>
      <c r="O60" s="1">
        <f t="shared" si="13"/>
        <v>3000</v>
      </c>
      <c r="P60" s="2">
        <f t="shared" si="14"/>
        <v>4.8499478722345843</v>
      </c>
      <c r="Q60" s="2">
        <f t="shared" si="15"/>
        <v>32.810233042502276</v>
      </c>
      <c r="S60" s="1">
        <f t="shared" si="22"/>
        <v>3000</v>
      </c>
      <c r="T60" s="1">
        <f t="shared" si="23"/>
        <v>6487.6712328767135</v>
      </c>
      <c r="V60" s="1">
        <f t="shared" si="16"/>
        <v>6487.6712328767135</v>
      </c>
      <c r="W60" s="1">
        <f t="shared" si="17"/>
        <v>3000</v>
      </c>
    </row>
    <row r="61" spans="1:23" x14ac:dyDescent="0.25">
      <c r="A61" s="2">
        <f t="shared" si="18"/>
        <v>4.8999999999999986</v>
      </c>
      <c r="B61" s="7">
        <f t="shared" si="21"/>
        <v>23.68</v>
      </c>
      <c r="C61" s="7">
        <f t="shared" si="4"/>
        <v>1.4957944868830693</v>
      </c>
      <c r="D61" s="7">
        <f t="shared" si="5"/>
        <v>0.50624179862691854</v>
      </c>
      <c r="E61" s="7">
        <f t="shared" si="6"/>
        <v>1</v>
      </c>
      <c r="G61" s="4">
        <f t="shared" si="7"/>
        <v>489.99999999999989</v>
      </c>
      <c r="H61" s="1">
        <f t="shared" si="19"/>
        <v>1.5413851351351349</v>
      </c>
      <c r="I61" s="1">
        <f t="shared" si="20"/>
        <v>132.41445731137941</v>
      </c>
      <c r="J61" s="1">
        <f t="shared" si="8"/>
        <v>4.413815243712647</v>
      </c>
      <c r="K61" s="7">
        <f t="shared" si="9"/>
        <v>0.36277933509966959</v>
      </c>
      <c r="L61" s="4">
        <f t="shared" si="10"/>
        <v>6487.6712328767135</v>
      </c>
      <c r="M61" s="1">
        <f t="shared" si="11"/>
        <v>747.89724344153467</v>
      </c>
      <c r="N61" s="7">
        <f t="shared" si="12"/>
        <v>0.50624179862691854</v>
      </c>
      <c r="O61" s="1">
        <f t="shared" si="13"/>
        <v>3000</v>
      </c>
      <c r="P61" s="2">
        <f t="shared" si="14"/>
        <v>4.8521114314234373</v>
      </c>
      <c r="Q61" s="2">
        <f t="shared" si="15"/>
        <v>33.010416062324396</v>
      </c>
      <c r="S61" s="1">
        <f t="shared" si="22"/>
        <v>3000</v>
      </c>
      <c r="T61" s="1">
        <f t="shared" si="23"/>
        <v>6487.6712328767135</v>
      </c>
      <c r="V61" s="1">
        <f t="shared" si="16"/>
        <v>6487.6712328767135</v>
      </c>
      <c r="W61" s="1">
        <f t="shared" si="17"/>
        <v>3000</v>
      </c>
    </row>
    <row r="62" spans="1:23" x14ac:dyDescent="0.25">
      <c r="A62" s="2">
        <f t="shared" si="18"/>
        <v>4.9999999999999982</v>
      </c>
      <c r="B62" s="7">
        <f t="shared" si="21"/>
        <v>23.68</v>
      </c>
      <c r="C62" s="7">
        <f t="shared" si="4"/>
        <v>1.4964617600150663</v>
      </c>
      <c r="D62" s="7">
        <f t="shared" si="5"/>
        <v>0.50931486370746104</v>
      </c>
      <c r="E62" s="7">
        <f t="shared" si="6"/>
        <v>1</v>
      </c>
      <c r="G62" s="4">
        <f t="shared" si="7"/>
        <v>499.99999999999983</v>
      </c>
      <c r="H62" s="1">
        <f t="shared" si="19"/>
        <v>1.5413851351351262</v>
      </c>
      <c r="I62" s="1">
        <f t="shared" si="20"/>
        <v>133.95584244651454</v>
      </c>
      <c r="J62" s="1">
        <f t="shared" si="8"/>
        <v>4.4651947482171517</v>
      </c>
      <c r="K62" s="7">
        <f t="shared" si="9"/>
        <v>0.36700230807264256</v>
      </c>
      <c r="L62" s="4">
        <f t="shared" si="10"/>
        <v>6487.6712328767135</v>
      </c>
      <c r="M62" s="1">
        <f t="shared" si="11"/>
        <v>748.23088000753307</v>
      </c>
      <c r="N62" s="7">
        <f t="shared" si="12"/>
        <v>0.50931486370746104</v>
      </c>
      <c r="O62" s="1">
        <f t="shared" si="13"/>
        <v>3000</v>
      </c>
      <c r="P62" s="2">
        <f t="shared" si="14"/>
        <v>4.8542759557749005</v>
      </c>
      <c r="Q62" s="2">
        <f t="shared" si="15"/>
        <v>33.211826667239201</v>
      </c>
      <c r="S62" s="1">
        <f t="shared" si="22"/>
        <v>3000</v>
      </c>
      <c r="T62" s="1">
        <f t="shared" si="23"/>
        <v>6487.6712328767135</v>
      </c>
      <c r="V62" s="1">
        <f t="shared" si="16"/>
        <v>6487.6712328767135</v>
      </c>
      <c r="W62" s="1">
        <f t="shared" si="17"/>
        <v>3000</v>
      </c>
    </row>
    <row r="63" spans="1:23" x14ac:dyDescent="0.25">
      <c r="A63" s="2">
        <f t="shared" si="18"/>
        <v>5.0999999999999979</v>
      </c>
      <c r="B63" s="7">
        <f t="shared" si="21"/>
        <v>23.68</v>
      </c>
      <c r="C63" s="7">
        <f t="shared" si="4"/>
        <v>1.497129330817256</v>
      </c>
      <c r="D63" s="7">
        <f t="shared" si="5"/>
        <v>0.51240658336969713</v>
      </c>
      <c r="E63" s="7">
        <f t="shared" si="6"/>
        <v>1</v>
      </c>
      <c r="G63" s="4">
        <f t="shared" si="7"/>
        <v>509.99999999999977</v>
      </c>
      <c r="H63" s="1">
        <f t="shared" si="19"/>
        <v>1.5413851351351262</v>
      </c>
      <c r="I63" s="1">
        <f t="shared" si="20"/>
        <v>135.49722758164967</v>
      </c>
      <c r="J63" s="1">
        <f t="shared" si="8"/>
        <v>4.5165742527216555</v>
      </c>
      <c r="K63" s="7">
        <f t="shared" si="9"/>
        <v>0.37122528104561553</v>
      </c>
      <c r="L63" s="4">
        <f t="shared" si="10"/>
        <v>6487.6712328767135</v>
      </c>
      <c r="M63" s="1">
        <f t="shared" si="11"/>
        <v>748.564665408628</v>
      </c>
      <c r="N63" s="7">
        <f t="shared" si="12"/>
        <v>0.51240658336969713</v>
      </c>
      <c r="O63" s="1">
        <f t="shared" si="13"/>
        <v>3000</v>
      </c>
      <c r="P63" s="2">
        <f t="shared" si="14"/>
        <v>4.856441445719538</v>
      </c>
      <c r="Q63" s="2">
        <f t="shared" si="15"/>
        <v>33.414472461332394</v>
      </c>
      <c r="S63" s="1">
        <f t="shared" si="22"/>
        <v>3000</v>
      </c>
      <c r="T63" s="1">
        <f t="shared" si="23"/>
        <v>6487.6712328767135</v>
      </c>
      <c r="V63" s="1">
        <f t="shared" si="16"/>
        <v>6487.6712328767135</v>
      </c>
      <c r="W63" s="1">
        <f t="shared" si="17"/>
        <v>3000</v>
      </c>
    </row>
    <row r="64" spans="1:23" x14ac:dyDescent="0.25">
      <c r="A64" s="2">
        <f t="shared" si="18"/>
        <v>5.1999999999999975</v>
      </c>
      <c r="B64" s="7">
        <f t="shared" si="21"/>
        <v>23.68</v>
      </c>
      <c r="C64" s="7">
        <f t="shared" si="4"/>
        <v>1.4977971994224286</v>
      </c>
      <c r="D64" s="7">
        <f t="shared" si="5"/>
        <v>0.51551707085347354</v>
      </c>
      <c r="E64" s="7">
        <f t="shared" si="6"/>
        <v>1</v>
      </c>
      <c r="G64" s="4">
        <f t="shared" si="7"/>
        <v>519.99999999999977</v>
      </c>
      <c r="H64" s="1">
        <f t="shared" si="19"/>
        <v>1.5413851351351349</v>
      </c>
      <c r="I64" s="1">
        <f t="shared" si="20"/>
        <v>137.0386127167848</v>
      </c>
      <c r="J64" s="1">
        <f t="shared" si="8"/>
        <v>4.5679537572261601</v>
      </c>
      <c r="K64" s="7">
        <f t="shared" si="9"/>
        <v>0.3754482540185885</v>
      </c>
      <c r="L64" s="4">
        <f t="shared" si="10"/>
        <v>6487.6712328767135</v>
      </c>
      <c r="M64" s="1">
        <f t="shared" si="11"/>
        <v>748.89859971121427</v>
      </c>
      <c r="N64" s="7">
        <f t="shared" si="12"/>
        <v>0.51551707085347354</v>
      </c>
      <c r="O64" s="1">
        <f t="shared" si="13"/>
        <v>3000</v>
      </c>
      <c r="P64" s="2">
        <f t="shared" si="14"/>
        <v>4.8586079016880976</v>
      </c>
      <c r="Q64" s="2">
        <f t="shared" si="15"/>
        <v>33.618361096724243</v>
      </c>
      <c r="S64" s="1">
        <f t="shared" si="22"/>
        <v>3000</v>
      </c>
      <c r="T64" s="1">
        <f t="shared" si="23"/>
        <v>6487.6712328767135</v>
      </c>
      <c r="V64" s="1">
        <f t="shared" si="16"/>
        <v>6487.6712328767135</v>
      </c>
      <c r="W64" s="1">
        <f t="shared" si="17"/>
        <v>3000</v>
      </c>
    </row>
    <row r="65" spans="1:23" x14ac:dyDescent="0.25">
      <c r="A65" s="2">
        <f t="shared" si="18"/>
        <v>5.2999999999999972</v>
      </c>
      <c r="B65" s="7">
        <f t="shared" si="21"/>
        <v>23.68</v>
      </c>
      <c r="C65" s="7">
        <f t="shared" si="4"/>
        <v>1.4984653659634342</v>
      </c>
      <c r="D65" s="7">
        <f t="shared" si="5"/>
        <v>0.51864644008604233</v>
      </c>
      <c r="E65" s="7">
        <f t="shared" si="6"/>
        <v>1</v>
      </c>
      <c r="G65" s="4">
        <f t="shared" si="7"/>
        <v>529.99999999999966</v>
      </c>
      <c r="H65" s="1">
        <f t="shared" si="19"/>
        <v>1.5413851351351175</v>
      </c>
      <c r="I65" s="1">
        <f t="shared" si="20"/>
        <v>138.57999785191993</v>
      </c>
      <c r="J65" s="1">
        <f t="shared" si="8"/>
        <v>4.6193332617306639</v>
      </c>
      <c r="K65" s="7">
        <f t="shared" si="9"/>
        <v>0.37967122699156142</v>
      </c>
      <c r="L65" s="4">
        <f t="shared" si="10"/>
        <v>6487.6712328767135</v>
      </c>
      <c r="M65" s="1">
        <f t="shared" si="11"/>
        <v>749.23268298171706</v>
      </c>
      <c r="N65" s="7">
        <f t="shared" si="12"/>
        <v>0.51864644008604233</v>
      </c>
      <c r="O65" s="1">
        <f t="shared" si="13"/>
        <v>3000</v>
      </c>
      <c r="P65" s="2">
        <f t="shared" si="14"/>
        <v>4.8607753241115237</v>
      </c>
      <c r="Q65" s="2">
        <f t="shared" si="15"/>
        <v>33.823500273884321</v>
      </c>
      <c r="S65" s="1">
        <f t="shared" si="22"/>
        <v>3000</v>
      </c>
      <c r="T65" s="1">
        <f t="shared" si="23"/>
        <v>6487.6712328767135</v>
      </c>
      <c r="V65" s="1">
        <f t="shared" si="16"/>
        <v>6487.6712328767135</v>
      </c>
      <c r="W65" s="1">
        <f t="shared" si="17"/>
        <v>3000</v>
      </c>
    </row>
    <row r="66" spans="1:23" x14ac:dyDescent="0.25">
      <c r="A66" s="2">
        <f t="shared" si="18"/>
        <v>5.3999999999999968</v>
      </c>
      <c r="B66" s="7">
        <f t="shared" si="21"/>
        <v>23.68</v>
      </c>
      <c r="C66" s="7">
        <f t="shared" si="4"/>
        <v>1.4991338305731809</v>
      </c>
      <c r="D66" s="7">
        <f t="shared" si="5"/>
        <v>0.52179480568623382</v>
      </c>
      <c r="E66" s="7">
        <f t="shared" si="6"/>
        <v>1</v>
      </c>
      <c r="G66" s="4">
        <f t="shared" si="7"/>
        <v>539.99999999999955</v>
      </c>
      <c r="H66" s="1">
        <f t="shared" si="19"/>
        <v>1.5413851351351175</v>
      </c>
      <c r="I66" s="1">
        <f t="shared" si="20"/>
        <v>140.12138298705506</v>
      </c>
      <c r="J66" s="1">
        <f t="shared" si="8"/>
        <v>4.6707127662351686</v>
      </c>
      <c r="K66" s="7">
        <f t="shared" si="9"/>
        <v>0.38389419996453439</v>
      </c>
      <c r="L66" s="4">
        <f t="shared" si="10"/>
        <v>6487.6712328767135</v>
      </c>
      <c r="M66" s="1">
        <f t="shared" si="11"/>
        <v>749.56691528659053</v>
      </c>
      <c r="N66" s="7">
        <f t="shared" si="12"/>
        <v>0.52179480568623382</v>
      </c>
      <c r="O66" s="1">
        <f t="shared" si="13"/>
        <v>3000</v>
      </c>
      <c r="P66" s="2">
        <f t="shared" si="14"/>
        <v>4.8629437134209494</v>
      </c>
      <c r="Q66" s="2">
        <f t="shared" si="15"/>
        <v>34.02989774194856</v>
      </c>
      <c r="S66" s="1">
        <f t="shared" si="22"/>
        <v>3000</v>
      </c>
      <c r="T66" s="1">
        <f t="shared" si="23"/>
        <v>6487.6712328767135</v>
      </c>
      <c r="V66" s="1">
        <f t="shared" si="16"/>
        <v>6487.6712328767135</v>
      </c>
      <c r="W66" s="1">
        <f t="shared" si="17"/>
        <v>3000</v>
      </c>
    </row>
    <row r="67" spans="1:23" x14ac:dyDescent="0.25">
      <c r="A67" s="2">
        <f t="shared" si="18"/>
        <v>5.4999999999999964</v>
      </c>
      <c r="B67" s="7">
        <f t="shared" si="21"/>
        <v>23.68</v>
      </c>
      <c r="C67" s="7">
        <f t="shared" si="4"/>
        <v>1.4998025933846382</v>
      </c>
      <c r="D67" s="7">
        <f t="shared" si="5"/>
        <v>0.52496228296865499</v>
      </c>
      <c r="E67" s="7">
        <f t="shared" si="6"/>
        <v>1</v>
      </c>
      <c r="G67" s="4">
        <f t="shared" si="7"/>
        <v>549.99999999999955</v>
      </c>
      <c r="H67" s="1">
        <f t="shared" si="19"/>
        <v>1.5413851351351349</v>
      </c>
      <c r="I67" s="1">
        <f t="shared" si="20"/>
        <v>141.66276812219019</v>
      </c>
      <c r="J67" s="1">
        <f t="shared" si="8"/>
        <v>4.7220922707396733</v>
      </c>
      <c r="K67" s="7">
        <f t="shared" si="9"/>
        <v>0.38811717293750736</v>
      </c>
      <c r="L67" s="4">
        <f t="shared" si="10"/>
        <v>6487.6712328767135</v>
      </c>
      <c r="M67" s="1">
        <f t="shared" si="11"/>
        <v>749.90129669231908</v>
      </c>
      <c r="N67" s="7">
        <f t="shared" si="12"/>
        <v>0.52496228296865499</v>
      </c>
      <c r="O67" s="1">
        <f t="shared" si="13"/>
        <v>3000</v>
      </c>
      <c r="P67" s="2">
        <f t="shared" si="14"/>
        <v>4.8651130700477037</v>
      </c>
      <c r="Q67" s="2">
        <f t="shared" si="15"/>
        <v>34.237561299038504</v>
      </c>
      <c r="S67" s="1">
        <f t="shared" si="22"/>
        <v>3000</v>
      </c>
      <c r="T67" s="1">
        <f t="shared" si="23"/>
        <v>6487.6712328767135</v>
      </c>
      <c r="V67" s="1">
        <f t="shared" si="16"/>
        <v>6487.6712328767135</v>
      </c>
      <c r="W67" s="1">
        <f t="shared" si="17"/>
        <v>3000</v>
      </c>
    </row>
    <row r="68" spans="1:23" x14ac:dyDescent="0.25">
      <c r="A68" s="2">
        <f t="shared" si="18"/>
        <v>5.5999999999999961</v>
      </c>
      <c r="B68" s="7">
        <f t="shared" si="21"/>
        <v>23.68</v>
      </c>
      <c r="C68" s="7">
        <f t="shared" si="4"/>
        <v>1.5004716545308325</v>
      </c>
      <c r="D68" s="7">
        <f t="shared" si="5"/>
        <v>0.52814898794791276</v>
      </c>
      <c r="E68" s="7">
        <f t="shared" si="6"/>
        <v>1</v>
      </c>
      <c r="G68" s="4">
        <f t="shared" si="7"/>
        <v>559.99999999999966</v>
      </c>
      <c r="H68" s="1">
        <f t="shared" si="19"/>
        <v>1.5413851351351522</v>
      </c>
      <c r="I68" s="1">
        <f t="shared" si="20"/>
        <v>143.20415325732534</v>
      </c>
      <c r="J68" s="1">
        <f t="shared" si="8"/>
        <v>4.773471775244178</v>
      </c>
      <c r="K68" s="7">
        <f t="shared" si="9"/>
        <v>0.39234014591048039</v>
      </c>
      <c r="L68" s="4">
        <f t="shared" si="10"/>
        <v>6487.6712328767135</v>
      </c>
      <c r="M68" s="1">
        <f t="shared" si="11"/>
        <v>750.23582726541622</v>
      </c>
      <c r="N68" s="7">
        <f t="shared" si="12"/>
        <v>0.52814898794791276</v>
      </c>
      <c r="O68" s="1">
        <f t="shared" si="13"/>
        <v>3000</v>
      </c>
      <c r="P68" s="2">
        <f t="shared" si="14"/>
        <v>4.8672833944233043</v>
      </c>
      <c r="Q68" s="2">
        <f t="shared" si="15"/>
        <v>34.446498792582751</v>
      </c>
      <c r="S68" s="1">
        <f t="shared" si="22"/>
        <v>3000</v>
      </c>
      <c r="T68" s="1">
        <f t="shared" si="23"/>
        <v>6487.6712328767135</v>
      </c>
      <c r="V68" s="1">
        <f t="shared" si="16"/>
        <v>6487.6712328767135</v>
      </c>
      <c r="W68" s="1">
        <f t="shared" si="17"/>
        <v>3000</v>
      </c>
    </row>
    <row r="69" spans="1:23" x14ac:dyDescent="0.25">
      <c r="A69" s="2">
        <f t="shared" si="18"/>
        <v>5.6999999999999957</v>
      </c>
      <c r="B69" s="7">
        <f t="shared" si="21"/>
        <v>23.68</v>
      </c>
      <c r="C69" s="7">
        <f t="shared" si="4"/>
        <v>1.5011410141448516</v>
      </c>
      <c r="D69" s="7">
        <f t="shared" si="5"/>
        <v>0.53135503734286349</v>
      </c>
      <c r="E69" s="7">
        <f t="shared" si="6"/>
        <v>1</v>
      </c>
      <c r="G69" s="4">
        <f t="shared" si="7"/>
        <v>569.99999999999966</v>
      </c>
      <c r="H69" s="1">
        <f t="shared" si="19"/>
        <v>1.5413851351351349</v>
      </c>
      <c r="I69" s="1">
        <f t="shared" si="20"/>
        <v>144.74553839246047</v>
      </c>
      <c r="J69" s="1">
        <f t="shared" si="8"/>
        <v>4.8248512797486827</v>
      </c>
      <c r="K69" s="7">
        <f t="shared" si="9"/>
        <v>0.39656311888345336</v>
      </c>
      <c r="L69" s="4">
        <f t="shared" si="10"/>
        <v>6487.6712328767135</v>
      </c>
      <c r="M69" s="1">
        <f t="shared" si="11"/>
        <v>750.57050707242581</v>
      </c>
      <c r="N69" s="7">
        <f t="shared" si="12"/>
        <v>0.53135503734286349</v>
      </c>
      <c r="O69" s="1">
        <f t="shared" si="13"/>
        <v>3000</v>
      </c>
      <c r="P69" s="2">
        <f t="shared" si="14"/>
        <v>4.8694546869794655</v>
      </c>
      <c r="Q69" s="2">
        <f t="shared" si="15"/>
        <v>34.656718119640701</v>
      </c>
      <c r="S69" s="1">
        <f t="shared" si="22"/>
        <v>3000</v>
      </c>
      <c r="T69" s="1">
        <f t="shared" si="23"/>
        <v>6487.6712328767135</v>
      </c>
      <c r="V69" s="1">
        <f t="shared" si="16"/>
        <v>6487.6712328767135</v>
      </c>
      <c r="W69" s="1">
        <f t="shared" si="17"/>
        <v>3000</v>
      </c>
    </row>
    <row r="70" spans="1:23" x14ac:dyDescent="0.25">
      <c r="A70" s="2">
        <f t="shared" si="18"/>
        <v>5.7999999999999954</v>
      </c>
      <c r="B70" s="7">
        <f t="shared" si="21"/>
        <v>23.68</v>
      </c>
      <c r="C70" s="7">
        <f t="shared" si="4"/>
        <v>1.5018106723598419</v>
      </c>
      <c r="D70" s="7">
        <f t="shared" si="5"/>
        <v>0.53458054858088766</v>
      </c>
      <c r="E70" s="7">
        <f t="shared" si="6"/>
        <v>1</v>
      </c>
      <c r="G70" s="4">
        <f t="shared" si="7"/>
        <v>579.99999999999955</v>
      </c>
      <c r="H70" s="1">
        <f t="shared" si="19"/>
        <v>1.5413851351351175</v>
      </c>
      <c r="I70" s="1">
        <f t="shared" si="20"/>
        <v>146.2869235275956</v>
      </c>
      <c r="J70" s="1">
        <f t="shared" si="8"/>
        <v>4.8762307842531865</v>
      </c>
      <c r="K70" s="7">
        <f t="shared" si="9"/>
        <v>0.40078609185642633</v>
      </c>
      <c r="L70" s="4">
        <f t="shared" si="10"/>
        <v>6487.6712328767135</v>
      </c>
      <c r="M70" s="1">
        <f t="shared" si="11"/>
        <v>750.90533617992094</v>
      </c>
      <c r="N70" s="7">
        <f t="shared" si="12"/>
        <v>0.53458054858088766</v>
      </c>
      <c r="O70" s="1">
        <f t="shared" si="13"/>
        <v>3000</v>
      </c>
      <c r="P70" s="2">
        <f t="shared" si="14"/>
        <v>4.8716269481480907</v>
      </c>
      <c r="Q70" s="2">
        <f t="shared" si="15"/>
        <v>34.868227227228523</v>
      </c>
      <c r="S70" s="1">
        <f t="shared" si="22"/>
        <v>3000</v>
      </c>
      <c r="T70" s="1">
        <f t="shared" si="23"/>
        <v>6487.6712328767135</v>
      </c>
      <c r="V70" s="1">
        <f t="shared" si="16"/>
        <v>6487.6712328767135</v>
      </c>
      <c r="W70" s="1">
        <f t="shared" si="17"/>
        <v>3000</v>
      </c>
    </row>
    <row r="71" spans="1:23" x14ac:dyDescent="0.25">
      <c r="A71" s="2">
        <f t="shared" si="18"/>
        <v>5.899999999999995</v>
      </c>
      <c r="B71" s="7">
        <f t="shared" si="21"/>
        <v>23.68</v>
      </c>
      <c r="C71" s="7">
        <f t="shared" si="4"/>
        <v>1.5024806293090085</v>
      </c>
      <c r="D71" s="7">
        <f t="shared" si="5"/>
        <v>0.53782563980219111</v>
      </c>
      <c r="E71" s="7">
        <f t="shared" si="6"/>
        <v>1</v>
      </c>
      <c r="G71" s="4">
        <f t="shared" si="7"/>
        <v>589.99999999999955</v>
      </c>
      <c r="H71" s="1">
        <f t="shared" si="19"/>
        <v>1.5413851351351349</v>
      </c>
      <c r="I71" s="1">
        <f t="shared" si="20"/>
        <v>147.82830866273073</v>
      </c>
      <c r="J71" s="1">
        <f t="shared" si="8"/>
        <v>4.9276102887576911</v>
      </c>
      <c r="K71" s="7">
        <f t="shared" si="9"/>
        <v>0.40500906482939925</v>
      </c>
      <c r="L71" s="4">
        <f t="shared" si="10"/>
        <v>6487.6712328767135</v>
      </c>
      <c r="M71" s="1">
        <f t="shared" si="11"/>
        <v>751.24031465450423</v>
      </c>
      <c r="N71" s="7">
        <f t="shared" si="12"/>
        <v>0.53782563980219111</v>
      </c>
      <c r="O71" s="1">
        <f t="shared" si="13"/>
        <v>3000</v>
      </c>
      <c r="P71" s="2">
        <f t="shared" si="14"/>
        <v>4.8738001783612779</v>
      </c>
      <c r="Q71" s="2">
        <f t="shared" si="15"/>
        <v>35.081034112647458</v>
      </c>
      <c r="S71" s="1">
        <f t="shared" si="22"/>
        <v>3000</v>
      </c>
      <c r="T71" s="1">
        <f t="shared" si="23"/>
        <v>6487.6712328767135</v>
      </c>
      <c r="V71" s="1">
        <f t="shared" si="16"/>
        <v>6487.6712328767135</v>
      </c>
      <c r="W71" s="1">
        <f t="shared" si="17"/>
        <v>3000</v>
      </c>
    </row>
    <row r="72" spans="1:23" x14ac:dyDescent="0.25">
      <c r="A72" s="2">
        <f t="shared" si="18"/>
        <v>5.9999999999999947</v>
      </c>
      <c r="B72" s="7">
        <f t="shared" si="21"/>
        <v>23.68</v>
      </c>
      <c r="C72" s="7">
        <f t="shared" si="4"/>
        <v>1.5031508851256168</v>
      </c>
      <c r="D72" s="7">
        <f t="shared" si="5"/>
        <v>0.54109042986413258</v>
      </c>
      <c r="E72" s="7">
        <f t="shared" si="6"/>
        <v>1</v>
      </c>
      <c r="G72" s="4">
        <f t="shared" si="7"/>
        <v>599.99999999999955</v>
      </c>
      <c r="H72" s="1">
        <f t="shared" si="19"/>
        <v>1.5413851351351349</v>
      </c>
      <c r="I72" s="1">
        <f t="shared" si="20"/>
        <v>149.36969379786586</v>
      </c>
      <c r="J72" s="1">
        <f t="shared" si="8"/>
        <v>4.9789897932621958</v>
      </c>
      <c r="K72" s="7">
        <f t="shared" si="9"/>
        <v>0.40923203780237222</v>
      </c>
      <c r="L72" s="4">
        <f t="shared" si="10"/>
        <v>6487.6712328767135</v>
      </c>
      <c r="M72" s="1">
        <f t="shared" si="11"/>
        <v>751.57544256280835</v>
      </c>
      <c r="N72" s="7">
        <f t="shared" si="12"/>
        <v>0.54109042986413258</v>
      </c>
      <c r="O72" s="1">
        <f t="shared" si="13"/>
        <v>3000</v>
      </c>
      <c r="P72" s="2">
        <f t="shared" si="14"/>
        <v>4.8759743780513167</v>
      </c>
      <c r="Q72" s="2">
        <f t="shared" si="15"/>
        <v>35.295146823814427</v>
      </c>
      <c r="S72" s="1">
        <f t="shared" si="22"/>
        <v>3000</v>
      </c>
      <c r="T72" s="1">
        <f t="shared" si="23"/>
        <v>6487.6712328767135</v>
      </c>
      <c r="V72" s="1">
        <f t="shared" si="16"/>
        <v>6487.6712328767135</v>
      </c>
      <c r="W72" s="1">
        <f t="shared" si="17"/>
        <v>3000</v>
      </c>
    </row>
    <row r="73" spans="1:23" x14ac:dyDescent="0.25">
      <c r="A73" s="2">
        <f t="shared" si="18"/>
        <v>6.0999999999999943</v>
      </c>
      <c r="B73" s="7">
        <f t="shared" si="21"/>
        <v>23.68</v>
      </c>
      <c r="C73" s="7">
        <f t="shared" si="4"/>
        <v>1.5038214399429921</v>
      </c>
      <c r="D73" s="7">
        <f t="shared" si="5"/>
        <v>0.5443750383455761</v>
      </c>
      <c r="E73" s="7">
        <f t="shared" si="6"/>
        <v>1</v>
      </c>
      <c r="G73" s="4">
        <f t="shared" si="7"/>
        <v>609.99999999999943</v>
      </c>
      <c r="H73" s="1">
        <f t="shared" si="19"/>
        <v>1.5413851351351175</v>
      </c>
      <c r="I73" s="1">
        <f t="shared" si="20"/>
        <v>150.91107893300099</v>
      </c>
      <c r="J73" s="1">
        <f t="shared" si="8"/>
        <v>5.0303692977666996</v>
      </c>
      <c r="K73" s="7">
        <f t="shared" si="9"/>
        <v>0.41345501077534519</v>
      </c>
      <c r="L73" s="4">
        <f t="shared" si="10"/>
        <v>6487.6712328767135</v>
      </c>
      <c r="M73" s="1">
        <f t="shared" si="11"/>
        <v>751.91071997149606</v>
      </c>
      <c r="N73" s="7">
        <f t="shared" si="12"/>
        <v>0.5443750383455761</v>
      </c>
      <c r="O73" s="1">
        <f t="shared" si="13"/>
        <v>3000</v>
      </c>
      <c r="P73" s="2">
        <f t="shared" si="14"/>
        <v>4.8781495476506933</v>
      </c>
      <c r="Q73" s="2">
        <f t="shared" si="15"/>
        <v>35.510573459594923</v>
      </c>
      <c r="S73" s="1">
        <f t="shared" si="22"/>
        <v>3000</v>
      </c>
      <c r="T73" s="1">
        <f t="shared" si="23"/>
        <v>6487.6712328767135</v>
      </c>
      <c r="V73" s="1">
        <f t="shared" si="16"/>
        <v>6487.6712328767135</v>
      </c>
      <c r="W73" s="1">
        <f t="shared" si="17"/>
        <v>3000</v>
      </c>
    </row>
    <row r="74" spans="1:23" x14ac:dyDescent="0.25">
      <c r="A74" s="2">
        <f t="shared" si="18"/>
        <v>6.199999999999994</v>
      </c>
      <c r="B74" s="7">
        <f t="shared" si="21"/>
        <v>23.68</v>
      </c>
      <c r="C74" s="7">
        <f t="shared" si="4"/>
        <v>1.5044922938945176</v>
      </c>
      <c r="D74" s="7">
        <f t="shared" si="5"/>
        <v>0.54767958555127139</v>
      </c>
      <c r="E74" s="7">
        <f t="shared" si="6"/>
        <v>1</v>
      </c>
      <c r="G74" s="4">
        <f t="shared" si="7"/>
        <v>619.99999999999932</v>
      </c>
      <c r="H74" s="1">
        <f t="shared" si="19"/>
        <v>1.5413851351351175</v>
      </c>
      <c r="I74" s="1">
        <f t="shared" si="20"/>
        <v>152.45246406813612</v>
      </c>
      <c r="J74" s="1">
        <f t="shared" si="8"/>
        <v>5.0817488022712043</v>
      </c>
      <c r="K74" s="7">
        <f t="shared" si="9"/>
        <v>0.41767798374831816</v>
      </c>
      <c r="L74" s="4">
        <f t="shared" si="10"/>
        <v>6487.6712328767135</v>
      </c>
      <c r="M74" s="1">
        <f t="shared" si="11"/>
        <v>752.24614694725881</v>
      </c>
      <c r="N74" s="7">
        <f t="shared" si="12"/>
        <v>0.54767958555127139</v>
      </c>
      <c r="O74" s="1">
        <f t="shared" si="13"/>
        <v>3000</v>
      </c>
      <c r="P74" s="2">
        <f t="shared" si="14"/>
        <v>4.8803256875920802</v>
      </c>
      <c r="Q74" s="2">
        <f t="shared" si="15"/>
        <v>35.72732217013823</v>
      </c>
      <c r="S74" s="1">
        <f t="shared" si="22"/>
        <v>3000</v>
      </c>
      <c r="T74" s="1">
        <f t="shared" si="23"/>
        <v>6487.6712328767135</v>
      </c>
      <c r="V74" s="1">
        <f t="shared" si="16"/>
        <v>6487.6712328767135</v>
      </c>
      <c r="W74" s="1">
        <f t="shared" si="17"/>
        <v>3000</v>
      </c>
    </row>
    <row r="75" spans="1:23" x14ac:dyDescent="0.25">
      <c r="A75" s="2">
        <f t="shared" si="18"/>
        <v>6.2999999999999936</v>
      </c>
      <c r="B75" s="7">
        <f t="shared" si="21"/>
        <v>23.68</v>
      </c>
      <c r="C75" s="7">
        <f t="shared" si="4"/>
        <v>1.505163447113637</v>
      </c>
      <c r="D75" s="7">
        <f t="shared" si="5"/>
        <v>0.55100419251626032</v>
      </c>
      <c r="E75" s="7">
        <f t="shared" si="6"/>
        <v>1</v>
      </c>
      <c r="G75" s="4">
        <f t="shared" si="7"/>
        <v>629.99999999999932</v>
      </c>
      <c r="H75" s="1">
        <f t="shared" si="19"/>
        <v>1.5413851351351349</v>
      </c>
      <c r="I75" s="1">
        <f t="shared" si="20"/>
        <v>153.99384920327125</v>
      </c>
      <c r="J75" s="1">
        <f t="shared" si="8"/>
        <v>5.1331283067757081</v>
      </c>
      <c r="K75" s="7">
        <f t="shared" si="9"/>
        <v>0.42190095672129113</v>
      </c>
      <c r="L75" s="4">
        <f t="shared" si="10"/>
        <v>6487.6712328767135</v>
      </c>
      <c r="M75" s="1">
        <f t="shared" si="11"/>
        <v>752.58172355681847</v>
      </c>
      <c r="N75" s="7">
        <f t="shared" si="12"/>
        <v>0.55100419251626032</v>
      </c>
      <c r="O75" s="1">
        <f t="shared" si="13"/>
        <v>3000</v>
      </c>
      <c r="P75" s="2">
        <f t="shared" si="14"/>
        <v>4.8825027983083462</v>
      </c>
      <c r="Q75" s="2">
        <f t="shared" si="15"/>
        <v>35.945401157215088</v>
      </c>
      <c r="S75" s="1">
        <f t="shared" si="22"/>
        <v>3000</v>
      </c>
      <c r="T75" s="1">
        <f t="shared" si="23"/>
        <v>6487.6712328767135</v>
      </c>
      <c r="V75" s="1">
        <f t="shared" si="16"/>
        <v>6487.6712328767135</v>
      </c>
      <c r="W75" s="1">
        <f t="shared" si="17"/>
        <v>3000</v>
      </c>
    </row>
    <row r="76" spans="1:23" x14ac:dyDescent="0.25">
      <c r="A76" s="2">
        <f t="shared" si="18"/>
        <v>6.3999999999999932</v>
      </c>
      <c r="B76" s="7">
        <f t="shared" ref="B76:B107" si="24">IF(A76&lt;=$B$2,$B$3*EXP(A76*$B$4),IF(A76&lt;$B$7,$B$6,IF($B$8*EXP(A76*$B$9)&gt;$B$6,$B$6,$B$8*EXP(A76*$B$9))))</f>
        <v>23.68</v>
      </c>
      <c r="C76" s="7">
        <f t="shared" si="4"/>
        <v>1.5058348997338538</v>
      </c>
      <c r="D76" s="7">
        <f t="shared" si="5"/>
        <v>0.55434898101030983</v>
      </c>
      <c r="E76" s="7">
        <f t="shared" si="6"/>
        <v>1</v>
      </c>
      <c r="G76" s="4">
        <f t="shared" si="7"/>
        <v>639.99999999999932</v>
      </c>
      <c r="H76" s="1">
        <f t="shared" si="19"/>
        <v>1.5413851351351349</v>
      </c>
      <c r="I76" s="1">
        <f t="shared" si="20"/>
        <v>155.53523433840638</v>
      </c>
      <c r="J76" s="1">
        <f t="shared" si="8"/>
        <v>5.1845078112802128</v>
      </c>
      <c r="K76" s="7">
        <f t="shared" si="9"/>
        <v>0.42612392969426405</v>
      </c>
      <c r="L76" s="4">
        <f t="shared" si="10"/>
        <v>6487.6712328767135</v>
      </c>
      <c r="M76" s="1">
        <f t="shared" si="11"/>
        <v>752.91744986692686</v>
      </c>
      <c r="N76" s="7">
        <f t="shared" si="12"/>
        <v>0.55434898101030983</v>
      </c>
      <c r="O76" s="1">
        <f t="shared" si="13"/>
        <v>3000</v>
      </c>
      <c r="P76" s="2">
        <f t="shared" si="14"/>
        <v>4.8846808802325565</v>
      </c>
      <c r="Q76" s="2">
        <f t="shared" ref="Q76:Q111" si="25">IFERROR(N76/100*L76/(1-N76/100),L76*100)</f>
        <v>36.164818674557701</v>
      </c>
      <c r="S76" s="1">
        <f t="shared" ref="S76:S139" si="26">E76*$H$3</f>
        <v>3000</v>
      </c>
      <c r="T76" s="1">
        <f t="shared" ref="T76:T139" si="27">B76/100*$H$2/365*1000000</f>
        <v>6487.6712328767135</v>
      </c>
      <c r="V76" s="1">
        <f t="shared" si="16"/>
        <v>6487.6712328767135</v>
      </c>
      <c r="W76" s="1">
        <f t="shared" si="17"/>
        <v>3000</v>
      </c>
    </row>
    <row r="77" spans="1:23" x14ac:dyDescent="0.25">
      <c r="A77" s="2">
        <f t="shared" si="18"/>
        <v>6.4999999999999929</v>
      </c>
      <c r="B77" s="7">
        <f t="shared" si="24"/>
        <v>23.68</v>
      </c>
      <c r="C77" s="7">
        <f t="shared" ref="C77:C140" si="28">IF($C$5&lt;$C$7,IF(A77&lt;=$C$2,$C$3*EXP(A77*$C$4),IF(A77&lt;=$C$7,$C$6,IF($C$8*EXP(A77*$C$9)&gt;$C$6,$C$6,$C$8*EXP(A77*$C$9)))),IF(A77&lt;=$C$2,$C$3*EXP(A77*$C$4),IF(A77&lt;=$C$5,$C$6,IF($C$8*EXP(A77*$C$9)&gt;$C$6,$C$6,$C$8*EXP(A77*$C$9)))))</f>
        <v>1.5065066518887305</v>
      </c>
      <c r="D77" s="7">
        <f t="shared" ref="D77:D140" si="29">IF(IF($D$5&lt;$D$7,IF(A77&lt;=$D$2,$D$3*EXP(A77*$D$4),IF(A77&lt;=$D$7,$D$6,IF($D$8*EXP(A77*$D$9)&gt;$D$6,$D$6,$D$8*EXP(A77*$D$9)))),IF(A77&lt;=$D$2,$D$3*EXP(A77*$D$4),IF(A77&lt;=$D$5,$D$6,IF($D$8*EXP(A77*$D$9)&gt;$D$6,$D$6,$D$8*EXP(A77*$D$9)))))&lt;=100,IF($D$5&lt;$D$7,IF(A77&lt;=$D$2,$D$3*EXP(A77*$D$4),IF(A77&lt;=$D$7,$D$6,IF($D$8*EXP(A77*$D$9)&gt;$D$6,$D$6,$D$8*EXP(A77*$D$9)))),IF(A77&lt;=$D$2,$D$3*EXP(A77*$D$4),IF(A77&lt;=$D$5,$D$6,IF($D$8*EXP(A77*$D$9)&gt;$D$6,$D$6,$D$8*EXP(A77*$D$9))))),100)</f>
        <v>0.55771407354237179</v>
      </c>
      <c r="E77" s="7">
        <f t="shared" ref="E77:E140" si="30">IF($E$5&lt;$E$7,IF(A77&lt;=$E$2,$E$3*EXP(A77*$E$4),IF(A77&lt;=$E$7,$E$6,IF($E$8*EXP(A77*$E$9)&gt;$E$6,$E$6,$E$8*EXP(A77*$E$9)))),IF(A77&lt;=$E$2,$E$3*EXP(A77*$E$4),IF(A77&lt;=$E$5,$E$6,IF($E$8*EXP(A77*$E$9)&gt;$E$6,$E$6,$E$8*EXP(A77*$E$9)))))</f>
        <v>1</v>
      </c>
      <c r="G77" s="4">
        <f t="shared" ref="G77:G140" si="31">A77/100*$H$2*1000</f>
        <v>649.99999999999932</v>
      </c>
      <c r="H77" s="1">
        <f t="shared" si="19"/>
        <v>1.5413851351351349</v>
      </c>
      <c r="I77" s="1">
        <f t="shared" si="20"/>
        <v>157.07661947354151</v>
      </c>
      <c r="J77" s="1">
        <f t="shared" ref="J77:J140" si="32">I77/30</f>
        <v>5.2358873157847174</v>
      </c>
      <c r="K77" s="7">
        <f t="shared" ref="K77:K140" si="33">I77/365</f>
        <v>0.43034690266723702</v>
      </c>
      <c r="L77" s="4">
        <f t="shared" ref="L77:L140" si="34">IF(A77&gt;$B$2,IF(AND(B77/100*$H$2/365*1000000&gt;=$H$5,O77&gt;=$H$6,M77&lt;=$L$4,N77&lt;=$L$5),B77/100*$H$2/365*1000000*$L$6/100,#N/A),B77/100*$H$2/365*1000000*$L$6/100)</f>
        <v>6487.6712328767135</v>
      </c>
      <c r="M77" s="1">
        <f t="shared" ref="M77:M140" si="35">C77*$H$4</f>
        <v>753.2533259443652</v>
      </c>
      <c r="N77" s="7">
        <f t="shared" ref="N77:N140" si="36">D77</f>
        <v>0.55771407354237179</v>
      </c>
      <c r="O77" s="1">
        <f t="shared" ref="O77:O140" si="37">E77*$H$3</f>
        <v>3000</v>
      </c>
      <c r="P77" s="2">
        <f t="shared" ref="P77:P140" si="38">L77*M77/1000000</f>
        <v>4.8868599337979646</v>
      </c>
      <c r="Q77" s="2">
        <f t="shared" si="25"/>
        <v>36.385583028202063</v>
      </c>
      <c r="S77" s="1">
        <f t="shared" si="26"/>
        <v>3000</v>
      </c>
      <c r="T77" s="1">
        <f t="shared" si="27"/>
        <v>6487.6712328767135</v>
      </c>
      <c r="V77" s="1">
        <f t="shared" ref="V77:V140" si="39">T77</f>
        <v>6487.6712328767135</v>
      </c>
      <c r="W77" s="1">
        <f t="shared" ref="W77:W140" si="40">S77</f>
        <v>3000</v>
      </c>
    </row>
    <row r="78" spans="1:23" x14ac:dyDescent="0.25">
      <c r="A78" s="2">
        <f t="shared" ref="A78:A141" si="41">A77+0.1</f>
        <v>6.5999999999999925</v>
      </c>
      <c r="B78" s="7">
        <f t="shared" si="24"/>
        <v>23.68</v>
      </c>
      <c r="C78" s="7">
        <f t="shared" si="28"/>
        <v>1.5071787037118893</v>
      </c>
      <c r="D78" s="7">
        <f t="shared" si="29"/>
        <v>0.56109959336507065</v>
      </c>
      <c r="E78" s="7">
        <f t="shared" si="30"/>
        <v>1</v>
      </c>
      <c r="G78" s="4">
        <f t="shared" si="31"/>
        <v>659.9999999999992</v>
      </c>
      <c r="H78" s="1">
        <f t="shared" ref="H78:H141" si="42">(G78-G77)*1000/L78</f>
        <v>1.5413851351351175</v>
      </c>
      <c r="I78" s="1">
        <f t="shared" ref="I78:I141" si="43">H78+I77</f>
        <v>158.61800460867664</v>
      </c>
      <c r="J78" s="1">
        <f t="shared" si="32"/>
        <v>5.2872668202892212</v>
      </c>
      <c r="K78" s="7">
        <f t="shared" si="33"/>
        <v>0.43456987564020999</v>
      </c>
      <c r="L78" s="4">
        <f t="shared" si="34"/>
        <v>6487.6712328767135</v>
      </c>
      <c r="M78" s="1">
        <f t="shared" si="35"/>
        <v>753.58935185594464</v>
      </c>
      <c r="N78" s="7">
        <f t="shared" si="36"/>
        <v>0.56109959336507065</v>
      </c>
      <c r="O78" s="1">
        <f t="shared" si="37"/>
        <v>3000</v>
      </c>
      <c r="P78" s="2">
        <f t="shared" si="38"/>
        <v>4.8890399594380192</v>
      </c>
      <c r="Q78" s="2">
        <f t="shared" si="25"/>
        <v>36.607702576832807</v>
      </c>
      <c r="S78" s="1">
        <f t="shared" si="26"/>
        <v>3000</v>
      </c>
      <c r="T78" s="1">
        <f t="shared" si="27"/>
        <v>6487.6712328767135</v>
      </c>
      <c r="V78" s="1">
        <f t="shared" si="39"/>
        <v>6487.6712328767135</v>
      </c>
      <c r="W78" s="1">
        <f t="shared" si="40"/>
        <v>3000</v>
      </c>
    </row>
    <row r="79" spans="1:23" x14ac:dyDescent="0.25">
      <c r="A79" s="2">
        <f t="shared" si="41"/>
        <v>6.6999999999999922</v>
      </c>
      <c r="B79" s="7">
        <f t="shared" si="24"/>
        <v>23.68</v>
      </c>
      <c r="C79" s="7">
        <f t="shared" si="28"/>
        <v>1.5078510553370121</v>
      </c>
      <c r="D79" s="7">
        <f t="shared" si="29"/>
        <v>0.56450566447921724</v>
      </c>
      <c r="E79" s="7">
        <f t="shared" si="30"/>
        <v>1</v>
      </c>
      <c r="G79" s="4">
        <f t="shared" si="31"/>
        <v>669.99999999999932</v>
      </c>
      <c r="H79" s="1">
        <f t="shared" si="42"/>
        <v>1.5413851351351522</v>
      </c>
      <c r="I79" s="1">
        <f t="shared" si="43"/>
        <v>160.1593897438118</v>
      </c>
      <c r="J79" s="1">
        <f t="shared" si="32"/>
        <v>5.3386463247937268</v>
      </c>
      <c r="K79" s="7">
        <f t="shared" si="33"/>
        <v>0.43879284861318302</v>
      </c>
      <c r="L79" s="4">
        <f t="shared" si="34"/>
        <v>6487.6712328767135</v>
      </c>
      <c r="M79" s="1">
        <f t="shared" si="35"/>
        <v>753.92552766850611</v>
      </c>
      <c r="N79" s="7">
        <f t="shared" si="36"/>
        <v>0.56450566447921724</v>
      </c>
      <c r="O79" s="1">
        <f t="shared" si="37"/>
        <v>3000</v>
      </c>
      <c r="P79" s="2">
        <f t="shared" si="38"/>
        <v>4.8912209575863637</v>
      </c>
      <c r="Q79" s="2">
        <f t="shared" si="25"/>
        <v>36.831185732130457</v>
      </c>
      <c r="S79" s="1">
        <f t="shared" si="26"/>
        <v>3000</v>
      </c>
      <c r="T79" s="1">
        <f t="shared" si="27"/>
        <v>6487.6712328767135</v>
      </c>
      <c r="V79" s="1">
        <f t="shared" si="39"/>
        <v>6487.6712328767135</v>
      </c>
      <c r="W79" s="1">
        <f t="shared" si="40"/>
        <v>3000</v>
      </c>
    </row>
    <row r="80" spans="1:23" x14ac:dyDescent="0.25">
      <c r="A80" s="2">
        <f t="shared" si="41"/>
        <v>6.7999999999999918</v>
      </c>
      <c r="B80" s="7">
        <f t="shared" si="24"/>
        <v>23.68</v>
      </c>
      <c r="C80" s="7">
        <f t="shared" si="28"/>
        <v>1.5085237068978403</v>
      </c>
      <c r="D80" s="7">
        <f t="shared" si="29"/>
        <v>0.56793241163835095</v>
      </c>
      <c r="E80" s="7">
        <f t="shared" si="30"/>
        <v>1</v>
      </c>
      <c r="G80" s="4">
        <f t="shared" si="31"/>
        <v>679.99999999999932</v>
      </c>
      <c r="H80" s="1">
        <f t="shared" si="42"/>
        <v>1.5413851351351349</v>
      </c>
      <c r="I80" s="1">
        <f t="shared" si="43"/>
        <v>161.70077487894693</v>
      </c>
      <c r="J80" s="1">
        <f t="shared" si="32"/>
        <v>5.3900258292982306</v>
      </c>
      <c r="K80" s="7">
        <f t="shared" si="33"/>
        <v>0.44301582158615599</v>
      </c>
      <c r="L80" s="4">
        <f t="shared" si="34"/>
        <v>6487.6712328767135</v>
      </c>
      <c r="M80" s="1">
        <f t="shared" si="35"/>
        <v>754.26185344892019</v>
      </c>
      <c r="N80" s="7">
        <f t="shared" si="36"/>
        <v>0.56793241163835095</v>
      </c>
      <c r="O80" s="1">
        <f t="shared" si="37"/>
        <v>3000</v>
      </c>
      <c r="P80" s="2">
        <f t="shared" si="38"/>
        <v>4.8934029286768306</v>
      </c>
      <c r="Q80" s="2">
        <f t="shared" si="25"/>
        <v>37.056040959121084</v>
      </c>
      <c r="S80" s="1">
        <f t="shared" si="26"/>
        <v>3000</v>
      </c>
      <c r="T80" s="1">
        <f t="shared" si="27"/>
        <v>6487.6712328767135</v>
      </c>
      <c r="V80" s="1">
        <f t="shared" si="39"/>
        <v>6487.6712328767135</v>
      </c>
      <c r="W80" s="1">
        <f t="shared" si="40"/>
        <v>3000</v>
      </c>
    </row>
    <row r="81" spans="1:23" x14ac:dyDescent="0.25">
      <c r="A81" s="2">
        <f t="shared" si="41"/>
        <v>6.8999999999999915</v>
      </c>
      <c r="B81" s="7">
        <f t="shared" si="24"/>
        <v>23.68</v>
      </c>
      <c r="C81" s="7">
        <f t="shared" si="28"/>
        <v>1.5091966585281753</v>
      </c>
      <c r="D81" s="7">
        <f t="shared" si="29"/>
        <v>0.57137996035330851</v>
      </c>
      <c r="E81" s="7">
        <f t="shared" si="30"/>
        <v>1</v>
      </c>
      <c r="G81" s="4">
        <f t="shared" si="31"/>
        <v>689.99999999999909</v>
      </c>
      <c r="H81" s="1">
        <f t="shared" si="42"/>
        <v>1.5413851351350998</v>
      </c>
      <c r="I81" s="1">
        <f t="shared" si="43"/>
        <v>163.24216001408203</v>
      </c>
      <c r="J81" s="1">
        <f t="shared" si="32"/>
        <v>5.4414053338027344</v>
      </c>
      <c r="K81" s="7">
        <f t="shared" si="33"/>
        <v>0.44723879455912885</v>
      </c>
      <c r="L81" s="4">
        <f t="shared" si="34"/>
        <v>6487.6712328767135</v>
      </c>
      <c r="M81" s="1">
        <f t="shared" si="35"/>
        <v>754.59832926408762</v>
      </c>
      <c r="N81" s="7">
        <f t="shared" si="36"/>
        <v>0.57137996035330851</v>
      </c>
      <c r="O81" s="1">
        <f t="shared" si="37"/>
        <v>3000</v>
      </c>
      <c r="P81" s="2">
        <f t="shared" si="38"/>
        <v>4.8955858731434514</v>
      </c>
      <c r="Q81" s="2">
        <f t="shared" si="25"/>
        <v>37.282276776528512</v>
      </c>
      <c r="S81" s="1">
        <f t="shared" si="26"/>
        <v>3000</v>
      </c>
      <c r="T81" s="1">
        <f t="shared" si="27"/>
        <v>6487.6712328767135</v>
      </c>
      <c r="V81" s="1">
        <f t="shared" si="39"/>
        <v>6487.6712328767135</v>
      </c>
      <c r="W81" s="1">
        <f t="shared" si="40"/>
        <v>3000</v>
      </c>
    </row>
    <row r="82" spans="1:23" x14ac:dyDescent="0.25">
      <c r="A82" s="2">
        <f t="shared" si="41"/>
        <v>6.9999999999999911</v>
      </c>
      <c r="B82" s="7">
        <f t="shared" si="24"/>
        <v>23.68</v>
      </c>
      <c r="C82" s="7">
        <f t="shared" si="28"/>
        <v>1.5098699103618778</v>
      </c>
      <c r="D82" s="7">
        <f t="shared" si="29"/>
        <v>0.57484843689682197</v>
      </c>
      <c r="E82" s="7">
        <f t="shared" si="30"/>
        <v>1</v>
      </c>
      <c r="G82" s="4">
        <f t="shared" si="31"/>
        <v>699.99999999999909</v>
      </c>
      <c r="H82" s="1">
        <f t="shared" si="42"/>
        <v>1.5413851351351349</v>
      </c>
      <c r="I82" s="1">
        <f t="shared" si="43"/>
        <v>164.78354514921716</v>
      </c>
      <c r="J82" s="1">
        <f t="shared" si="32"/>
        <v>5.4927848383072391</v>
      </c>
      <c r="K82" s="7">
        <f t="shared" si="33"/>
        <v>0.45146176753210182</v>
      </c>
      <c r="L82" s="4">
        <f t="shared" si="34"/>
        <v>6487.6712328767135</v>
      </c>
      <c r="M82" s="1">
        <f t="shared" si="35"/>
        <v>754.93495518093891</v>
      </c>
      <c r="N82" s="7">
        <f t="shared" si="36"/>
        <v>0.57484843689682197</v>
      </c>
      <c r="O82" s="1">
        <f t="shared" si="37"/>
        <v>3000</v>
      </c>
      <c r="P82" s="2">
        <f t="shared" si="38"/>
        <v>4.8977697914204485</v>
      </c>
      <c r="Q82" s="2">
        <f t="shared" si="25"/>
        <v>37.509901757128951</v>
      </c>
      <c r="S82" s="1">
        <f t="shared" si="26"/>
        <v>3000</v>
      </c>
      <c r="T82" s="1">
        <f t="shared" si="27"/>
        <v>6487.6712328767135</v>
      </c>
      <c r="V82" s="1">
        <f t="shared" si="39"/>
        <v>6487.6712328767135</v>
      </c>
      <c r="W82" s="1">
        <f t="shared" si="40"/>
        <v>3000</v>
      </c>
    </row>
    <row r="83" spans="1:23" x14ac:dyDescent="0.25">
      <c r="A83" s="2">
        <f t="shared" si="41"/>
        <v>7.0999999999999908</v>
      </c>
      <c r="B83" s="7">
        <f t="shared" si="24"/>
        <v>23.68</v>
      </c>
      <c r="C83" s="7">
        <f t="shared" si="28"/>
        <v>1.5105434625328682</v>
      </c>
      <c r="D83" s="7">
        <f t="shared" si="29"/>
        <v>0.57833796830814244</v>
      </c>
      <c r="E83" s="7">
        <f t="shared" si="30"/>
        <v>1</v>
      </c>
      <c r="G83" s="4">
        <f t="shared" si="31"/>
        <v>709.99999999999909</v>
      </c>
      <c r="H83" s="1">
        <f t="shared" si="42"/>
        <v>1.5413851351351349</v>
      </c>
      <c r="I83" s="1">
        <f t="shared" si="43"/>
        <v>166.32493028435229</v>
      </c>
      <c r="J83" s="1">
        <f t="shared" si="32"/>
        <v>5.5441643428117429</v>
      </c>
      <c r="K83" s="7">
        <f t="shared" si="33"/>
        <v>0.45568474050507479</v>
      </c>
      <c r="L83" s="4">
        <f t="shared" si="34"/>
        <v>6487.6712328767135</v>
      </c>
      <c r="M83" s="1">
        <f t="shared" si="35"/>
        <v>755.27173126643413</v>
      </c>
      <c r="N83" s="7">
        <f t="shared" si="36"/>
        <v>0.57833796830814244</v>
      </c>
      <c r="O83" s="1">
        <f t="shared" si="37"/>
        <v>3000</v>
      </c>
      <c r="P83" s="2">
        <f t="shared" si="38"/>
        <v>4.8999546839422372</v>
      </c>
      <c r="Q83" s="2">
        <f t="shared" si="25"/>
        <v>37.738924528108207</v>
      </c>
      <c r="S83" s="1">
        <f t="shared" si="26"/>
        <v>3000</v>
      </c>
      <c r="T83" s="1">
        <f t="shared" si="27"/>
        <v>6487.6712328767135</v>
      </c>
      <c r="V83" s="1">
        <f t="shared" si="39"/>
        <v>6487.6712328767135</v>
      </c>
      <c r="W83" s="1">
        <f t="shared" si="40"/>
        <v>3000</v>
      </c>
    </row>
    <row r="84" spans="1:23" x14ac:dyDescent="0.25">
      <c r="A84" s="2">
        <f t="shared" si="41"/>
        <v>7.1999999999999904</v>
      </c>
      <c r="B84" s="7">
        <f t="shared" si="24"/>
        <v>23.68</v>
      </c>
      <c r="C84" s="7">
        <f t="shared" si="28"/>
        <v>1.5112173151751271</v>
      </c>
      <c r="D84" s="7">
        <f t="shared" si="29"/>
        <v>0.58184868239769427</v>
      </c>
      <c r="E84" s="7">
        <f t="shared" si="30"/>
        <v>1</v>
      </c>
      <c r="G84" s="4">
        <f t="shared" si="31"/>
        <v>719.99999999999898</v>
      </c>
      <c r="H84" s="1">
        <f t="shared" si="42"/>
        <v>1.5413851351351175</v>
      </c>
      <c r="I84" s="1">
        <f t="shared" si="43"/>
        <v>167.86631541948742</v>
      </c>
      <c r="J84" s="1">
        <f t="shared" si="32"/>
        <v>5.5955438473162475</v>
      </c>
      <c r="K84" s="7">
        <f t="shared" si="33"/>
        <v>0.45990771347804771</v>
      </c>
      <c r="L84" s="4">
        <f t="shared" si="34"/>
        <v>6487.6712328767135</v>
      </c>
      <c r="M84" s="1">
        <f t="shared" si="35"/>
        <v>755.60865758756358</v>
      </c>
      <c r="N84" s="7">
        <f t="shared" si="36"/>
        <v>0.58184868239769427</v>
      </c>
      <c r="O84" s="1">
        <f t="shared" si="37"/>
        <v>3000</v>
      </c>
      <c r="P84" s="2">
        <f t="shared" si="38"/>
        <v>4.9021405511434271</v>
      </c>
      <c r="Q84" s="2">
        <f t="shared" si="25"/>
        <v>37.969353771421332</v>
      </c>
      <c r="S84" s="1">
        <f t="shared" si="26"/>
        <v>3000</v>
      </c>
      <c r="T84" s="1">
        <f t="shared" si="27"/>
        <v>6487.6712328767135</v>
      </c>
      <c r="V84" s="1">
        <f t="shared" si="39"/>
        <v>6487.6712328767135</v>
      </c>
      <c r="W84" s="1">
        <f t="shared" si="40"/>
        <v>3000</v>
      </c>
    </row>
    <row r="85" spans="1:23" x14ac:dyDescent="0.25">
      <c r="A85" s="2">
        <f t="shared" si="41"/>
        <v>7.2999999999999901</v>
      </c>
      <c r="B85" s="7">
        <f t="shared" si="24"/>
        <v>23.68</v>
      </c>
      <c r="C85" s="7">
        <f t="shared" si="28"/>
        <v>1.5118914684226943</v>
      </c>
      <c r="D85" s="7">
        <f t="shared" si="29"/>
        <v>0.58538070775175588</v>
      </c>
      <c r="E85" s="7">
        <f t="shared" si="30"/>
        <v>1</v>
      </c>
      <c r="G85" s="4">
        <f t="shared" si="31"/>
        <v>729.99999999999898</v>
      </c>
      <c r="H85" s="1">
        <f t="shared" si="42"/>
        <v>1.5413851351351349</v>
      </c>
      <c r="I85" s="1">
        <f t="shared" si="43"/>
        <v>169.40770055462255</v>
      </c>
      <c r="J85" s="1">
        <f t="shared" si="32"/>
        <v>5.6469233518207513</v>
      </c>
      <c r="K85" s="7">
        <f t="shared" si="33"/>
        <v>0.46413068645102068</v>
      </c>
      <c r="L85" s="4">
        <f t="shared" si="34"/>
        <v>6487.6712328767135</v>
      </c>
      <c r="M85" s="1">
        <f t="shared" si="35"/>
        <v>755.94573421134714</v>
      </c>
      <c r="N85" s="7">
        <f t="shared" si="36"/>
        <v>0.58538070775175588</v>
      </c>
      <c r="O85" s="1">
        <f t="shared" si="37"/>
        <v>3000</v>
      </c>
      <c r="P85" s="2">
        <f t="shared" si="38"/>
        <v>4.9043273934588232</v>
      </c>
      <c r="Q85" s="2">
        <f t="shared" si="25"/>
        <v>38.201198224154979</v>
      </c>
      <c r="S85" s="1">
        <f t="shared" si="26"/>
        <v>3000</v>
      </c>
      <c r="T85" s="1">
        <f t="shared" si="27"/>
        <v>6487.6712328767135</v>
      </c>
      <c r="V85" s="1">
        <f t="shared" si="39"/>
        <v>6487.6712328767135</v>
      </c>
      <c r="W85" s="1">
        <f t="shared" si="40"/>
        <v>3000</v>
      </c>
    </row>
    <row r="86" spans="1:23" x14ac:dyDescent="0.25">
      <c r="A86" s="2">
        <f t="shared" si="41"/>
        <v>7.3999999999999897</v>
      </c>
      <c r="B86" s="7">
        <f t="shared" si="24"/>
        <v>23.68</v>
      </c>
      <c r="C86" s="7">
        <f t="shared" si="28"/>
        <v>1.5125659224096701</v>
      </c>
      <c r="D86" s="7">
        <f t="shared" si="29"/>
        <v>0.58893417373716905</v>
      </c>
      <c r="E86" s="7">
        <f t="shared" si="30"/>
        <v>1</v>
      </c>
      <c r="G86" s="4">
        <f t="shared" si="31"/>
        <v>739.99999999999898</v>
      </c>
      <c r="H86" s="1">
        <f t="shared" si="42"/>
        <v>1.5413851351351349</v>
      </c>
      <c r="I86" s="1">
        <f t="shared" si="43"/>
        <v>170.94908568975768</v>
      </c>
      <c r="J86" s="1">
        <f t="shared" si="32"/>
        <v>5.698302856325256</v>
      </c>
      <c r="K86" s="7">
        <f t="shared" si="33"/>
        <v>0.46835365942399365</v>
      </c>
      <c r="L86" s="4">
        <f t="shared" si="34"/>
        <v>6487.6712328767135</v>
      </c>
      <c r="M86" s="1">
        <f t="shared" si="35"/>
        <v>756.28296120483503</v>
      </c>
      <c r="N86" s="7">
        <f t="shared" si="36"/>
        <v>0.58893417373716905</v>
      </c>
      <c r="O86" s="1">
        <f t="shared" si="37"/>
        <v>3000</v>
      </c>
      <c r="P86" s="2">
        <f t="shared" si="38"/>
        <v>4.9065152113234234</v>
      </c>
      <c r="Q86" s="2">
        <f t="shared" si="25"/>
        <v>38.434466678892107</v>
      </c>
      <c r="S86" s="1">
        <f t="shared" si="26"/>
        <v>3000</v>
      </c>
      <c r="T86" s="1">
        <f t="shared" si="27"/>
        <v>6487.6712328767135</v>
      </c>
      <c r="V86" s="1">
        <f t="shared" si="39"/>
        <v>6487.6712328767135</v>
      </c>
      <c r="W86" s="1">
        <f t="shared" si="40"/>
        <v>3000</v>
      </c>
    </row>
    <row r="87" spans="1:23" x14ac:dyDescent="0.25">
      <c r="A87" s="2">
        <f t="shared" si="41"/>
        <v>7.4999999999999893</v>
      </c>
      <c r="B87" s="7">
        <f t="shared" si="24"/>
        <v>23.68</v>
      </c>
      <c r="C87" s="7">
        <f t="shared" si="28"/>
        <v>1.5132406772702136</v>
      </c>
      <c r="D87" s="7">
        <f t="shared" si="29"/>
        <v>0.59250921050607797</v>
      </c>
      <c r="E87" s="7">
        <f t="shared" si="30"/>
        <v>1</v>
      </c>
      <c r="G87" s="4">
        <f t="shared" si="31"/>
        <v>749.99999999999898</v>
      </c>
      <c r="H87" s="1">
        <f t="shared" si="42"/>
        <v>1.5413851351351349</v>
      </c>
      <c r="I87" s="1">
        <f t="shared" si="43"/>
        <v>172.49047082489281</v>
      </c>
      <c r="J87" s="1">
        <f t="shared" si="32"/>
        <v>5.7496823608297607</v>
      </c>
      <c r="K87" s="7">
        <f t="shared" si="33"/>
        <v>0.47257663239696662</v>
      </c>
      <c r="L87" s="4">
        <f t="shared" si="34"/>
        <v>6487.6712328767135</v>
      </c>
      <c r="M87" s="1">
        <f t="shared" si="35"/>
        <v>756.6203386351068</v>
      </c>
      <c r="N87" s="7">
        <f t="shared" si="36"/>
        <v>0.59250921050607797</v>
      </c>
      <c r="O87" s="1">
        <f t="shared" si="37"/>
        <v>3000</v>
      </c>
      <c r="P87" s="2">
        <f t="shared" si="38"/>
        <v>4.9087040051724191</v>
      </c>
      <c r="Q87" s="2">
        <f t="shared" si="25"/>
        <v>38.669167984079486</v>
      </c>
      <c r="S87" s="1">
        <f t="shared" si="26"/>
        <v>3000</v>
      </c>
      <c r="T87" s="1">
        <f t="shared" si="27"/>
        <v>6487.6712328767135</v>
      </c>
      <c r="V87" s="1">
        <f t="shared" si="39"/>
        <v>6487.6712328767135</v>
      </c>
      <c r="W87" s="1">
        <f t="shared" si="40"/>
        <v>3000</v>
      </c>
    </row>
    <row r="88" spans="1:23" x14ac:dyDescent="0.25">
      <c r="A88" s="2">
        <f t="shared" si="41"/>
        <v>7.599999999999989</v>
      </c>
      <c r="B88" s="7">
        <f t="shared" si="24"/>
        <v>23.68</v>
      </c>
      <c r="C88" s="7">
        <f t="shared" si="28"/>
        <v>1.5139157331385447</v>
      </c>
      <c r="D88" s="7">
        <f t="shared" si="29"/>
        <v>0.5961059490006958</v>
      </c>
      <c r="E88" s="7">
        <f t="shared" si="30"/>
        <v>1</v>
      </c>
      <c r="G88" s="4">
        <f t="shared" si="31"/>
        <v>759.99999999999886</v>
      </c>
      <c r="H88" s="1">
        <f t="shared" si="42"/>
        <v>1.5413851351351175</v>
      </c>
      <c r="I88" s="1">
        <f t="shared" si="43"/>
        <v>174.03185596002794</v>
      </c>
      <c r="J88" s="1">
        <f t="shared" si="32"/>
        <v>5.8010618653342645</v>
      </c>
      <c r="K88" s="7">
        <f t="shared" si="33"/>
        <v>0.47679960536993954</v>
      </c>
      <c r="L88" s="4">
        <f t="shared" si="34"/>
        <v>6487.6712328767135</v>
      </c>
      <c r="M88" s="1">
        <f t="shared" si="35"/>
        <v>756.95786656927237</v>
      </c>
      <c r="N88" s="7">
        <f t="shared" si="36"/>
        <v>0.5961059490006958</v>
      </c>
      <c r="O88" s="1">
        <f t="shared" si="37"/>
        <v>3000</v>
      </c>
      <c r="P88" s="2">
        <f t="shared" si="38"/>
        <v>4.9108937754411981</v>
      </c>
      <c r="Q88" s="2">
        <f t="shared" si="25"/>
        <v>38.905311044397756</v>
      </c>
      <c r="S88" s="1">
        <f t="shared" si="26"/>
        <v>3000</v>
      </c>
      <c r="T88" s="1">
        <f t="shared" si="27"/>
        <v>6487.6712328767135</v>
      </c>
      <c r="V88" s="1">
        <f t="shared" si="39"/>
        <v>6487.6712328767135</v>
      </c>
      <c r="W88" s="1">
        <f t="shared" si="40"/>
        <v>3000</v>
      </c>
    </row>
    <row r="89" spans="1:23" x14ac:dyDescent="0.25">
      <c r="A89" s="2">
        <f t="shared" si="41"/>
        <v>7.6999999999999886</v>
      </c>
      <c r="B89" s="7">
        <f t="shared" si="24"/>
        <v>23.68</v>
      </c>
      <c r="C89" s="7">
        <f t="shared" si="28"/>
        <v>1.514591090148943</v>
      </c>
      <c r="D89" s="7">
        <f t="shared" si="29"/>
        <v>0.59972452095810092</v>
      </c>
      <c r="E89" s="7">
        <f t="shared" si="30"/>
        <v>1</v>
      </c>
      <c r="G89" s="4">
        <f t="shared" si="31"/>
        <v>769.99999999999886</v>
      </c>
      <c r="H89" s="1">
        <f t="shared" si="42"/>
        <v>1.5413851351351349</v>
      </c>
      <c r="I89" s="1">
        <f t="shared" si="43"/>
        <v>175.57324109516307</v>
      </c>
      <c r="J89" s="1">
        <f t="shared" si="32"/>
        <v>5.8524413698387692</v>
      </c>
      <c r="K89" s="7">
        <f t="shared" si="33"/>
        <v>0.48102257834291251</v>
      </c>
      <c r="L89" s="4">
        <f t="shared" si="34"/>
        <v>6487.6712328767135</v>
      </c>
      <c r="M89" s="1">
        <f t="shared" si="35"/>
        <v>757.29554507447153</v>
      </c>
      <c r="N89" s="7">
        <f t="shared" si="36"/>
        <v>0.59972452095810092</v>
      </c>
      <c r="O89" s="1">
        <f t="shared" si="37"/>
        <v>3000</v>
      </c>
      <c r="P89" s="2">
        <f t="shared" si="38"/>
        <v>4.9130845225653399</v>
      </c>
      <c r="Q89" s="2">
        <f t="shared" si="25"/>
        <v>39.142904821134017</v>
      </c>
      <c r="S89" s="1">
        <f t="shared" si="26"/>
        <v>3000</v>
      </c>
      <c r="T89" s="1">
        <f t="shared" si="27"/>
        <v>6487.6712328767135</v>
      </c>
      <c r="V89" s="1">
        <f t="shared" si="39"/>
        <v>6487.6712328767135</v>
      </c>
      <c r="W89" s="1">
        <f t="shared" si="40"/>
        <v>3000</v>
      </c>
    </row>
    <row r="90" spans="1:23" x14ac:dyDescent="0.25">
      <c r="A90" s="2">
        <f t="shared" si="41"/>
        <v>7.7999999999999883</v>
      </c>
      <c r="B90" s="7">
        <f t="shared" si="24"/>
        <v>23.68</v>
      </c>
      <c r="C90" s="7">
        <f t="shared" si="28"/>
        <v>1.5152667484357474</v>
      </c>
      <c r="D90" s="7">
        <f t="shared" si="29"/>
        <v>0.60336505891506165</v>
      </c>
      <c r="E90" s="7">
        <f t="shared" si="30"/>
        <v>1</v>
      </c>
      <c r="G90" s="4">
        <f t="shared" si="31"/>
        <v>779.99999999999886</v>
      </c>
      <c r="H90" s="1">
        <f t="shared" si="42"/>
        <v>1.5413851351351349</v>
      </c>
      <c r="I90" s="1">
        <f t="shared" si="43"/>
        <v>177.1146262302982</v>
      </c>
      <c r="J90" s="1">
        <f t="shared" si="32"/>
        <v>5.903820874343273</v>
      </c>
      <c r="K90" s="7">
        <f t="shared" si="33"/>
        <v>0.48524555131588548</v>
      </c>
      <c r="L90" s="4">
        <f t="shared" si="34"/>
        <v>6487.6712328767135</v>
      </c>
      <c r="M90" s="1">
        <f t="shared" si="35"/>
        <v>757.63337421787367</v>
      </c>
      <c r="N90" s="7">
        <f t="shared" si="36"/>
        <v>0.60336505891506165</v>
      </c>
      <c r="O90" s="1">
        <f t="shared" si="37"/>
        <v>3000</v>
      </c>
      <c r="P90" s="2">
        <f t="shared" si="38"/>
        <v>4.9152762469806168</v>
      </c>
      <c r="Q90" s="2">
        <f t="shared" si="25"/>
        <v>39.381958332557225</v>
      </c>
      <c r="S90" s="1">
        <f t="shared" si="26"/>
        <v>3000</v>
      </c>
      <c r="T90" s="1">
        <f t="shared" si="27"/>
        <v>6487.6712328767135</v>
      </c>
      <c r="V90" s="1">
        <f t="shared" si="39"/>
        <v>6487.6712328767135</v>
      </c>
      <c r="W90" s="1">
        <f t="shared" si="40"/>
        <v>3000</v>
      </c>
    </row>
    <row r="91" spans="1:23" x14ac:dyDescent="0.25">
      <c r="A91" s="2">
        <f t="shared" si="41"/>
        <v>7.8999999999999879</v>
      </c>
      <c r="B91" s="7">
        <f t="shared" si="24"/>
        <v>23.68</v>
      </c>
      <c r="C91" s="7">
        <f t="shared" si="28"/>
        <v>1.5159427081333572</v>
      </c>
      <c r="D91" s="7">
        <f t="shared" si="29"/>
        <v>0.60702769621289132</v>
      </c>
      <c r="E91" s="7">
        <f t="shared" si="30"/>
        <v>1</v>
      </c>
      <c r="G91" s="4">
        <f t="shared" si="31"/>
        <v>789.99999999999875</v>
      </c>
      <c r="H91" s="1">
        <f t="shared" si="42"/>
        <v>1.5413851351351175</v>
      </c>
      <c r="I91" s="1">
        <f t="shared" si="43"/>
        <v>178.65601136543333</v>
      </c>
      <c r="J91" s="1">
        <f t="shared" si="32"/>
        <v>5.9552003788477776</v>
      </c>
      <c r="K91" s="7">
        <f t="shared" si="33"/>
        <v>0.48946852428885845</v>
      </c>
      <c r="L91" s="4">
        <f t="shared" si="34"/>
        <v>6487.6712328767135</v>
      </c>
      <c r="M91" s="1">
        <f t="shared" si="35"/>
        <v>757.9713540666786</v>
      </c>
      <c r="N91" s="7">
        <f t="shared" si="36"/>
        <v>0.60702769621289132</v>
      </c>
      <c r="O91" s="1">
        <f t="shared" si="37"/>
        <v>3000</v>
      </c>
      <c r="P91" s="2">
        <f t="shared" si="38"/>
        <v>4.917468949123001</v>
      </c>
      <c r="Q91" s="2">
        <f t="shared" si="25"/>
        <v>39.622480654296169</v>
      </c>
      <c r="S91" s="1">
        <f t="shared" si="26"/>
        <v>3000</v>
      </c>
      <c r="T91" s="1">
        <f t="shared" si="27"/>
        <v>6487.6712328767135</v>
      </c>
      <c r="V91" s="1">
        <f t="shared" si="39"/>
        <v>6487.6712328767135</v>
      </c>
      <c r="W91" s="1">
        <f t="shared" si="40"/>
        <v>3000</v>
      </c>
    </row>
    <row r="92" spans="1:23" x14ac:dyDescent="0.25">
      <c r="A92" s="2">
        <f t="shared" si="41"/>
        <v>7.9999999999999876</v>
      </c>
      <c r="B92" s="7">
        <f t="shared" si="24"/>
        <v>23.68</v>
      </c>
      <c r="C92" s="7">
        <f t="shared" si="28"/>
        <v>1.5166189693762322</v>
      </c>
      <c r="D92" s="7">
        <f t="shared" si="29"/>
        <v>0.61071256700233145</v>
      </c>
      <c r="E92" s="7">
        <f t="shared" si="30"/>
        <v>1</v>
      </c>
      <c r="G92" s="4">
        <f t="shared" si="31"/>
        <v>799.99999999999875</v>
      </c>
      <c r="H92" s="1">
        <f t="shared" si="42"/>
        <v>1.5413851351351349</v>
      </c>
      <c r="I92" s="1">
        <f t="shared" si="43"/>
        <v>180.19739650056846</v>
      </c>
      <c r="J92" s="1">
        <f t="shared" si="32"/>
        <v>6.0065798833522823</v>
      </c>
      <c r="K92" s="7">
        <f t="shared" si="33"/>
        <v>0.49369149726183137</v>
      </c>
      <c r="L92" s="4">
        <f t="shared" si="34"/>
        <v>6487.6712328767135</v>
      </c>
      <c r="M92" s="1">
        <f t="shared" si="35"/>
        <v>758.30948468811607</v>
      </c>
      <c r="N92" s="7">
        <f t="shared" si="36"/>
        <v>0.61071256700233145</v>
      </c>
      <c r="O92" s="1">
        <f t="shared" si="37"/>
        <v>3000</v>
      </c>
      <c r="P92" s="2">
        <f t="shared" si="38"/>
        <v>4.9196626294286547</v>
      </c>
      <c r="Q92" s="2">
        <f t="shared" si="25"/>
        <v>39.864480919720165</v>
      </c>
      <c r="S92" s="1">
        <f t="shared" si="26"/>
        <v>3000</v>
      </c>
      <c r="T92" s="1">
        <f t="shared" si="27"/>
        <v>6487.6712328767135</v>
      </c>
      <c r="V92" s="1">
        <f t="shared" si="39"/>
        <v>6487.6712328767135</v>
      </c>
      <c r="W92" s="1">
        <f t="shared" si="40"/>
        <v>3000</v>
      </c>
    </row>
    <row r="93" spans="1:23" x14ac:dyDescent="0.25">
      <c r="A93" s="2">
        <f t="shared" si="41"/>
        <v>8.0999999999999872</v>
      </c>
      <c r="B93" s="7">
        <f t="shared" si="24"/>
        <v>23.68</v>
      </c>
      <c r="C93" s="7">
        <f t="shared" si="28"/>
        <v>1.5172955322988906</v>
      </c>
      <c r="D93" s="7">
        <f t="shared" si="29"/>
        <v>0.61441980624846571</v>
      </c>
      <c r="E93" s="7">
        <f t="shared" si="30"/>
        <v>1</v>
      </c>
      <c r="G93" s="4">
        <f t="shared" si="31"/>
        <v>809.99999999999875</v>
      </c>
      <c r="H93" s="1">
        <f t="shared" si="42"/>
        <v>1.5413851351351349</v>
      </c>
      <c r="I93" s="1">
        <f t="shared" si="43"/>
        <v>181.73878163570359</v>
      </c>
      <c r="J93" s="1">
        <f t="shared" si="32"/>
        <v>6.0579593878567861</v>
      </c>
      <c r="K93" s="7">
        <f t="shared" si="33"/>
        <v>0.49791447023480434</v>
      </c>
      <c r="L93" s="4">
        <f t="shared" si="34"/>
        <v>6487.6712328767135</v>
      </c>
      <c r="M93" s="1">
        <f t="shared" si="35"/>
        <v>758.64776614944526</v>
      </c>
      <c r="N93" s="7">
        <f t="shared" si="36"/>
        <v>0.61441980624846571</v>
      </c>
      <c r="O93" s="1">
        <f t="shared" si="37"/>
        <v>3000</v>
      </c>
      <c r="P93" s="2">
        <f t="shared" si="38"/>
        <v>4.9218572883339364</v>
      </c>
      <c r="Q93" s="2">
        <f t="shared" si="25"/>
        <v>40.10796832032247</v>
      </c>
      <c r="S93" s="1">
        <f t="shared" si="26"/>
        <v>3000</v>
      </c>
      <c r="T93" s="1">
        <f t="shared" si="27"/>
        <v>6487.6712328767135</v>
      </c>
      <c r="V93" s="1">
        <f t="shared" si="39"/>
        <v>6487.6712328767135</v>
      </c>
      <c r="W93" s="1">
        <f t="shared" si="40"/>
        <v>3000</v>
      </c>
    </row>
    <row r="94" spans="1:23" x14ac:dyDescent="0.25">
      <c r="A94" s="2">
        <f t="shared" si="41"/>
        <v>8.1999999999999869</v>
      </c>
      <c r="B94" s="7">
        <f t="shared" si="24"/>
        <v>23.68</v>
      </c>
      <c r="C94" s="7">
        <f t="shared" si="28"/>
        <v>1.5179723970359125</v>
      </c>
      <c r="D94" s="7">
        <f t="shared" si="29"/>
        <v>0.61814954973566305</v>
      </c>
      <c r="E94" s="7">
        <f t="shared" si="30"/>
        <v>1</v>
      </c>
      <c r="G94" s="4">
        <f t="shared" si="31"/>
        <v>819.99999999999864</v>
      </c>
      <c r="H94" s="1">
        <f t="shared" si="42"/>
        <v>1.5413851351351175</v>
      </c>
      <c r="I94" s="1">
        <f t="shared" si="43"/>
        <v>183.28016677083872</v>
      </c>
      <c r="J94" s="1">
        <f t="shared" si="32"/>
        <v>6.1093388923612908</v>
      </c>
      <c r="K94" s="7">
        <f t="shared" si="33"/>
        <v>0.50213744320777731</v>
      </c>
      <c r="L94" s="4">
        <f t="shared" si="34"/>
        <v>6487.6712328767135</v>
      </c>
      <c r="M94" s="1">
        <f t="shared" si="35"/>
        <v>758.98619851795627</v>
      </c>
      <c r="N94" s="7">
        <f t="shared" si="36"/>
        <v>0.61814954973566305</v>
      </c>
      <c r="O94" s="1">
        <f t="shared" si="37"/>
        <v>3000</v>
      </c>
      <c r="P94" s="2">
        <f t="shared" si="38"/>
        <v>4.9240529262753991</v>
      </c>
      <c r="Q94" s="2">
        <f t="shared" si="25"/>
        <v>40.352952106106486</v>
      </c>
      <c r="S94" s="1">
        <f t="shared" si="26"/>
        <v>3000</v>
      </c>
      <c r="T94" s="1">
        <f t="shared" si="27"/>
        <v>6487.6712328767135</v>
      </c>
      <c r="V94" s="1">
        <f t="shared" si="39"/>
        <v>6487.6712328767135</v>
      </c>
      <c r="W94" s="1">
        <f t="shared" si="40"/>
        <v>3000</v>
      </c>
    </row>
    <row r="95" spans="1:23" x14ac:dyDescent="0.25">
      <c r="A95" s="2">
        <f t="shared" si="41"/>
        <v>8.2999999999999865</v>
      </c>
      <c r="B95" s="7">
        <f t="shared" si="24"/>
        <v>23.68</v>
      </c>
      <c r="C95" s="7">
        <f t="shared" si="28"/>
        <v>1.5186495637219366</v>
      </c>
      <c r="D95" s="7">
        <f t="shared" si="29"/>
        <v>0.62190193407255123</v>
      </c>
      <c r="E95" s="7">
        <f t="shared" si="30"/>
        <v>1</v>
      </c>
      <c r="G95" s="4">
        <f t="shared" si="31"/>
        <v>829.99999999999864</v>
      </c>
      <c r="H95" s="1">
        <f t="shared" si="42"/>
        <v>1.5413851351351349</v>
      </c>
      <c r="I95" s="1">
        <f t="shared" si="43"/>
        <v>184.82155190597385</v>
      </c>
      <c r="J95" s="1">
        <f t="shared" si="32"/>
        <v>6.1607183968657946</v>
      </c>
      <c r="K95" s="7">
        <f t="shared" si="33"/>
        <v>0.50636041618075023</v>
      </c>
      <c r="L95" s="4">
        <f t="shared" si="34"/>
        <v>6487.6712328767135</v>
      </c>
      <c r="M95" s="1">
        <f t="shared" si="35"/>
        <v>759.3247818609683</v>
      </c>
      <c r="N95" s="7">
        <f t="shared" si="36"/>
        <v>0.62190193407255123</v>
      </c>
      <c r="O95" s="1">
        <f t="shared" si="37"/>
        <v>3000</v>
      </c>
      <c r="P95" s="2">
        <f t="shared" si="38"/>
        <v>4.9262495436897904</v>
      </c>
      <c r="Q95" s="2">
        <f t="shared" si="25"/>
        <v>40.599441585974638</v>
      </c>
      <c r="S95" s="1">
        <f t="shared" si="26"/>
        <v>3000</v>
      </c>
      <c r="T95" s="1">
        <f t="shared" si="27"/>
        <v>6487.6712328767135</v>
      </c>
      <c r="V95" s="1">
        <f t="shared" si="39"/>
        <v>6487.6712328767135</v>
      </c>
      <c r="W95" s="1">
        <f t="shared" si="40"/>
        <v>3000</v>
      </c>
    </row>
    <row r="96" spans="1:23" x14ac:dyDescent="0.25">
      <c r="A96" s="2">
        <f t="shared" si="41"/>
        <v>8.3999999999999861</v>
      </c>
      <c r="B96" s="7">
        <f t="shared" si="24"/>
        <v>23.68</v>
      </c>
      <c r="C96" s="7">
        <f t="shared" si="28"/>
        <v>1.5193270324916621</v>
      </c>
      <c r="D96" s="7">
        <f t="shared" si="29"/>
        <v>0.62567709669701999</v>
      </c>
      <c r="E96" s="7">
        <f t="shared" si="30"/>
        <v>1</v>
      </c>
      <c r="G96" s="4">
        <f t="shared" si="31"/>
        <v>839.99999999999864</v>
      </c>
      <c r="H96" s="1">
        <f t="shared" si="42"/>
        <v>1.5413851351351349</v>
      </c>
      <c r="I96" s="1">
        <f t="shared" si="43"/>
        <v>186.36293704110898</v>
      </c>
      <c r="J96" s="1">
        <f t="shared" si="32"/>
        <v>6.2120979013702993</v>
      </c>
      <c r="K96" s="7">
        <f t="shared" si="33"/>
        <v>0.51058338915372325</v>
      </c>
      <c r="L96" s="4">
        <f t="shared" si="34"/>
        <v>6487.6712328767135</v>
      </c>
      <c r="M96" s="1">
        <f t="shared" si="35"/>
        <v>759.66351624583103</v>
      </c>
      <c r="N96" s="7">
        <f t="shared" si="36"/>
        <v>0.62567709669701999</v>
      </c>
      <c r="O96" s="1">
        <f t="shared" si="37"/>
        <v>3000</v>
      </c>
      <c r="P96" s="2">
        <f t="shared" si="38"/>
        <v>4.9284471410140496</v>
      </c>
      <c r="Q96" s="2">
        <f t="shared" si="25"/>
        <v>40.847446128120083</v>
      </c>
      <c r="S96" s="1">
        <f t="shared" si="26"/>
        <v>3000</v>
      </c>
      <c r="T96" s="1">
        <f t="shared" si="27"/>
        <v>6487.6712328767135</v>
      </c>
      <c r="V96" s="1">
        <f t="shared" si="39"/>
        <v>6487.6712328767135</v>
      </c>
      <c r="W96" s="1">
        <f t="shared" si="40"/>
        <v>3000</v>
      </c>
    </row>
    <row r="97" spans="1:23" x14ac:dyDescent="0.25">
      <c r="A97" s="2">
        <f t="shared" si="41"/>
        <v>8.4999999999999858</v>
      </c>
      <c r="B97" s="7">
        <f t="shared" si="24"/>
        <v>23.68</v>
      </c>
      <c r="C97" s="7">
        <f t="shared" si="28"/>
        <v>1.520004803479849</v>
      </c>
      <c r="D97" s="7">
        <f t="shared" si="29"/>
        <v>0.62947517588125534</v>
      </c>
      <c r="E97" s="7">
        <f t="shared" si="30"/>
        <v>1</v>
      </c>
      <c r="G97" s="4">
        <f t="shared" si="31"/>
        <v>849.99999999999852</v>
      </c>
      <c r="H97" s="1">
        <f t="shared" si="42"/>
        <v>1.5413851351351175</v>
      </c>
      <c r="I97" s="1">
        <f t="shared" si="43"/>
        <v>187.90432217624411</v>
      </c>
      <c r="J97" s="1">
        <f t="shared" si="32"/>
        <v>6.2634774058748039</v>
      </c>
      <c r="K97" s="7">
        <f t="shared" si="33"/>
        <v>0.51480636212669617</v>
      </c>
      <c r="L97" s="4">
        <f t="shared" si="34"/>
        <v>6487.6712328767135</v>
      </c>
      <c r="M97" s="1">
        <f t="shared" si="35"/>
        <v>760.00240173992449</v>
      </c>
      <c r="N97" s="7">
        <f t="shared" si="36"/>
        <v>0.62947517588125534</v>
      </c>
      <c r="O97" s="1">
        <f t="shared" si="37"/>
        <v>3000</v>
      </c>
      <c r="P97" s="2">
        <f t="shared" si="38"/>
        <v>4.9306457186853194</v>
      </c>
      <c r="Q97" s="2">
        <f t="shared" si="25"/>
        <v>41.096975160421231</v>
      </c>
      <c r="S97" s="1">
        <f t="shared" si="26"/>
        <v>3000</v>
      </c>
      <c r="T97" s="1">
        <f t="shared" si="27"/>
        <v>6487.6712328767135</v>
      </c>
      <c r="V97" s="1">
        <f t="shared" si="39"/>
        <v>6487.6712328767135</v>
      </c>
      <c r="W97" s="1">
        <f t="shared" si="40"/>
        <v>3000</v>
      </c>
    </row>
    <row r="98" spans="1:23" x14ac:dyDescent="0.25">
      <c r="A98" s="2">
        <f t="shared" si="41"/>
        <v>8.5999999999999854</v>
      </c>
      <c r="B98" s="7">
        <f t="shared" si="24"/>
        <v>23.68</v>
      </c>
      <c r="C98" s="7">
        <f t="shared" si="28"/>
        <v>1.5206828768213161</v>
      </c>
      <c r="D98" s="7">
        <f t="shared" si="29"/>
        <v>0.63329631073680404</v>
      </c>
      <c r="E98" s="7">
        <f t="shared" si="30"/>
        <v>1</v>
      </c>
      <c r="G98" s="4">
        <f t="shared" si="31"/>
        <v>859.99999999999852</v>
      </c>
      <c r="H98" s="1">
        <f t="shared" si="42"/>
        <v>1.5413851351351349</v>
      </c>
      <c r="I98" s="1">
        <f t="shared" si="43"/>
        <v>189.44570731137924</v>
      </c>
      <c r="J98" s="1">
        <f t="shared" si="32"/>
        <v>6.3148569103793077</v>
      </c>
      <c r="K98" s="7">
        <f t="shared" si="33"/>
        <v>0.5190293350996692</v>
      </c>
      <c r="L98" s="4">
        <f t="shared" si="34"/>
        <v>6487.6712328767135</v>
      </c>
      <c r="M98" s="1">
        <f t="shared" si="35"/>
        <v>760.34143841065804</v>
      </c>
      <c r="N98" s="7">
        <f t="shared" si="36"/>
        <v>0.63329631073680404</v>
      </c>
      <c r="O98" s="1">
        <f t="shared" si="37"/>
        <v>3000</v>
      </c>
      <c r="P98" s="2">
        <f t="shared" si="38"/>
        <v>4.9328452771409275</v>
      </c>
      <c r="Q98" s="2">
        <f t="shared" si="25"/>
        <v>41.348038170839125</v>
      </c>
      <c r="S98" s="1">
        <f t="shared" si="26"/>
        <v>3000</v>
      </c>
      <c r="T98" s="1">
        <f t="shared" si="27"/>
        <v>6487.6712328767135</v>
      </c>
      <c r="V98" s="1">
        <f t="shared" si="39"/>
        <v>6487.6712328767135</v>
      </c>
      <c r="W98" s="1">
        <f t="shared" si="40"/>
        <v>3000</v>
      </c>
    </row>
    <row r="99" spans="1:23" x14ac:dyDescent="0.25">
      <c r="A99" s="2">
        <f t="shared" si="41"/>
        <v>8.6999999999999851</v>
      </c>
      <c r="B99" s="7">
        <f t="shared" si="24"/>
        <v>23.68</v>
      </c>
      <c r="C99" s="7">
        <f t="shared" si="28"/>
        <v>1.5213612526509435</v>
      </c>
      <c r="D99" s="7">
        <f t="shared" si="29"/>
        <v>0.63714064121966862</v>
      </c>
      <c r="E99" s="7">
        <f t="shared" si="30"/>
        <v>1</v>
      </c>
      <c r="G99" s="4">
        <f t="shared" si="31"/>
        <v>869.99999999999852</v>
      </c>
      <c r="H99" s="1">
        <f t="shared" si="42"/>
        <v>1.5413851351351349</v>
      </c>
      <c r="I99" s="1">
        <f t="shared" si="43"/>
        <v>190.98709244651437</v>
      </c>
      <c r="J99" s="1">
        <f t="shared" si="32"/>
        <v>6.3662364148838124</v>
      </c>
      <c r="K99" s="7">
        <f t="shared" si="33"/>
        <v>0.52325230807264211</v>
      </c>
      <c r="L99" s="4">
        <f t="shared" si="34"/>
        <v>6487.6712328767135</v>
      </c>
      <c r="M99" s="1">
        <f t="shared" si="35"/>
        <v>760.68062632547174</v>
      </c>
      <c r="N99" s="7">
        <f t="shared" si="36"/>
        <v>0.63714064121966862</v>
      </c>
      <c r="O99" s="1">
        <f t="shared" si="37"/>
        <v>3000</v>
      </c>
      <c r="P99" s="2">
        <f t="shared" si="38"/>
        <v>4.9350458168184037</v>
      </c>
      <c r="Q99" s="2">
        <f t="shared" si="25"/>
        <v>41.600644707817573</v>
      </c>
      <c r="S99" s="1">
        <f t="shared" si="26"/>
        <v>3000</v>
      </c>
      <c r="T99" s="1">
        <f t="shared" si="27"/>
        <v>6487.6712328767135</v>
      </c>
      <c r="V99" s="1">
        <f t="shared" si="39"/>
        <v>6487.6712328767135</v>
      </c>
      <c r="W99" s="1">
        <f t="shared" si="40"/>
        <v>3000</v>
      </c>
    </row>
    <row r="100" spans="1:23" x14ac:dyDescent="0.25">
      <c r="A100" s="2">
        <f t="shared" si="41"/>
        <v>8.7999999999999847</v>
      </c>
      <c r="B100" s="7">
        <f t="shared" si="24"/>
        <v>23.68</v>
      </c>
      <c r="C100" s="7">
        <f t="shared" si="28"/>
        <v>1.5220399311036708</v>
      </c>
      <c r="D100" s="7">
        <f t="shared" si="29"/>
        <v>0.64100830813543341</v>
      </c>
      <c r="E100" s="7">
        <f t="shared" si="30"/>
        <v>1</v>
      </c>
      <c r="G100" s="4">
        <f t="shared" si="31"/>
        <v>879.99999999999841</v>
      </c>
      <c r="H100" s="1">
        <f t="shared" si="42"/>
        <v>1.5413851351351175</v>
      </c>
      <c r="I100" s="1">
        <f t="shared" si="43"/>
        <v>192.5284775816495</v>
      </c>
      <c r="J100" s="1">
        <f t="shared" si="32"/>
        <v>6.4176159193883162</v>
      </c>
      <c r="K100" s="7">
        <f t="shared" si="33"/>
        <v>0.52747528104561503</v>
      </c>
      <c r="L100" s="4">
        <f t="shared" si="34"/>
        <v>6487.6712328767135</v>
      </c>
      <c r="M100" s="1">
        <f t="shared" si="35"/>
        <v>761.01996555183541</v>
      </c>
      <c r="N100" s="7">
        <f t="shared" si="36"/>
        <v>0.64100830813543341</v>
      </c>
      <c r="O100" s="1">
        <f t="shared" si="37"/>
        <v>3000</v>
      </c>
      <c r="P100" s="2">
        <f t="shared" si="38"/>
        <v>4.93724733815547</v>
      </c>
      <c r="Q100" s="2">
        <f t="shared" si="25"/>
        <v>41.854804380686268</v>
      </c>
      <c r="S100" s="1">
        <f t="shared" si="26"/>
        <v>3000</v>
      </c>
      <c r="T100" s="1">
        <f t="shared" si="27"/>
        <v>6487.6712328767135</v>
      </c>
      <c r="V100" s="1">
        <f t="shared" si="39"/>
        <v>6487.6712328767135</v>
      </c>
      <c r="W100" s="1">
        <f t="shared" si="40"/>
        <v>3000</v>
      </c>
    </row>
    <row r="101" spans="1:23" x14ac:dyDescent="0.25">
      <c r="A101" s="2">
        <f t="shared" si="41"/>
        <v>8.8999999999999844</v>
      </c>
      <c r="B101" s="7">
        <f t="shared" si="24"/>
        <v>23.68</v>
      </c>
      <c r="C101" s="7">
        <f t="shared" si="28"/>
        <v>1.5227189123144977</v>
      </c>
      <c r="D101" s="7">
        <f t="shared" si="29"/>
        <v>0.6448994531444221</v>
      </c>
      <c r="E101" s="7">
        <f t="shared" si="30"/>
        <v>1</v>
      </c>
      <c r="G101" s="4">
        <f t="shared" si="31"/>
        <v>889.99999999999841</v>
      </c>
      <c r="H101" s="1">
        <f t="shared" si="42"/>
        <v>1.5413851351351349</v>
      </c>
      <c r="I101" s="1">
        <f t="shared" si="43"/>
        <v>194.06986271678463</v>
      </c>
      <c r="J101" s="1">
        <f t="shared" si="32"/>
        <v>6.4689954238928209</v>
      </c>
      <c r="K101" s="7">
        <f t="shared" si="33"/>
        <v>0.53169825401858806</v>
      </c>
      <c r="L101" s="4">
        <f t="shared" si="34"/>
        <v>6487.6712328767135</v>
      </c>
      <c r="M101" s="1">
        <f t="shared" si="35"/>
        <v>761.35945615724881</v>
      </c>
      <c r="N101" s="7">
        <f t="shared" si="36"/>
        <v>0.6448994531444221</v>
      </c>
      <c r="O101" s="1">
        <f t="shared" si="37"/>
        <v>3000</v>
      </c>
      <c r="P101" s="2">
        <f t="shared" si="38"/>
        <v>4.9394498415900419</v>
      </c>
      <c r="Q101" s="2">
        <f t="shared" si="25"/>
        <v>42.110526860066713</v>
      </c>
      <c r="S101" s="1">
        <f t="shared" si="26"/>
        <v>3000</v>
      </c>
      <c r="T101" s="1">
        <f t="shared" si="27"/>
        <v>6487.6712328767135</v>
      </c>
      <c r="V101" s="1">
        <f t="shared" si="39"/>
        <v>6487.6712328767135</v>
      </c>
      <c r="W101" s="1">
        <f t="shared" si="40"/>
        <v>3000</v>
      </c>
    </row>
    <row r="102" spans="1:23" x14ac:dyDescent="0.25">
      <c r="A102" s="2">
        <f t="shared" si="41"/>
        <v>8.999999999999984</v>
      </c>
      <c r="B102" s="7">
        <f t="shared" si="24"/>
        <v>23.68</v>
      </c>
      <c r="C102" s="7">
        <f t="shared" si="28"/>
        <v>1.5233981964184853</v>
      </c>
      <c r="D102" s="7">
        <f t="shared" si="29"/>
        <v>0.64881421876688627</v>
      </c>
      <c r="E102" s="7">
        <f t="shared" si="30"/>
        <v>1</v>
      </c>
      <c r="G102" s="4">
        <f t="shared" si="31"/>
        <v>899.99999999999852</v>
      </c>
      <c r="H102" s="1">
        <f t="shared" si="42"/>
        <v>1.5413851351351522</v>
      </c>
      <c r="I102" s="1">
        <f t="shared" si="43"/>
        <v>195.61124785191979</v>
      </c>
      <c r="J102" s="1">
        <f t="shared" si="32"/>
        <v>6.5203749283973265</v>
      </c>
      <c r="K102" s="7">
        <f t="shared" si="33"/>
        <v>0.53592122699156108</v>
      </c>
      <c r="L102" s="4">
        <f t="shared" si="34"/>
        <v>6487.6712328767135</v>
      </c>
      <c r="M102" s="1">
        <f t="shared" si="35"/>
        <v>761.69909820924261</v>
      </c>
      <c r="N102" s="7">
        <f t="shared" si="36"/>
        <v>0.64881421876688627</v>
      </c>
      <c r="O102" s="1">
        <f t="shared" si="37"/>
        <v>3000</v>
      </c>
      <c r="P102" s="2">
        <f t="shared" si="38"/>
        <v>4.9416533275602372</v>
      </c>
      <c r="Q102" s="2">
        <f t="shared" si="25"/>
        <v>42.367821878281184</v>
      </c>
      <c r="S102" s="1">
        <f t="shared" si="26"/>
        <v>3000</v>
      </c>
      <c r="T102" s="1">
        <f t="shared" si="27"/>
        <v>6487.6712328767135</v>
      </c>
      <c r="V102" s="1">
        <f t="shared" si="39"/>
        <v>6487.6712328767135</v>
      </c>
      <c r="W102" s="1">
        <f t="shared" si="40"/>
        <v>3000</v>
      </c>
    </row>
    <row r="103" spans="1:23" x14ac:dyDescent="0.25">
      <c r="A103" s="2">
        <f t="shared" si="41"/>
        <v>9.0999999999999837</v>
      </c>
      <c r="B103" s="7">
        <f t="shared" si="24"/>
        <v>23.68</v>
      </c>
      <c r="C103" s="7">
        <f t="shared" si="28"/>
        <v>1.5240777835507535</v>
      </c>
      <c r="D103" s="7">
        <f t="shared" si="29"/>
        <v>0.65275274838822506</v>
      </c>
      <c r="E103" s="7">
        <f t="shared" si="30"/>
        <v>1</v>
      </c>
      <c r="G103" s="4">
        <f t="shared" si="31"/>
        <v>909.99999999999841</v>
      </c>
      <c r="H103" s="1">
        <f t="shared" si="42"/>
        <v>1.5413851351351175</v>
      </c>
      <c r="I103" s="1">
        <f t="shared" si="43"/>
        <v>197.15263298705491</v>
      </c>
      <c r="J103" s="1">
        <f t="shared" si="32"/>
        <v>6.5717544329018303</v>
      </c>
      <c r="K103" s="7">
        <f t="shared" si="33"/>
        <v>0.540144199964534</v>
      </c>
      <c r="L103" s="4">
        <f t="shared" si="34"/>
        <v>6487.6712328767135</v>
      </c>
      <c r="M103" s="1">
        <f t="shared" si="35"/>
        <v>762.03889177537678</v>
      </c>
      <c r="N103" s="7">
        <f t="shared" si="36"/>
        <v>0.65275274838822506</v>
      </c>
      <c r="O103" s="1">
        <f t="shared" si="37"/>
        <v>3000</v>
      </c>
      <c r="P103" s="2">
        <f t="shared" si="38"/>
        <v>4.9438577965043633</v>
      </c>
      <c r="Q103" s="2">
        <f t="shared" si="25"/>
        <v>42.626699229764462</v>
      </c>
      <c r="S103" s="1">
        <f t="shared" si="26"/>
        <v>3000</v>
      </c>
      <c r="T103" s="1">
        <f t="shared" si="27"/>
        <v>6487.6712328767135</v>
      </c>
      <c r="V103" s="1">
        <f t="shared" si="39"/>
        <v>6487.6712328767135</v>
      </c>
      <c r="W103" s="1">
        <f t="shared" si="40"/>
        <v>3000</v>
      </c>
    </row>
    <row r="104" spans="1:23" x14ac:dyDescent="0.25">
      <c r="A104" s="2">
        <f t="shared" si="41"/>
        <v>9.1999999999999833</v>
      </c>
      <c r="B104" s="7">
        <f t="shared" si="24"/>
        <v>23.68</v>
      </c>
      <c r="C104" s="7">
        <f t="shared" si="28"/>
        <v>1.524757673846483</v>
      </c>
      <c r="D104" s="7">
        <f t="shared" si="29"/>
        <v>0.65671518626423742</v>
      </c>
      <c r="E104" s="7">
        <f t="shared" si="30"/>
        <v>1</v>
      </c>
      <c r="G104" s="4">
        <f t="shared" si="31"/>
        <v>919.99999999999841</v>
      </c>
      <c r="H104" s="1">
        <f t="shared" si="42"/>
        <v>1.5413851351351349</v>
      </c>
      <c r="I104" s="1">
        <f t="shared" si="43"/>
        <v>198.69401812219004</v>
      </c>
      <c r="J104" s="1">
        <f t="shared" si="32"/>
        <v>6.6231339374063349</v>
      </c>
      <c r="K104" s="7">
        <f t="shared" si="33"/>
        <v>0.54436717293750703</v>
      </c>
      <c r="L104" s="4">
        <f t="shared" si="34"/>
        <v>6487.6712328767135</v>
      </c>
      <c r="M104" s="1">
        <f t="shared" si="35"/>
        <v>762.37883692324147</v>
      </c>
      <c r="N104" s="7">
        <f t="shared" si="36"/>
        <v>0.65671518626423742</v>
      </c>
      <c r="O104" s="1">
        <f t="shared" si="37"/>
        <v>3000</v>
      </c>
      <c r="P104" s="2">
        <f t="shared" si="38"/>
        <v>4.9460632488609209</v>
      </c>
      <c r="Q104" s="2">
        <f t="shared" si="25"/>
        <v>42.887168771478734</v>
      </c>
      <c r="S104" s="1">
        <f t="shared" si="26"/>
        <v>3000</v>
      </c>
      <c r="T104" s="1">
        <f t="shared" si="27"/>
        <v>6487.6712328767135</v>
      </c>
      <c r="V104" s="1">
        <f t="shared" si="39"/>
        <v>6487.6712328767135</v>
      </c>
      <c r="W104" s="1">
        <f t="shared" si="40"/>
        <v>3000</v>
      </c>
    </row>
    <row r="105" spans="1:23" x14ac:dyDescent="0.25">
      <c r="A105" s="2">
        <f t="shared" si="41"/>
        <v>9.2999999999999829</v>
      </c>
      <c r="B105" s="7">
        <f t="shared" si="24"/>
        <v>23.68</v>
      </c>
      <c r="C105" s="7">
        <f t="shared" si="28"/>
        <v>1.5254378674409148</v>
      </c>
      <c r="D105" s="7">
        <f t="shared" si="29"/>
        <v>0.66070167752640574</v>
      </c>
      <c r="E105" s="7">
        <f t="shared" si="30"/>
        <v>1</v>
      </c>
      <c r="G105" s="4">
        <f t="shared" si="31"/>
        <v>929.99999999999841</v>
      </c>
      <c r="H105" s="1">
        <f t="shared" si="42"/>
        <v>1.5413851351351349</v>
      </c>
      <c r="I105" s="1">
        <f t="shared" si="43"/>
        <v>200.23540325732517</v>
      </c>
      <c r="J105" s="1">
        <f t="shared" si="32"/>
        <v>6.6745134419108387</v>
      </c>
      <c r="K105" s="7">
        <f t="shared" si="33"/>
        <v>0.54859014591047994</v>
      </c>
      <c r="L105" s="4">
        <f t="shared" si="34"/>
        <v>6487.6712328767135</v>
      </c>
      <c r="M105" s="1">
        <f t="shared" si="35"/>
        <v>762.71893372045736</v>
      </c>
      <c r="N105" s="7">
        <f t="shared" si="36"/>
        <v>0.66070167752640574</v>
      </c>
      <c r="O105" s="1">
        <f t="shared" si="37"/>
        <v>3000</v>
      </c>
      <c r="P105" s="2">
        <f t="shared" si="38"/>
        <v>4.9482696850686123</v>
      </c>
      <c r="Q105" s="2">
        <f t="shared" si="25"/>
        <v>43.149240423331342</v>
      </c>
      <c r="S105" s="1">
        <f t="shared" si="26"/>
        <v>3000</v>
      </c>
      <c r="T105" s="1">
        <f t="shared" si="27"/>
        <v>6487.6712328767135</v>
      </c>
      <c r="V105" s="1">
        <f t="shared" si="39"/>
        <v>6487.6712328767135</v>
      </c>
      <c r="W105" s="1">
        <f t="shared" si="40"/>
        <v>3000</v>
      </c>
    </row>
    <row r="106" spans="1:23" x14ac:dyDescent="0.25">
      <c r="A106" s="2">
        <f t="shared" si="41"/>
        <v>9.3999999999999826</v>
      </c>
      <c r="B106" s="7">
        <f t="shared" si="24"/>
        <v>23.68</v>
      </c>
      <c r="C106" s="7">
        <f t="shared" si="28"/>
        <v>1.5261183644693508</v>
      </c>
      <c r="D106" s="7">
        <f t="shared" si="29"/>
        <v>0.66471236818721102</v>
      </c>
      <c r="E106" s="7">
        <f t="shared" si="30"/>
        <v>1</v>
      </c>
      <c r="G106" s="4">
        <f t="shared" si="31"/>
        <v>939.99999999999818</v>
      </c>
      <c r="H106" s="1">
        <f t="shared" si="42"/>
        <v>1.5413851351350998</v>
      </c>
      <c r="I106" s="1">
        <f t="shared" si="43"/>
        <v>201.77678839246028</v>
      </c>
      <c r="J106" s="1">
        <f t="shared" si="32"/>
        <v>6.7258929464153425</v>
      </c>
      <c r="K106" s="7">
        <f t="shared" si="33"/>
        <v>0.55281311888345286</v>
      </c>
      <c r="L106" s="4">
        <f t="shared" si="34"/>
        <v>6487.6712328767135</v>
      </c>
      <c r="M106" s="1">
        <f t="shared" si="35"/>
        <v>763.0591822346754</v>
      </c>
      <c r="N106" s="7">
        <f t="shared" si="36"/>
        <v>0.66471236818721102</v>
      </c>
      <c r="O106" s="1">
        <f t="shared" si="37"/>
        <v>3000</v>
      </c>
      <c r="P106" s="2">
        <f t="shared" si="38"/>
        <v>4.9504771055663328</v>
      </c>
      <c r="Q106" s="2">
        <f t="shared" si="25"/>
        <v>43.412924168595623</v>
      </c>
      <c r="S106" s="1">
        <f t="shared" si="26"/>
        <v>3000</v>
      </c>
      <c r="T106" s="1">
        <f t="shared" si="27"/>
        <v>6487.6712328767135</v>
      </c>
      <c r="V106" s="1">
        <f t="shared" si="39"/>
        <v>6487.6712328767135</v>
      </c>
      <c r="W106" s="1">
        <f t="shared" si="40"/>
        <v>3000</v>
      </c>
    </row>
    <row r="107" spans="1:23" x14ac:dyDescent="0.25">
      <c r="A107" s="2">
        <f t="shared" si="41"/>
        <v>9.4999999999999822</v>
      </c>
      <c r="B107" s="7">
        <f t="shared" si="24"/>
        <v>23.68</v>
      </c>
      <c r="C107" s="7">
        <f t="shared" si="28"/>
        <v>1.526799165067152</v>
      </c>
      <c r="D107" s="7">
        <f t="shared" si="29"/>
        <v>0.66874740514548114</v>
      </c>
      <c r="E107" s="7">
        <f t="shared" si="30"/>
        <v>1</v>
      </c>
      <c r="G107" s="4">
        <f t="shared" si="31"/>
        <v>949.99999999999818</v>
      </c>
      <c r="H107" s="1">
        <f t="shared" si="42"/>
        <v>1.5413851351351349</v>
      </c>
      <c r="I107" s="1">
        <f t="shared" si="43"/>
        <v>203.31817352759541</v>
      </c>
      <c r="J107" s="1">
        <f t="shared" si="32"/>
        <v>6.7772724509198472</v>
      </c>
      <c r="K107" s="7">
        <f t="shared" si="33"/>
        <v>0.55703609185642577</v>
      </c>
      <c r="L107" s="4">
        <f t="shared" si="34"/>
        <v>6487.6712328767135</v>
      </c>
      <c r="M107" s="1">
        <f t="shared" si="35"/>
        <v>763.39958253357599</v>
      </c>
      <c r="N107" s="7">
        <f t="shared" si="36"/>
        <v>0.66874740514548114</v>
      </c>
      <c r="O107" s="1">
        <f t="shared" si="37"/>
        <v>3000</v>
      </c>
      <c r="P107" s="2">
        <f t="shared" si="38"/>
        <v>4.9526855107931738</v>
      </c>
      <c r="Q107" s="2">
        <f t="shared" si="25"/>
        <v>43.678230054334712</v>
      </c>
      <c r="S107" s="1">
        <f t="shared" si="26"/>
        <v>3000</v>
      </c>
      <c r="T107" s="1">
        <f t="shared" si="27"/>
        <v>6487.6712328767135</v>
      </c>
      <c r="V107" s="1">
        <f t="shared" si="39"/>
        <v>6487.6712328767135</v>
      </c>
      <c r="W107" s="1">
        <f t="shared" si="40"/>
        <v>3000</v>
      </c>
    </row>
    <row r="108" spans="1:23" x14ac:dyDescent="0.25">
      <c r="A108" s="2">
        <f t="shared" si="41"/>
        <v>9.5999999999999819</v>
      </c>
      <c r="B108" s="7">
        <f t="shared" ref="B108:B171" si="44">IF(A108&lt;=$B$2,$B$3*EXP(A108*$B$4),IF(A108&lt;$B$7,$B$6,IF($B$8*EXP(A108*$B$9)&gt;$B$6,$B$6,$B$8*EXP(A108*$B$9))))</f>
        <v>23.68</v>
      </c>
      <c r="C108" s="7">
        <f t="shared" si="28"/>
        <v>1.5274802693697414</v>
      </c>
      <c r="D108" s="7">
        <f t="shared" si="29"/>
        <v>0.67280693619177168</v>
      </c>
      <c r="E108" s="7">
        <f t="shared" si="30"/>
        <v>1</v>
      </c>
      <c r="G108" s="4">
        <f t="shared" si="31"/>
        <v>959.99999999999818</v>
      </c>
      <c r="H108" s="1">
        <f t="shared" si="42"/>
        <v>1.5413851351351349</v>
      </c>
      <c r="I108" s="1">
        <f t="shared" si="43"/>
        <v>204.85955866273054</v>
      </c>
      <c r="J108" s="1">
        <f t="shared" si="32"/>
        <v>6.828651955424351</v>
      </c>
      <c r="K108" s="7">
        <f t="shared" si="33"/>
        <v>0.56125906482939869</v>
      </c>
      <c r="L108" s="4">
        <f t="shared" si="34"/>
        <v>6487.6712328767135</v>
      </c>
      <c r="M108" s="1">
        <f t="shared" si="35"/>
        <v>763.74013468487067</v>
      </c>
      <c r="N108" s="7">
        <f t="shared" si="36"/>
        <v>0.67280693619177168</v>
      </c>
      <c r="O108" s="1">
        <f t="shared" si="37"/>
        <v>3000</v>
      </c>
      <c r="P108" s="2">
        <f t="shared" si="38"/>
        <v>4.954894901188422</v>
      </c>
      <c r="Q108" s="2">
        <f t="shared" si="25"/>
        <v>43.945168191828522</v>
      </c>
      <c r="S108" s="1">
        <f t="shared" si="26"/>
        <v>3000</v>
      </c>
      <c r="T108" s="1">
        <f t="shared" si="27"/>
        <v>6487.6712328767135</v>
      </c>
      <c r="V108" s="1">
        <f t="shared" si="39"/>
        <v>6487.6712328767135</v>
      </c>
      <c r="W108" s="1">
        <f t="shared" si="40"/>
        <v>3000</v>
      </c>
    </row>
    <row r="109" spans="1:23" x14ac:dyDescent="0.25">
      <c r="A109" s="2">
        <f t="shared" si="41"/>
        <v>9.6999999999999815</v>
      </c>
      <c r="B109" s="7">
        <f t="shared" si="44"/>
        <v>23.68</v>
      </c>
      <c r="C109" s="7">
        <f t="shared" si="28"/>
        <v>1.5281616775126008</v>
      </c>
      <c r="D109" s="7">
        <f t="shared" si="29"/>
        <v>0.67689111001377855</v>
      </c>
      <c r="E109" s="7">
        <f t="shared" si="30"/>
        <v>1</v>
      </c>
      <c r="G109" s="4">
        <f t="shared" si="31"/>
        <v>969.99999999999807</v>
      </c>
      <c r="H109" s="1">
        <f t="shared" si="42"/>
        <v>1.5413851351351175</v>
      </c>
      <c r="I109" s="1">
        <f t="shared" si="43"/>
        <v>206.40094379786566</v>
      </c>
      <c r="J109" s="1">
        <f t="shared" si="32"/>
        <v>6.8800314599288557</v>
      </c>
      <c r="K109" s="7">
        <f t="shared" si="33"/>
        <v>0.56548203780237172</v>
      </c>
      <c r="L109" s="4">
        <f t="shared" si="34"/>
        <v>6487.6712328767135</v>
      </c>
      <c r="M109" s="1">
        <f t="shared" si="35"/>
        <v>764.08083875630041</v>
      </c>
      <c r="N109" s="7">
        <f t="shared" si="36"/>
        <v>0.67689111001377855</v>
      </c>
      <c r="O109" s="1">
        <f t="shared" si="37"/>
        <v>3000</v>
      </c>
      <c r="P109" s="2">
        <f t="shared" si="38"/>
        <v>4.9571052771915607</v>
      </c>
      <c r="Q109" s="2">
        <f t="shared" si="25"/>
        <v>44.213748757003771</v>
      </c>
      <c r="S109" s="1">
        <f t="shared" si="26"/>
        <v>3000</v>
      </c>
      <c r="T109" s="1">
        <f t="shared" si="27"/>
        <v>6487.6712328767135</v>
      </c>
      <c r="V109" s="1">
        <f t="shared" si="39"/>
        <v>6487.6712328767135</v>
      </c>
      <c r="W109" s="1">
        <f t="shared" si="40"/>
        <v>3000</v>
      </c>
    </row>
    <row r="110" spans="1:23" x14ac:dyDescent="0.25">
      <c r="A110" s="2">
        <f t="shared" si="41"/>
        <v>9.7999999999999812</v>
      </c>
      <c r="B110" s="7">
        <f t="shared" si="44"/>
        <v>23.68</v>
      </c>
      <c r="C110" s="7">
        <f t="shared" si="28"/>
        <v>1.5288433896312736</v>
      </c>
      <c r="D110" s="7">
        <f t="shared" si="29"/>
        <v>0.68100007620178382</v>
      </c>
      <c r="E110" s="7">
        <f t="shared" si="30"/>
        <v>1</v>
      </c>
      <c r="G110" s="4">
        <f t="shared" si="31"/>
        <v>979.99999999999807</v>
      </c>
      <c r="H110" s="1">
        <f t="shared" si="42"/>
        <v>1.5413851351351349</v>
      </c>
      <c r="I110" s="1">
        <f t="shared" si="43"/>
        <v>207.94232893300079</v>
      </c>
      <c r="J110" s="1">
        <f t="shared" si="32"/>
        <v>6.9314109644333595</v>
      </c>
      <c r="K110" s="7">
        <f t="shared" si="33"/>
        <v>0.56970501077534463</v>
      </c>
      <c r="L110" s="4">
        <f t="shared" si="34"/>
        <v>6487.6712328767135</v>
      </c>
      <c r="M110" s="1">
        <f t="shared" si="35"/>
        <v>764.42169481563678</v>
      </c>
      <c r="N110" s="7">
        <f t="shared" si="36"/>
        <v>0.68100007620178382</v>
      </c>
      <c r="O110" s="1">
        <f t="shared" si="37"/>
        <v>3000</v>
      </c>
      <c r="P110" s="2">
        <f t="shared" si="38"/>
        <v>4.9593166392422692</v>
      </c>
      <c r="Q110" s="2">
        <f t="shared" si="25"/>
        <v>44.483981990867015</v>
      </c>
      <c r="S110" s="1">
        <f t="shared" si="26"/>
        <v>3000</v>
      </c>
      <c r="T110" s="1">
        <f t="shared" si="27"/>
        <v>6487.6712328767135</v>
      </c>
      <c r="V110" s="1">
        <f t="shared" si="39"/>
        <v>6487.6712328767135</v>
      </c>
      <c r="W110" s="1">
        <f t="shared" si="40"/>
        <v>3000</v>
      </c>
    </row>
    <row r="111" spans="1:23" x14ac:dyDescent="0.25">
      <c r="A111" s="2">
        <f t="shared" si="41"/>
        <v>9.8999999999999808</v>
      </c>
      <c r="B111" s="7">
        <f t="shared" si="44"/>
        <v>23.68</v>
      </c>
      <c r="C111" s="7">
        <f t="shared" si="28"/>
        <v>1.5295254058613632</v>
      </c>
      <c r="D111" s="7">
        <f t="shared" si="29"/>
        <v>0.68513398525413516</v>
      </c>
      <c r="E111" s="7">
        <f t="shared" si="30"/>
        <v>1</v>
      </c>
      <c r="G111" s="4">
        <f t="shared" si="31"/>
        <v>989.99999999999807</v>
      </c>
      <c r="H111" s="1">
        <f t="shared" si="42"/>
        <v>1.5413851351351349</v>
      </c>
      <c r="I111" s="1">
        <f t="shared" si="43"/>
        <v>209.48371406813592</v>
      </c>
      <c r="J111" s="1">
        <f t="shared" si="32"/>
        <v>6.9827904689378641</v>
      </c>
      <c r="K111" s="7">
        <f t="shared" si="33"/>
        <v>0.57392798374831755</v>
      </c>
      <c r="L111" s="4">
        <f t="shared" si="34"/>
        <v>6487.6712328767135</v>
      </c>
      <c r="M111" s="1">
        <f t="shared" si="35"/>
        <v>764.7627029306816</v>
      </c>
      <c r="N111" s="7">
        <f t="shared" si="36"/>
        <v>0.68513398525413516</v>
      </c>
      <c r="O111" s="1">
        <f t="shared" si="37"/>
        <v>3000</v>
      </c>
      <c r="P111" s="2">
        <f t="shared" si="38"/>
        <v>4.9615289877804232</v>
      </c>
      <c r="Q111" s="2">
        <f t="shared" si="25"/>
        <v>44.755878199941051</v>
      </c>
      <c r="S111" s="1">
        <f t="shared" si="26"/>
        <v>3000</v>
      </c>
      <c r="T111" s="1">
        <f t="shared" si="27"/>
        <v>6487.6712328767135</v>
      </c>
      <c r="V111" s="1">
        <f t="shared" si="39"/>
        <v>6487.6712328767135</v>
      </c>
      <c r="W111" s="1">
        <f t="shared" si="40"/>
        <v>3000</v>
      </c>
    </row>
    <row r="112" spans="1:23" x14ac:dyDescent="0.25">
      <c r="A112" s="2">
        <f t="shared" si="41"/>
        <v>9.9999999999999805</v>
      </c>
      <c r="B112" s="7">
        <f t="shared" si="44"/>
        <v>23.68</v>
      </c>
      <c r="C112" s="7">
        <f t="shared" si="28"/>
        <v>1.5302077263385334</v>
      </c>
      <c r="D112" s="7">
        <f t="shared" si="29"/>
        <v>0.689292988582758</v>
      </c>
      <c r="E112" s="7">
        <f t="shared" si="30"/>
        <v>1</v>
      </c>
      <c r="G112" s="4">
        <f t="shared" si="31"/>
        <v>999.99999999999807</v>
      </c>
      <c r="H112" s="1">
        <f t="shared" si="42"/>
        <v>1.5413851351351349</v>
      </c>
      <c r="I112" s="1">
        <f t="shared" si="43"/>
        <v>211.02509920327105</v>
      </c>
      <c r="J112" s="1">
        <f t="shared" si="32"/>
        <v>7.0341699734423688</v>
      </c>
      <c r="K112" s="7">
        <f t="shared" si="33"/>
        <v>0.57815095672129058</v>
      </c>
      <c r="L112" s="4">
        <f t="shared" si="34"/>
        <v>6487.6712328767135</v>
      </c>
      <c r="M112" s="1">
        <f t="shared" si="35"/>
        <v>765.10386316926667</v>
      </c>
      <c r="N112" s="7">
        <f t="shared" si="36"/>
        <v>0.689292988582758</v>
      </c>
      <c r="O112" s="1">
        <f t="shared" si="37"/>
        <v>3000</v>
      </c>
      <c r="P112" s="2">
        <f t="shared" si="38"/>
        <v>4.9637423232460929</v>
      </c>
      <c r="Q112" s="2">
        <f t="shared" ref="Q112:Q175" si="45">IFERROR(N112/100*L112/(1-N112/100),L112*100)</f>
        <v>45.029447756704258</v>
      </c>
      <c r="S112" s="1">
        <f t="shared" si="26"/>
        <v>3000</v>
      </c>
      <c r="T112" s="1">
        <f t="shared" si="27"/>
        <v>6487.6712328767135</v>
      </c>
      <c r="V112" s="1">
        <f t="shared" si="39"/>
        <v>6487.6712328767135</v>
      </c>
      <c r="W112" s="1">
        <f t="shared" si="40"/>
        <v>3000</v>
      </c>
    </row>
    <row r="113" spans="1:23" x14ac:dyDescent="0.25">
      <c r="A113" s="2">
        <f t="shared" si="41"/>
        <v>10.09999999999998</v>
      </c>
      <c r="B113" s="7">
        <f t="shared" si="44"/>
        <v>23.68</v>
      </c>
      <c r="C113" s="7">
        <f t="shared" si="28"/>
        <v>1.5308903511985086</v>
      </c>
      <c r="D113" s="7">
        <f t="shared" si="29"/>
        <v>0.69347723851870113</v>
      </c>
      <c r="E113" s="7">
        <f t="shared" si="30"/>
        <v>1</v>
      </c>
      <c r="G113" s="4">
        <f t="shared" si="31"/>
        <v>1009.999999999998</v>
      </c>
      <c r="H113" s="1">
        <f t="shared" si="42"/>
        <v>1.5413851351351175</v>
      </c>
      <c r="I113" s="1">
        <f t="shared" si="43"/>
        <v>212.56648433840618</v>
      </c>
      <c r="J113" s="1">
        <f t="shared" si="32"/>
        <v>7.0855494779468726</v>
      </c>
      <c r="K113" s="7">
        <f t="shared" si="33"/>
        <v>0.58237392969426349</v>
      </c>
      <c r="L113" s="4">
        <f t="shared" si="34"/>
        <v>6487.6712328767135</v>
      </c>
      <c r="M113" s="1">
        <f t="shared" si="35"/>
        <v>765.4451755992543</v>
      </c>
      <c r="N113" s="7">
        <f t="shared" si="36"/>
        <v>0.69347723851870113</v>
      </c>
      <c r="O113" s="1">
        <f t="shared" si="37"/>
        <v>3000</v>
      </c>
      <c r="P113" s="2">
        <f t="shared" si="38"/>
        <v>4.9659566460795466</v>
      </c>
      <c r="Q113" s="2">
        <f t="shared" si="45"/>
        <v>45.30470110003327</v>
      </c>
      <c r="S113" s="1">
        <f t="shared" si="26"/>
        <v>3000</v>
      </c>
      <c r="T113" s="1">
        <f t="shared" si="27"/>
        <v>6487.6712328767135</v>
      </c>
      <c r="V113" s="1">
        <f t="shared" si="39"/>
        <v>6487.6712328767135</v>
      </c>
      <c r="W113" s="1">
        <f t="shared" si="40"/>
        <v>3000</v>
      </c>
    </row>
    <row r="114" spans="1:23" x14ac:dyDescent="0.25">
      <c r="A114" s="2">
        <f t="shared" si="41"/>
        <v>10.19999999999998</v>
      </c>
      <c r="B114" s="7">
        <f t="shared" si="44"/>
        <v>23.68</v>
      </c>
      <c r="C114" s="7">
        <f t="shared" si="28"/>
        <v>1.5315732805770743</v>
      </c>
      <c r="D114" s="7">
        <f t="shared" si="29"/>
        <v>0.69768688831771619</v>
      </c>
      <c r="E114" s="7">
        <f t="shared" si="30"/>
        <v>1</v>
      </c>
      <c r="G114" s="4">
        <f t="shared" si="31"/>
        <v>1019.9999999999981</v>
      </c>
      <c r="H114" s="1">
        <f t="shared" si="42"/>
        <v>1.5413851351351522</v>
      </c>
      <c r="I114" s="1">
        <f t="shared" si="43"/>
        <v>214.10786947354134</v>
      </c>
      <c r="J114" s="1">
        <f t="shared" si="32"/>
        <v>7.1369289824513782</v>
      </c>
      <c r="K114" s="7">
        <f t="shared" si="33"/>
        <v>0.58659690266723652</v>
      </c>
      <c r="L114" s="4">
        <f t="shared" si="34"/>
        <v>6487.6712328767135</v>
      </c>
      <c r="M114" s="1">
        <f t="shared" si="35"/>
        <v>765.78664028853711</v>
      </c>
      <c r="N114" s="7">
        <f t="shared" si="36"/>
        <v>0.69768688831771619</v>
      </c>
      <c r="O114" s="1">
        <f t="shared" si="37"/>
        <v>3000</v>
      </c>
      <c r="P114" s="2">
        <f t="shared" si="38"/>
        <v>4.9681719567212497</v>
      </c>
      <c r="Q114" s="2">
        <f t="shared" si="45"/>
        <v>45.581648735648812</v>
      </c>
      <c r="S114" s="1">
        <f t="shared" si="26"/>
        <v>3000</v>
      </c>
      <c r="T114" s="1">
        <f t="shared" si="27"/>
        <v>6487.6712328767135</v>
      </c>
      <c r="V114" s="1">
        <f t="shared" si="39"/>
        <v>6487.6712328767135</v>
      </c>
      <c r="W114" s="1">
        <f t="shared" si="40"/>
        <v>3000</v>
      </c>
    </row>
    <row r="115" spans="1:23" x14ac:dyDescent="0.25">
      <c r="A115" s="2">
        <f t="shared" si="41"/>
        <v>10.299999999999979</v>
      </c>
      <c r="B115" s="7">
        <f t="shared" si="44"/>
        <v>23.68</v>
      </c>
      <c r="C115" s="7">
        <f t="shared" si="28"/>
        <v>1.5322565146100755</v>
      </c>
      <c r="D115" s="7">
        <f t="shared" si="29"/>
        <v>0.70192209216587098</v>
      </c>
      <c r="E115" s="7">
        <f t="shared" si="30"/>
        <v>1</v>
      </c>
      <c r="G115" s="4">
        <f t="shared" si="31"/>
        <v>1029.999999999998</v>
      </c>
      <c r="H115" s="1">
        <f t="shared" si="42"/>
        <v>1.5413851351351175</v>
      </c>
      <c r="I115" s="1">
        <f t="shared" si="43"/>
        <v>215.64925460867647</v>
      </c>
      <c r="J115" s="1">
        <f t="shared" si="32"/>
        <v>7.188308486955882</v>
      </c>
      <c r="K115" s="7">
        <f t="shared" si="33"/>
        <v>0.59081987564020955</v>
      </c>
      <c r="L115" s="4">
        <f t="shared" si="34"/>
        <v>6487.6712328767135</v>
      </c>
      <c r="M115" s="1">
        <f t="shared" si="35"/>
        <v>766.12825730503778</v>
      </c>
      <c r="N115" s="7">
        <f t="shared" si="36"/>
        <v>0.70192209216587098</v>
      </c>
      <c r="O115" s="1">
        <f t="shared" si="37"/>
        <v>3000</v>
      </c>
      <c r="P115" s="2">
        <f t="shared" si="38"/>
        <v>4.9703882556118621</v>
      </c>
      <c r="Q115" s="2">
        <f t="shared" si="45"/>
        <v>45.860301236564851</v>
      </c>
      <c r="S115" s="1">
        <f t="shared" si="26"/>
        <v>3000</v>
      </c>
      <c r="T115" s="1">
        <f t="shared" si="27"/>
        <v>6487.6712328767135</v>
      </c>
      <c r="V115" s="1">
        <f t="shared" si="39"/>
        <v>6487.6712328767135</v>
      </c>
      <c r="W115" s="1">
        <f t="shared" si="40"/>
        <v>3000</v>
      </c>
    </row>
    <row r="116" spans="1:23" x14ac:dyDescent="0.25">
      <c r="A116" s="2">
        <f t="shared" si="41"/>
        <v>10.399999999999979</v>
      </c>
      <c r="B116" s="7">
        <f t="shared" si="44"/>
        <v>23.68</v>
      </c>
      <c r="C116" s="7">
        <f t="shared" si="28"/>
        <v>1.5329400534334185</v>
      </c>
      <c r="D116" s="7">
        <f t="shared" si="29"/>
        <v>0.7061830051851965</v>
      </c>
      <c r="E116" s="7">
        <f t="shared" si="30"/>
        <v>1</v>
      </c>
      <c r="G116" s="4">
        <f t="shared" si="31"/>
        <v>1039.9999999999977</v>
      </c>
      <c r="H116" s="1">
        <f t="shared" si="42"/>
        <v>1.5413851351350998</v>
      </c>
      <c r="I116" s="1">
        <f t="shared" si="43"/>
        <v>217.19063974381157</v>
      </c>
      <c r="J116" s="1">
        <f t="shared" si="32"/>
        <v>7.2396879914603858</v>
      </c>
      <c r="K116" s="7">
        <f t="shared" si="33"/>
        <v>0.59504284861318235</v>
      </c>
      <c r="L116" s="4">
        <f t="shared" si="34"/>
        <v>6487.6712328767135</v>
      </c>
      <c r="M116" s="1">
        <f t="shared" si="35"/>
        <v>766.4700267167093</v>
      </c>
      <c r="N116" s="7">
        <f t="shared" si="36"/>
        <v>0.7061830051851965</v>
      </c>
      <c r="O116" s="1">
        <f t="shared" si="37"/>
        <v>3000</v>
      </c>
      <c r="P116" s="2">
        <f t="shared" si="38"/>
        <v>4.9726055431922411</v>
      </c>
      <c r="Q116" s="2">
        <f t="shared" si="45"/>
        <v>46.14066924354087</v>
      </c>
      <c r="S116" s="1">
        <f t="shared" si="26"/>
        <v>3000</v>
      </c>
      <c r="T116" s="1">
        <f t="shared" si="27"/>
        <v>6487.6712328767135</v>
      </c>
      <c r="V116" s="1">
        <f t="shared" si="39"/>
        <v>6487.6712328767135</v>
      </c>
      <c r="W116" s="1">
        <f t="shared" si="40"/>
        <v>3000</v>
      </c>
    </row>
    <row r="117" spans="1:23" x14ac:dyDescent="0.25">
      <c r="A117" s="2">
        <f t="shared" si="41"/>
        <v>10.499999999999979</v>
      </c>
      <c r="B117" s="7">
        <f t="shared" si="44"/>
        <v>23.68</v>
      </c>
      <c r="C117" s="7">
        <f t="shared" si="28"/>
        <v>1.5336238971830705</v>
      </c>
      <c r="D117" s="7">
        <f t="shared" si="29"/>
        <v>0.71046978343936917</v>
      </c>
      <c r="E117" s="7">
        <f t="shared" si="30"/>
        <v>1</v>
      </c>
      <c r="G117" s="4">
        <f t="shared" si="31"/>
        <v>1049.9999999999977</v>
      </c>
      <c r="H117" s="1">
        <f t="shared" si="42"/>
        <v>1.5413851351351349</v>
      </c>
      <c r="I117" s="1">
        <f t="shared" si="43"/>
        <v>218.7320248789467</v>
      </c>
      <c r="J117" s="1">
        <f t="shared" si="32"/>
        <v>7.2910674959648905</v>
      </c>
      <c r="K117" s="7">
        <f t="shared" si="33"/>
        <v>0.59926582158615538</v>
      </c>
      <c r="L117" s="4">
        <f t="shared" si="34"/>
        <v>6487.6712328767135</v>
      </c>
      <c r="M117" s="1">
        <f t="shared" si="35"/>
        <v>766.81194859153527</v>
      </c>
      <c r="N117" s="7">
        <f t="shared" si="36"/>
        <v>0.71046978343936917</v>
      </c>
      <c r="O117" s="1">
        <f t="shared" si="37"/>
        <v>3000</v>
      </c>
      <c r="P117" s="2">
        <f t="shared" si="38"/>
        <v>4.9748238199034409</v>
      </c>
      <c r="Q117" s="2">
        <f t="shared" si="45"/>
        <v>46.422763465537614</v>
      </c>
      <c r="S117" s="1">
        <f t="shared" si="26"/>
        <v>3000</v>
      </c>
      <c r="T117" s="1">
        <f t="shared" si="27"/>
        <v>6487.6712328767135</v>
      </c>
      <c r="V117" s="1">
        <f t="shared" si="39"/>
        <v>6487.6712328767135</v>
      </c>
      <c r="W117" s="1">
        <f t="shared" si="40"/>
        <v>3000</v>
      </c>
    </row>
    <row r="118" spans="1:23" x14ac:dyDescent="0.25">
      <c r="A118" s="2">
        <f t="shared" si="41"/>
        <v>10.599999999999978</v>
      </c>
      <c r="B118" s="7">
        <f t="shared" si="44"/>
        <v>23.68</v>
      </c>
      <c r="C118" s="7">
        <f t="shared" si="28"/>
        <v>1.5343080459950584</v>
      </c>
      <c r="D118" s="7">
        <f t="shared" si="29"/>
        <v>0.71478258393942651</v>
      </c>
      <c r="E118" s="7">
        <f t="shared" si="30"/>
        <v>1</v>
      </c>
      <c r="G118" s="4">
        <f t="shared" si="31"/>
        <v>1059.9999999999977</v>
      </c>
      <c r="H118" s="1">
        <f t="shared" si="42"/>
        <v>1.5413851351351349</v>
      </c>
      <c r="I118" s="1">
        <f t="shared" si="43"/>
        <v>220.27341001408183</v>
      </c>
      <c r="J118" s="1">
        <f t="shared" si="32"/>
        <v>7.3424470004693942</v>
      </c>
      <c r="K118" s="7">
        <f t="shared" si="33"/>
        <v>0.60348879455912829</v>
      </c>
      <c r="L118" s="4">
        <f t="shared" si="34"/>
        <v>6487.6712328767135</v>
      </c>
      <c r="M118" s="1">
        <f t="shared" si="35"/>
        <v>767.15402299752918</v>
      </c>
      <c r="N118" s="7">
        <f t="shared" si="36"/>
        <v>0.71478258393942651</v>
      </c>
      <c r="O118" s="1">
        <f t="shared" si="37"/>
        <v>3000</v>
      </c>
      <c r="P118" s="2">
        <f t="shared" si="38"/>
        <v>4.9770430861867103</v>
      </c>
      <c r="Q118" s="2">
        <f t="shared" si="45"/>
        <v>46.706594680176096</v>
      </c>
      <c r="S118" s="1">
        <f t="shared" si="26"/>
        <v>3000</v>
      </c>
      <c r="T118" s="1">
        <f t="shared" si="27"/>
        <v>6487.6712328767135</v>
      </c>
      <c r="V118" s="1">
        <f t="shared" si="39"/>
        <v>6487.6712328767135</v>
      </c>
      <c r="W118" s="1">
        <f t="shared" si="40"/>
        <v>3000</v>
      </c>
    </row>
    <row r="119" spans="1:23" x14ac:dyDescent="0.25">
      <c r="A119" s="2">
        <f t="shared" si="41"/>
        <v>10.699999999999978</v>
      </c>
      <c r="B119" s="7">
        <f t="shared" si="44"/>
        <v>23.68</v>
      </c>
      <c r="C119" s="7">
        <f t="shared" si="28"/>
        <v>1.5349925000054709</v>
      </c>
      <c r="D119" s="7">
        <f t="shared" si="29"/>
        <v>0.71912156464951782</v>
      </c>
      <c r="E119" s="7">
        <f t="shared" si="30"/>
        <v>1</v>
      </c>
      <c r="G119" s="4">
        <f t="shared" si="31"/>
        <v>1069.999999999998</v>
      </c>
      <c r="H119" s="1">
        <f t="shared" si="42"/>
        <v>1.5413851351351699</v>
      </c>
      <c r="I119" s="1">
        <f t="shared" si="43"/>
        <v>221.81479514921699</v>
      </c>
      <c r="J119" s="1">
        <f t="shared" si="32"/>
        <v>7.3938265049738998</v>
      </c>
      <c r="K119" s="7">
        <f t="shared" si="33"/>
        <v>0.60771176753210132</v>
      </c>
      <c r="L119" s="4">
        <f t="shared" si="34"/>
        <v>6487.6712328767135</v>
      </c>
      <c r="M119" s="1">
        <f t="shared" si="35"/>
        <v>767.49625000273545</v>
      </c>
      <c r="N119" s="7">
        <f t="shared" si="36"/>
        <v>0.71912156464951782</v>
      </c>
      <c r="O119" s="1">
        <f t="shared" si="37"/>
        <v>3000</v>
      </c>
      <c r="P119" s="2">
        <f t="shared" si="38"/>
        <v>4.9792633424835007</v>
      </c>
      <c r="Q119" s="2">
        <f t="shared" si="45"/>
        <v>46.992173734199881</v>
      </c>
      <c r="S119" s="1">
        <f t="shared" si="26"/>
        <v>3000</v>
      </c>
      <c r="T119" s="1">
        <f t="shared" si="27"/>
        <v>6487.6712328767135</v>
      </c>
      <c r="V119" s="1">
        <f t="shared" si="39"/>
        <v>6487.6712328767135</v>
      </c>
      <c r="W119" s="1">
        <f t="shared" si="40"/>
        <v>3000</v>
      </c>
    </row>
    <row r="120" spans="1:23" x14ac:dyDescent="0.25">
      <c r="A120" s="2">
        <f t="shared" si="41"/>
        <v>10.799999999999978</v>
      </c>
      <c r="B120" s="7">
        <f t="shared" si="44"/>
        <v>23.68</v>
      </c>
      <c r="C120" s="7">
        <f t="shared" si="28"/>
        <v>1.5356772593504564</v>
      </c>
      <c r="D120" s="7">
        <f t="shared" si="29"/>
        <v>0.72348688449269061</v>
      </c>
      <c r="E120" s="7">
        <f t="shared" si="30"/>
        <v>1</v>
      </c>
      <c r="G120" s="4">
        <f t="shared" si="31"/>
        <v>1079.999999999998</v>
      </c>
      <c r="H120" s="1">
        <f t="shared" si="42"/>
        <v>1.5413851351351349</v>
      </c>
      <c r="I120" s="1">
        <f t="shared" si="43"/>
        <v>223.35618028435212</v>
      </c>
      <c r="J120" s="1">
        <f t="shared" si="32"/>
        <v>7.4452060094784036</v>
      </c>
      <c r="K120" s="7">
        <f t="shared" si="33"/>
        <v>0.61193474050507435</v>
      </c>
      <c r="L120" s="4">
        <f t="shared" si="34"/>
        <v>6487.6712328767135</v>
      </c>
      <c r="M120" s="1">
        <f t="shared" si="35"/>
        <v>767.83862967522816</v>
      </c>
      <c r="N120" s="7">
        <f t="shared" si="36"/>
        <v>0.72348688449269061</v>
      </c>
      <c r="O120" s="1">
        <f t="shared" si="37"/>
        <v>3000</v>
      </c>
      <c r="P120" s="2">
        <f t="shared" si="38"/>
        <v>4.9814845892354542</v>
      </c>
      <c r="Q120" s="2">
        <f t="shared" si="45"/>
        <v>47.279511543940885</v>
      </c>
      <c r="S120" s="1">
        <f t="shared" si="26"/>
        <v>3000</v>
      </c>
      <c r="T120" s="1">
        <f t="shared" si="27"/>
        <v>6487.6712328767135</v>
      </c>
      <c r="V120" s="1">
        <f t="shared" si="39"/>
        <v>6487.6712328767135</v>
      </c>
      <c r="W120" s="1">
        <f t="shared" si="40"/>
        <v>3000</v>
      </c>
    </row>
    <row r="121" spans="1:23" x14ac:dyDescent="0.25">
      <c r="A121" s="2">
        <f t="shared" si="41"/>
        <v>10.899999999999977</v>
      </c>
      <c r="B121" s="7">
        <f t="shared" si="44"/>
        <v>23.68</v>
      </c>
      <c r="C121" s="7">
        <f t="shared" si="28"/>
        <v>1.5363623241662248</v>
      </c>
      <c r="D121" s="7">
        <f t="shared" si="29"/>
        <v>0.72787870335671023</v>
      </c>
      <c r="E121" s="7">
        <f t="shared" si="30"/>
        <v>1</v>
      </c>
      <c r="G121" s="4">
        <f t="shared" si="31"/>
        <v>1089.999999999998</v>
      </c>
      <c r="H121" s="1">
        <f t="shared" si="42"/>
        <v>1.5413851351351349</v>
      </c>
      <c r="I121" s="1">
        <f t="shared" si="43"/>
        <v>224.89756541948725</v>
      </c>
      <c r="J121" s="1">
        <f t="shared" si="32"/>
        <v>7.4965855139829083</v>
      </c>
      <c r="K121" s="7">
        <f t="shared" si="33"/>
        <v>0.61615771347804726</v>
      </c>
      <c r="L121" s="4">
        <f t="shared" si="34"/>
        <v>6487.6712328767135</v>
      </c>
      <c r="M121" s="1">
        <f t="shared" si="35"/>
        <v>768.18116208311233</v>
      </c>
      <c r="N121" s="7">
        <f t="shared" si="36"/>
        <v>0.72787870335671023</v>
      </c>
      <c r="O121" s="1">
        <f t="shared" si="37"/>
        <v>3000</v>
      </c>
      <c r="P121" s="2">
        <f t="shared" si="38"/>
        <v>4.9837068268844122</v>
      </c>
      <c r="Q121" s="2">
        <f t="shared" si="45"/>
        <v>47.568619095788442</v>
      </c>
      <c r="S121" s="1">
        <f t="shared" si="26"/>
        <v>3000</v>
      </c>
      <c r="T121" s="1">
        <f t="shared" si="27"/>
        <v>6487.6712328767135</v>
      </c>
      <c r="V121" s="1">
        <f t="shared" si="39"/>
        <v>6487.6712328767135</v>
      </c>
      <c r="W121" s="1">
        <f t="shared" si="40"/>
        <v>3000</v>
      </c>
    </row>
    <row r="122" spans="1:23" x14ac:dyDescent="0.25">
      <c r="A122" s="2">
        <f t="shared" si="41"/>
        <v>10.999999999999977</v>
      </c>
      <c r="B122" s="7">
        <f t="shared" si="44"/>
        <v>23.68</v>
      </c>
      <c r="C122" s="7">
        <f t="shared" si="28"/>
        <v>1.5370476945890463</v>
      </c>
      <c r="D122" s="7">
        <f t="shared" si="29"/>
        <v>0.73229718209991734</v>
      </c>
      <c r="E122" s="7">
        <f t="shared" si="30"/>
        <v>1</v>
      </c>
      <c r="G122" s="4">
        <f t="shared" si="31"/>
        <v>1099.9999999999977</v>
      </c>
      <c r="H122" s="1">
        <f t="shared" si="42"/>
        <v>1.5413851351350998</v>
      </c>
      <c r="I122" s="1">
        <f t="shared" si="43"/>
        <v>226.43895055462235</v>
      </c>
      <c r="J122" s="1">
        <f t="shared" si="32"/>
        <v>7.5479650184874121</v>
      </c>
      <c r="K122" s="7">
        <f t="shared" si="33"/>
        <v>0.62038068645102018</v>
      </c>
      <c r="L122" s="4">
        <f t="shared" si="34"/>
        <v>6487.6712328767135</v>
      </c>
      <c r="M122" s="1">
        <f t="shared" si="35"/>
        <v>768.52384729452319</v>
      </c>
      <c r="N122" s="7">
        <f t="shared" si="36"/>
        <v>0.73229718209991734</v>
      </c>
      <c r="O122" s="1">
        <f t="shared" si="37"/>
        <v>3000</v>
      </c>
      <c r="P122" s="2">
        <f t="shared" si="38"/>
        <v>4.985930055872414</v>
      </c>
      <c r="Q122" s="2">
        <f t="shared" si="45"/>
        <v>47.859507446661944</v>
      </c>
      <c r="S122" s="1">
        <f t="shared" si="26"/>
        <v>3000</v>
      </c>
      <c r="T122" s="1">
        <f t="shared" si="27"/>
        <v>6487.6712328767135</v>
      </c>
      <c r="V122" s="1">
        <f t="shared" si="39"/>
        <v>6487.6712328767135</v>
      </c>
      <c r="W122" s="1">
        <f t="shared" si="40"/>
        <v>3000</v>
      </c>
    </row>
    <row r="123" spans="1:23" x14ac:dyDescent="0.25">
      <c r="A123" s="2">
        <f t="shared" si="41"/>
        <v>11.099999999999977</v>
      </c>
      <c r="B123" s="7">
        <f t="shared" si="44"/>
        <v>23.68</v>
      </c>
      <c r="C123" s="7">
        <f t="shared" si="28"/>
        <v>1.5377333707552523</v>
      </c>
      <c r="D123" s="7">
        <f t="shared" si="29"/>
        <v>0.73674248255711927</v>
      </c>
      <c r="E123" s="7">
        <f t="shared" si="30"/>
        <v>1</v>
      </c>
      <c r="G123" s="4">
        <f t="shared" si="31"/>
        <v>1109.9999999999977</v>
      </c>
      <c r="H123" s="1">
        <f t="shared" si="42"/>
        <v>1.5413851351351349</v>
      </c>
      <c r="I123" s="1">
        <f t="shared" si="43"/>
        <v>227.98033568975748</v>
      </c>
      <c r="J123" s="1">
        <f t="shared" si="32"/>
        <v>7.5993445229919159</v>
      </c>
      <c r="K123" s="7">
        <f t="shared" si="33"/>
        <v>0.6246036594239931</v>
      </c>
      <c r="L123" s="4">
        <f t="shared" si="34"/>
        <v>6487.6712328767135</v>
      </c>
      <c r="M123" s="1">
        <f t="shared" si="35"/>
        <v>768.86668537762614</v>
      </c>
      <c r="N123" s="7">
        <f t="shared" si="36"/>
        <v>0.73674248255711927</v>
      </c>
      <c r="O123" s="1">
        <f t="shared" si="37"/>
        <v>3000</v>
      </c>
      <c r="P123" s="2">
        <f t="shared" si="38"/>
        <v>4.988154276641696</v>
      </c>
      <c r="Q123" s="2">
        <f t="shared" si="45"/>
        <v>48.152187724486915</v>
      </c>
      <c r="S123" s="1">
        <f t="shared" si="26"/>
        <v>3000</v>
      </c>
      <c r="T123" s="1">
        <f t="shared" si="27"/>
        <v>6487.6712328767135</v>
      </c>
      <c r="V123" s="1">
        <f t="shared" si="39"/>
        <v>6487.6712328767135</v>
      </c>
      <c r="W123" s="1">
        <f t="shared" si="40"/>
        <v>3000</v>
      </c>
    </row>
    <row r="124" spans="1:23" x14ac:dyDescent="0.25">
      <c r="A124" s="2">
        <f t="shared" si="41"/>
        <v>11.199999999999976</v>
      </c>
      <c r="B124" s="7">
        <f t="shared" si="44"/>
        <v>23.68</v>
      </c>
      <c r="C124" s="7">
        <f t="shared" si="28"/>
        <v>1.538419352801234</v>
      </c>
      <c r="D124" s="7">
        <f t="shared" si="29"/>
        <v>0.74121476754551663</v>
      </c>
      <c r="E124" s="7">
        <f t="shared" si="30"/>
        <v>1</v>
      </c>
      <c r="G124" s="4">
        <f t="shared" si="31"/>
        <v>1119.9999999999977</v>
      </c>
      <c r="H124" s="1">
        <f t="shared" si="42"/>
        <v>1.5413851351351349</v>
      </c>
      <c r="I124" s="1">
        <f t="shared" si="43"/>
        <v>229.52172082489261</v>
      </c>
      <c r="J124" s="1">
        <f t="shared" si="32"/>
        <v>7.6507240274964206</v>
      </c>
      <c r="K124" s="7">
        <f t="shared" si="33"/>
        <v>0.62882663239696601</v>
      </c>
      <c r="L124" s="4">
        <f t="shared" si="34"/>
        <v>6487.6712328767135</v>
      </c>
      <c r="M124" s="1">
        <f t="shared" si="35"/>
        <v>769.20967640061701</v>
      </c>
      <c r="N124" s="7">
        <f t="shared" si="36"/>
        <v>0.74121476754551663</v>
      </c>
      <c r="O124" s="1">
        <f t="shared" si="37"/>
        <v>3000</v>
      </c>
      <c r="P124" s="2">
        <f t="shared" si="38"/>
        <v>4.9903794896346891</v>
      </c>
      <c r="Q124" s="2">
        <f t="shared" si="45"/>
        <v>48.446671128674431</v>
      </c>
      <c r="S124" s="1">
        <f t="shared" si="26"/>
        <v>3000</v>
      </c>
      <c r="T124" s="1">
        <f t="shared" si="27"/>
        <v>6487.6712328767135</v>
      </c>
      <c r="V124" s="1">
        <f t="shared" si="39"/>
        <v>6487.6712328767135</v>
      </c>
      <c r="W124" s="1">
        <f t="shared" si="40"/>
        <v>3000</v>
      </c>
    </row>
    <row r="125" spans="1:23" x14ac:dyDescent="0.25">
      <c r="A125" s="2">
        <f t="shared" si="41"/>
        <v>11.299999999999976</v>
      </c>
      <c r="B125" s="7">
        <f t="shared" si="44"/>
        <v>23.68</v>
      </c>
      <c r="C125" s="7">
        <f t="shared" si="28"/>
        <v>1.5391056408634451</v>
      </c>
      <c r="D125" s="7">
        <f t="shared" si="29"/>
        <v>0.74571420087066798</v>
      </c>
      <c r="E125" s="7">
        <f t="shared" si="30"/>
        <v>1</v>
      </c>
      <c r="G125" s="4">
        <f t="shared" si="31"/>
        <v>1129.9999999999975</v>
      </c>
      <c r="H125" s="1">
        <f t="shared" si="42"/>
        <v>1.5413851351350998</v>
      </c>
      <c r="I125" s="1">
        <f t="shared" si="43"/>
        <v>231.06310596002771</v>
      </c>
      <c r="J125" s="1">
        <f t="shared" si="32"/>
        <v>7.7021035320009235</v>
      </c>
      <c r="K125" s="7">
        <f t="shared" si="33"/>
        <v>0.63304960536993893</v>
      </c>
      <c r="L125" s="4">
        <f t="shared" si="34"/>
        <v>6487.6712328767135</v>
      </c>
      <c r="M125" s="1">
        <f t="shared" si="35"/>
        <v>769.55282043172258</v>
      </c>
      <c r="N125" s="7">
        <f t="shared" si="36"/>
        <v>0.74571420087066798</v>
      </c>
      <c r="O125" s="1">
        <f t="shared" si="37"/>
        <v>3000</v>
      </c>
      <c r="P125" s="2">
        <f t="shared" si="38"/>
        <v>4.9926056952940252</v>
      </c>
      <c r="Q125" s="2">
        <f t="shared" si="45"/>
        <v>48.742968930604292</v>
      </c>
      <c r="S125" s="1">
        <f t="shared" si="26"/>
        <v>3000</v>
      </c>
      <c r="T125" s="1">
        <f t="shared" si="27"/>
        <v>6487.6712328767135</v>
      </c>
      <c r="V125" s="1">
        <f t="shared" si="39"/>
        <v>6487.6712328767135</v>
      </c>
      <c r="W125" s="1">
        <f t="shared" si="40"/>
        <v>3000</v>
      </c>
    </row>
    <row r="126" spans="1:23" x14ac:dyDescent="0.25">
      <c r="A126" s="2">
        <f t="shared" si="41"/>
        <v>11.399999999999975</v>
      </c>
      <c r="B126" s="7">
        <f t="shared" si="44"/>
        <v>23.68</v>
      </c>
      <c r="C126" s="7">
        <f t="shared" si="28"/>
        <v>1.539792235078399</v>
      </c>
      <c r="D126" s="7">
        <f t="shared" si="29"/>
        <v>0.75024094733248892</v>
      </c>
      <c r="E126" s="7">
        <f t="shared" si="30"/>
        <v>1</v>
      </c>
      <c r="G126" s="4">
        <f t="shared" si="31"/>
        <v>1139.9999999999975</v>
      </c>
      <c r="H126" s="1">
        <f t="shared" si="42"/>
        <v>1.5413851351351349</v>
      </c>
      <c r="I126" s="1">
        <f t="shared" si="43"/>
        <v>232.60449109516284</v>
      </c>
      <c r="J126" s="1">
        <f t="shared" si="32"/>
        <v>7.7534830365054281</v>
      </c>
      <c r="K126" s="7">
        <f t="shared" si="33"/>
        <v>0.63727257834291184</v>
      </c>
      <c r="L126" s="4">
        <f t="shared" si="34"/>
        <v>6487.6712328767135</v>
      </c>
      <c r="M126" s="1">
        <f t="shared" si="35"/>
        <v>769.89611753919951</v>
      </c>
      <c r="N126" s="7">
        <f t="shared" si="36"/>
        <v>0.75024094733248892</v>
      </c>
      <c r="O126" s="1">
        <f t="shared" si="37"/>
        <v>3000</v>
      </c>
      <c r="P126" s="2">
        <f t="shared" si="38"/>
        <v>4.9948328940625339</v>
      </c>
      <c r="Q126" s="2">
        <f t="shared" si="45"/>
        <v>49.041092474111601</v>
      </c>
      <c r="S126" s="1">
        <f t="shared" si="26"/>
        <v>3000</v>
      </c>
      <c r="T126" s="1">
        <f t="shared" si="27"/>
        <v>6487.6712328767135</v>
      </c>
      <c r="V126" s="1">
        <f t="shared" si="39"/>
        <v>6487.6712328767135</v>
      </c>
      <c r="W126" s="1">
        <f t="shared" si="40"/>
        <v>3000</v>
      </c>
    </row>
    <row r="127" spans="1:23" x14ac:dyDescent="0.25">
      <c r="A127" s="2">
        <f t="shared" si="41"/>
        <v>11.499999999999975</v>
      </c>
      <c r="B127" s="7">
        <f t="shared" si="44"/>
        <v>23.68</v>
      </c>
      <c r="C127" s="7">
        <f t="shared" si="28"/>
        <v>1.5404791355826701</v>
      </c>
      <c r="D127" s="7">
        <f t="shared" si="29"/>
        <v>0.75479517273128827</v>
      </c>
      <c r="E127" s="7">
        <f t="shared" si="30"/>
        <v>1</v>
      </c>
      <c r="G127" s="4">
        <f t="shared" si="31"/>
        <v>1149.9999999999975</v>
      </c>
      <c r="H127" s="1">
        <f t="shared" si="42"/>
        <v>1.5413851351351349</v>
      </c>
      <c r="I127" s="1">
        <f t="shared" si="43"/>
        <v>234.14587623029797</v>
      </c>
      <c r="J127" s="1">
        <f t="shared" si="32"/>
        <v>7.8048625410099328</v>
      </c>
      <c r="K127" s="7">
        <f t="shared" si="33"/>
        <v>0.64149555131588487</v>
      </c>
      <c r="L127" s="4">
        <f t="shared" si="34"/>
        <v>6487.6712328767135</v>
      </c>
      <c r="M127" s="1">
        <f t="shared" si="35"/>
        <v>770.23956779133505</v>
      </c>
      <c r="N127" s="7">
        <f t="shared" si="36"/>
        <v>0.75479517273128827</v>
      </c>
      <c r="O127" s="1">
        <f t="shared" si="37"/>
        <v>3000</v>
      </c>
      <c r="P127" s="2">
        <f t="shared" si="38"/>
        <v>4.9970610863832379</v>
      </c>
      <c r="Q127" s="2">
        <f t="shared" si="45"/>
        <v>49.341053175976946</v>
      </c>
      <c r="S127" s="1">
        <f t="shared" si="26"/>
        <v>3000</v>
      </c>
      <c r="T127" s="1">
        <f t="shared" si="27"/>
        <v>6487.6712328767135</v>
      </c>
      <c r="V127" s="1">
        <f t="shared" si="39"/>
        <v>6487.6712328767135</v>
      </c>
      <c r="W127" s="1">
        <f t="shared" si="40"/>
        <v>3000</v>
      </c>
    </row>
    <row r="128" spans="1:23" x14ac:dyDescent="0.25">
      <c r="A128" s="2">
        <f t="shared" si="41"/>
        <v>11.599999999999975</v>
      </c>
      <c r="B128" s="7">
        <f t="shared" si="44"/>
        <v>23.68</v>
      </c>
      <c r="C128" s="7">
        <f t="shared" si="28"/>
        <v>1.5411663425128941</v>
      </c>
      <c r="D128" s="7">
        <f t="shared" si="29"/>
        <v>0.75937704387384064</v>
      </c>
      <c r="E128" s="7">
        <f t="shared" si="30"/>
        <v>1</v>
      </c>
      <c r="G128" s="4">
        <f t="shared" si="31"/>
        <v>1159.9999999999975</v>
      </c>
      <c r="H128" s="1">
        <f t="shared" si="42"/>
        <v>1.5413851351351349</v>
      </c>
      <c r="I128" s="1">
        <f t="shared" si="43"/>
        <v>235.6872613654331</v>
      </c>
      <c r="J128" s="1">
        <f t="shared" si="32"/>
        <v>7.8562420455144366</v>
      </c>
      <c r="K128" s="7">
        <f t="shared" si="33"/>
        <v>0.64571852428885779</v>
      </c>
      <c r="L128" s="4">
        <f t="shared" si="34"/>
        <v>6487.6712328767135</v>
      </c>
      <c r="M128" s="1">
        <f t="shared" si="35"/>
        <v>770.58317125644703</v>
      </c>
      <c r="N128" s="7">
        <f t="shared" si="36"/>
        <v>0.75937704387384064</v>
      </c>
      <c r="O128" s="1">
        <f t="shared" si="37"/>
        <v>3000</v>
      </c>
      <c r="P128" s="2">
        <f t="shared" si="38"/>
        <v>4.999290272699362</v>
      </c>
      <c r="Q128" s="2">
        <f t="shared" si="45"/>
        <v>49.642862526420224</v>
      </c>
      <c r="S128" s="1">
        <f t="shared" si="26"/>
        <v>3000</v>
      </c>
      <c r="T128" s="1">
        <f t="shared" si="27"/>
        <v>6487.6712328767135</v>
      </c>
      <c r="V128" s="1">
        <f t="shared" si="39"/>
        <v>6487.6712328767135</v>
      </c>
      <c r="W128" s="1">
        <f t="shared" si="40"/>
        <v>3000</v>
      </c>
    </row>
    <row r="129" spans="1:23" x14ac:dyDescent="0.25">
      <c r="A129" s="2">
        <f t="shared" si="41"/>
        <v>11.699999999999974</v>
      </c>
      <c r="B129" s="7">
        <f t="shared" si="44"/>
        <v>23.68</v>
      </c>
      <c r="C129" s="7">
        <f t="shared" si="28"/>
        <v>1.5418538560057673</v>
      </c>
      <c r="D129" s="7">
        <f t="shared" si="29"/>
        <v>0.76398672857949657</v>
      </c>
      <c r="E129" s="7">
        <f t="shared" si="30"/>
        <v>1</v>
      </c>
      <c r="G129" s="4">
        <f t="shared" si="31"/>
        <v>1169.9999999999975</v>
      </c>
      <c r="H129" s="1">
        <f t="shared" si="42"/>
        <v>1.5413851351351349</v>
      </c>
      <c r="I129" s="1">
        <f t="shared" si="43"/>
        <v>237.22864650056823</v>
      </c>
      <c r="J129" s="1">
        <f t="shared" si="32"/>
        <v>7.9076215500189413</v>
      </c>
      <c r="K129" s="7">
        <f t="shared" si="33"/>
        <v>0.64994149726183081</v>
      </c>
      <c r="L129" s="4">
        <f t="shared" si="34"/>
        <v>6487.6712328767135</v>
      </c>
      <c r="M129" s="1">
        <f t="shared" si="35"/>
        <v>770.92692800288364</v>
      </c>
      <c r="N129" s="7">
        <f t="shared" si="36"/>
        <v>0.76398672857949657</v>
      </c>
      <c r="O129" s="1">
        <f t="shared" si="37"/>
        <v>3000</v>
      </c>
      <c r="P129" s="2">
        <f t="shared" si="38"/>
        <v>5.0015204534543258</v>
      </c>
      <c r="Q129" s="2">
        <f t="shared" si="45"/>
        <v>49.946532089598122</v>
      </c>
      <c r="S129" s="1">
        <f t="shared" si="26"/>
        <v>3000</v>
      </c>
      <c r="T129" s="1">
        <f t="shared" si="27"/>
        <v>6487.6712328767135</v>
      </c>
      <c r="V129" s="1">
        <f t="shared" si="39"/>
        <v>6487.6712328767135</v>
      </c>
      <c r="W129" s="1">
        <f t="shared" si="40"/>
        <v>3000</v>
      </c>
    </row>
    <row r="130" spans="1:23" x14ac:dyDescent="0.25">
      <c r="A130" s="2">
        <f t="shared" si="41"/>
        <v>11.799999999999974</v>
      </c>
      <c r="B130" s="7">
        <f t="shared" si="44"/>
        <v>23.68</v>
      </c>
      <c r="C130" s="7">
        <f t="shared" si="28"/>
        <v>1.5425416761980471</v>
      </c>
      <c r="D130" s="7">
        <f t="shared" si="29"/>
        <v>0.76862439568632868</v>
      </c>
      <c r="E130" s="7">
        <f t="shared" si="30"/>
        <v>1</v>
      </c>
      <c r="G130" s="4">
        <f t="shared" si="31"/>
        <v>1179.9999999999975</v>
      </c>
      <c r="H130" s="1">
        <f t="shared" si="42"/>
        <v>1.5413851351351349</v>
      </c>
      <c r="I130" s="1">
        <f t="shared" si="43"/>
        <v>238.77003163570336</v>
      </c>
      <c r="J130" s="1">
        <f t="shared" si="32"/>
        <v>7.9590010545234451</v>
      </c>
      <c r="K130" s="7">
        <f t="shared" si="33"/>
        <v>0.65416447023480373</v>
      </c>
      <c r="L130" s="4">
        <f t="shared" si="34"/>
        <v>6487.6712328767135</v>
      </c>
      <c r="M130" s="1">
        <f t="shared" si="35"/>
        <v>771.27083809902354</v>
      </c>
      <c r="N130" s="7">
        <f t="shared" si="36"/>
        <v>0.76862439568632868</v>
      </c>
      <c r="O130" s="1">
        <f t="shared" si="37"/>
        <v>3000</v>
      </c>
      <c r="P130" s="2">
        <f t="shared" si="38"/>
        <v>5.0037516290917479</v>
      </c>
      <c r="Q130" s="2">
        <f t="shared" si="45"/>
        <v>50.252073504105205</v>
      </c>
      <c r="S130" s="1">
        <f t="shared" si="26"/>
        <v>3000</v>
      </c>
      <c r="T130" s="1">
        <f t="shared" si="27"/>
        <v>6487.6712328767135</v>
      </c>
      <c r="V130" s="1">
        <f t="shared" si="39"/>
        <v>6487.6712328767135</v>
      </c>
      <c r="W130" s="1">
        <f t="shared" si="40"/>
        <v>3000</v>
      </c>
    </row>
    <row r="131" spans="1:23" x14ac:dyDescent="0.25">
      <c r="A131" s="2">
        <f t="shared" si="41"/>
        <v>11.899999999999974</v>
      </c>
      <c r="B131" s="7">
        <f t="shared" si="44"/>
        <v>23.68</v>
      </c>
      <c r="C131" s="7">
        <f t="shared" si="28"/>
        <v>1.5432298032265521</v>
      </c>
      <c r="D131" s="7">
        <f t="shared" si="29"/>
        <v>0.77329021505731543</v>
      </c>
      <c r="E131" s="7">
        <f t="shared" si="30"/>
        <v>1</v>
      </c>
      <c r="G131" s="4">
        <f t="shared" si="31"/>
        <v>1189.9999999999973</v>
      </c>
      <c r="H131" s="1">
        <f t="shared" si="42"/>
        <v>1.5413851351350998</v>
      </c>
      <c r="I131" s="1">
        <f t="shared" si="43"/>
        <v>240.31141677083846</v>
      </c>
      <c r="J131" s="1">
        <f t="shared" si="32"/>
        <v>8.0103805590279489</v>
      </c>
      <c r="K131" s="7">
        <f t="shared" si="33"/>
        <v>0.65838744320777665</v>
      </c>
      <c r="L131" s="4">
        <f t="shared" si="34"/>
        <v>6487.6712328767135</v>
      </c>
      <c r="M131" s="1">
        <f t="shared" si="35"/>
        <v>771.61490161327606</v>
      </c>
      <c r="N131" s="7">
        <f t="shared" si="36"/>
        <v>0.77329021505731543</v>
      </c>
      <c r="O131" s="1">
        <f t="shared" si="37"/>
        <v>3000</v>
      </c>
      <c r="P131" s="2">
        <f t="shared" si="38"/>
        <v>5.0059838000554473</v>
      </c>
      <c r="Q131" s="2">
        <f t="shared" si="45"/>
        <v>50.55949848347872</v>
      </c>
      <c r="S131" s="1">
        <f t="shared" si="26"/>
        <v>3000</v>
      </c>
      <c r="T131" s="1">
        <f t="shared" si="27"/>
        <v>6487.6712328767135</v>
      </c>
      <c r="V131" s="1">
        <f t="shared" si="39"/>
        <v>6487.6712328767135</v>
      </c>
      <c r="W131" s="1">
        <f t="shared" si="40"/>
        <v>3000</v>
      </c>
    </row>
    <row r="132" spans="1:23" x14ac:dyDescent="0.25">
      <c r="A132" s="2">
        <f t="shared" si="41"/>
        <v>11.999999999999973</v>
      </c>
      <c r="B132" s="7">
        <f t="shared" si="44"/>
        <v>23.68</v>
      </c>
      <c r="C132" s="7">
        <f t="shared" si="28"/>
        <v>1.5439182372281617</v>
      </c>
      <c r="D132" s="7">
        <f t="shared" si="29"/>
        <v>0.77798435758656381</v>
      </c>
      <c r="E132" s="7">
        <f t="shared" si="30"/>
        <v>1</v>
      </c>
      <c r="G132" s="4">
        <f t="shared" si="31"/>
        <v>1199.9999999999973</v>
      </c>
      <c r="H132" s="1">
        <f t="shared" si="42"/>
        <v>1.5413851351351349</v>
      </c>
      <c r="I132" s="1">
        <f t="shared" si="43"/>
        <v>241.85280190597359</v>
      </c>
      <c r="J132" s="1">
        <f t="shared" si="32"/>
        <v>8.0617600635324536</v>
      </c>
      <c r="K132" s="7">
        <f t="shared" si="33"/>
        <v>0.66261041618074956</v>
      </c>
      <c r="L132" s="4">
        <f t="shared" si="34"/>
        <v>6487.6712328767135</v>
      </c>
      <c r="M132" s="1">
        <f t="shared" si="35"/>
        <v>771.95911861408081</v>
      </c>
      <c r="N132" s="7">
        <f t="shared" si="36"/>
        <v>0.77798435758656381</v>
      </c>
      <c r="O132" s="1">
        <f t="shared" si="37"/>
        <v>3000</v>
      </c>
      <c r="P132" s="2">
        <f t="shared" si="38"/>
        <v>5.0082169667894343</v>
      </c>
      <c r="Q132" s="2">
        <f t="shared" si="45"/>
        <v>50.868818816707233</v>
      </c>
      <c r="S132" s="1">
        <f t="shared" si="26"/>
        <v>3000</v>
      </c>
      <c r="T132" s="1">
        <f t="shared" si="27"/>
        <v>6487.6712328767135</v>
      </c>
      <c r="V132" s="1">
        <f t="shared" si="39"/>
        <v>6487.6712328767135</v>
      </c>
      <c r="W132" s="1">
        <f t="shared" si="40"/>
        <v>3000</v>
      </c>
    </row>
    <row r="133" spans="1:23" x14ac:dyDescent="0.25">
      <c r="A133" s="2">
        <f t="shared" si="41"/>
        <v>12.099999999999973</v>
      </c>
      <c r="B133" s="7">
        <f t="shared" si="44"/>
        <v>23.68</v>
      </c>
      <c r="C133" s="7">
        <f t="shared" si="28"/>
        <v>1.5446069783398169</v>
      </c>
      <c r="D133" s="7">
        <f t="shared" si="29"/>
        <v>0.78270699520556741</v>
      </c>
      <c r="E133" s="7">
        <f t="shared" si="30"/>
        <v>1</v>
      </c>
      <c r="G133" s="4">
        <f t="shared" si="31"/>
        <v>1209.9999999999973</v>
      </c>
      <c r="H133" s="1">
        <f t="shared" si="42"/>
        <v>1.5413851351351349</v>
      </c>
      <c r="I133" s="1">
        <f t="shared" si="43"/>
        <v>243.39418704110872</v>
      </c>
      <c r="J133" s="1">
        <f t="shared" si="32"/>
        <v>8.1131395680369582</v>
      </c>
      <c r="K133" s="7">
        <f t="shared" si="33"/>
        <v>0.66683338915372248</v>
      </c>
      <c r="L133" s="4">
        <f t="shared" si="34"/>
        <v>6487.6712328767135</v>
      </c>
      <c r="M133" s="1">
        <f t="shared" si="35"/>
        <v>772.3034891699084</v>
      </c>
      <c r="N133" s="7">
        <f t="shared" si="36"/>
        <v>0.78270699520556741</v>
      </c>
      <c r="O133" s="1">
        <f t="shared" si="37"/>
        <v>3000</v>
      </c>
      <c r="P133" s="2">
        <f t="shared" si="38"/>
        <v>5.0104511297379277</v>
      </c>
      <c r="Q133" s="2">
        <f t="shared" si="45"/>
        <v>51.180046368742921</v>
      </c>
      <c r="S133" s="1">
        <f t="shared" si="26"/>
        <v>3000</v>
      </c>
      <c r="T133" s="1">
        <f t="shared" si="27"/>
        <v>6487.6712328767135</v>
      </c>
      <c r="V133" s="1">
        <f t="shared" si="39"/>
        <v>6487.6712328767135</v>
      </c>
      <c r="W133" s="1">
        <f t="shared" si="40"/>
        <v>3000</v>
      </c>
    </row>
    <row r="134" spans="1:23" x14ac:dyDescent="0.25">
      <c r="A134" s="2">
        <f t="shared" si="41"/>
        <v>12.199999999999973</v>
      </c>
      <c r="B134" s="7">
        <f t="shared" si="44"/>
        <v>23.68</v>
      </c>
      <c r="C134" s="7">
        <f t="shared" si="28"/>
        <v>1.5452960266985185</v>
      </c>
      <c r="D134" s="7">
        <f t="shared" si="29"/>
        <v>0.78745830088950441</v>
      </c>
      <c r="E134" s="7">
        <f t="shared" si="30"/>
        <v>1</v>
      </c>
      <c r="G134" s="4">
        <f t="shared" si="31"/>
        <v>1219.999999999997</v>
      </c>
      <c r="H134" s="1">
        <f t="shared" si="42"/>
        <v>1.5413851351350998</v>
      </c>
      <c r="I134" s="1">
        <f t="shared" si="43"/>
        <v>244.93557217624382</v>
      </c>
      <c r="J134" s="1">
        <f t="shared" si="32"/>
        <v>8.1645190725414611</v>
      </c>
      <c r="K134" s="7">
        <f t="shared" si="33"/>
        <v>0.67105636212669539</v>
      </c>
      <c r="L134" s="4">
        <f t="shared" si="34"/>
        <v>6487.6712328767135</v>
      </c>
      <c r="M134" s="1">
        <f t="shared" si="35"/>
        <v>772.64801334925926</v>
      </c>
      <c r="N134" s="7">
        <f t="shared" si="36"/>
        <v>0.78745830088950441</v>
      </c>
      <c r="O134" s="1">
        <f t="shared" si="37"/>
        <v>3000</v>
      </c>
      <c r="P134" s="2">
        <f t="shared" si="38"/>
        <v>5.0126862893453321</v>
      </c>
      <c r="Q134" s="2">
        <f t="shared" si="45"/>
        <v>51.493193081017665</v>
      </c>
      <c r="S134" s="1">
        <f t="shared" si="26"/>
        <v>3000</v>
      </c>
      <c r="T134" s="1">
        <f t="shared" si="27"/>
        <v>6487.6712328767135</v>
      </c>
      <c r="V134" s="1">
        <f t="shared" si="39"/>
        <v>6487.6712328767135</v>
      </c>
      <c r="W134" s="1">
        <f t="shared" si="40"/>
        <v>3000</v>
      </c>
    </row>
    <row r="135" spans="1:23" x14ac:dyDescent="0.25">
      <c r="A135" s="2">
        <f t="shared" si="41"/>
        <v>12.299999999999972</v>
      </c>
      <c r="B135" s="7">
        <f t="shared" si="44"/>
        <v>23.68</v>
      </c>
      <c r="C135" s="7">
        <f t="shared" si="28"/>
        <v>1.5459853824413294</v>
      </c>
      <c r="D135" s="7">
        <f t="shared" si="29"/>
        <v>0.79223844866357274</v>
      </c>
      <c r="E135" s="7">
        <f t="shared" si="30"/>
        <v>1</v>
      </c>
      <c r="G135" s="4">
        <f t="shared" si="31"/>
        <v>1229.9999999999973</v>
      </c>
      <c r="H135" s="1">
        <f t="shared" si="42"/>
        <v>1.5413851351351699</v>
      </c>
      <c r="I135" s="1">
        <f t="shared" si="43"/>
        <v>246.47695731137898</v>
      </c>
      <c r="J135" s="1">
        <f t="shared" si="32"/>
        <v>8.2158985770459658</v>
      </c>
      <c r="K135" s="7">
        <f t="shared" si="33"/>
        <v>0.67527933509966842</v>
      </c>
      <c r="L135" s="4">
        <f t="shared" si="34"/>
        <v>6487.6712328767135</v>
      </c>
      <c r="M135" s="1">
        <f t="shared" si="35"/>
        <v>772.99269122066471</v>
      </c>
      <c r="N135" s="7">
        <f t="shared" si="36"/>
        <v>0.79223844866357274</v>
      </c>
      <c r="O135" s="1">
        <f t="shared" si="37"/>
        <v>3000</v>
      </c>
      <c r="P135" s="2">
        <f t="shared" si="38"/>
        <v>5.0149224460562589</v>
      </c>
      <c r="Q135" s="2">
        <f t="shared" si="45"/>
        <v>51.808270971963061</v>
      </c>
      <c r="S135" s="1">
        <f t="shared" si="26"/>
        <v>3000</v>
      </c>
      <c r="T135" s="1">
        <f t="shared" si="27"/>
        <v>6487.6712328767135</v>
      </c>
      <c r="V135" s="1">
        <f t="shared" si="39"/>
        <v>6487.6712328767135</v>
      </c>
      <c r="W135" s="1">
        <f t="shared" si="40"/>
        <v>3000</v>
      </c>
    </row>
    <row r="136" spans="1:23" x14ac:dyDescent="0.25">
      <c r="A136" s="2">
        <f t="shared" si="41"/>
        <v>12.399999999999972</v>
      </c>
      <c r="B136" s="7">
        <f t="shared" si="44"/>
        <v>23.68</v>
      </c>
      <c r="C136" s="7">
        <f t="shared" si="28"/>
        <v>1.5466750457053742</v>
      </c>
      <c r="D136" s="7">
        <f t="shared" si="29"/>
        <v>0.79704761360936449</v>
      </c>
      <c r="E136" s="7">
        <f t="shared" si="30"/>
        <v>1</v>
      </c>
      <c r="G136" s="4">
        <f t="shared" si="31"/>
        <v>1239.999999999997</v>
      </c>
      <c r="H136" s="1">
        <f t="shared" si="42"/>
        <v>1.5413851351350998</v>
      </c>
      <c r="I136" s="1">
        <f t="shared" si="43"/>
        <v>248.01834244651408</v>
      </c>
      <c r="J136" s="1">
        <f t="shared" si="32"/>
        <v>8.2672780815504687</v>
      </c>
      <c r="K136" s="7">
        <f t="shared" si="33"/>
        <v>0.67950230807264134</v>
      </c>
      <c r="L136" s="4">
        <f t="shared" si="34"/>
        <v>6487.6712328767135</v>
      </c>
      <c r="M136" s="1">
        <f t="shared" si="35"/>
        <v>773.33752285268713</v>
      </c>
      <c r="N136" s="7">
        <f t="shared" si="36"/>
        <v>0.79704761360936449</v>
      </c>
      <c r="O136" s="1">
        <f t="shared" si="37"/>
        <v>3000</v>
      </c>
      <c r="P136" s="2">
        <f t="shared" si="38"/>
        <v>5.0171596003155159</v>
      </c>
      <c r="Q136" s="2">
        <f t="shared" si="45"/>
        <v>52.125292137534217</v>
      </c>
      <c r="S136" s="1">
        <f t="shared" si="26"/>
        <v>3000</v>
      </c>
      <c r="T136" s="1">
        <f t="shared" si="27"/>
        <v>6487.6712328767135</v>
      </c>
      <c r="V136" s="1">
        <f t="shared" si="39"/>
        <v>6487.6712328767135</v>
      </c>
      <c r="W136" s="1">
        <f t="shared" si="40"/>
        <v>3000</v>
      </c>
    </row>
    <row r="137" spans="1:23" x14ac:dyDescent="0.25">
      <c r="A137" s="2">
        <f t="shared" si="41"/>
        <v>12.499999999999972</v>
      </c>
      <c r="B137" s="7">
        <f t="shared" si="44"/>
        <v>23.68</v>
      </c>
      <c r="C137" s="7">
        <f t="shared" si="28"/>
        <v>1.5473650166278372</v>
      </c>
      <c r="D137" s="7">
        <f t="shared" si="29"/>
        <v>0.8018859718712783</v>
      </c>
      <c r="E137" s="7">
        <f t="shared" si="30"/>
        <v>1</v>
      </c>
      <c r="G137" s="4">
        <f t="shared" si="31"/>
        <v>1249.9999999999973</v>
      </c>
      <c r="H137" s="1">
        <f t="shared" si="42"/>
        <v>1.5413851351351699</v>
      </c>
      <c r="I137" s="1">
        <f t="shared" si="43"/>
        <v>249.55972758164924</v>
      </c>
      <c r="J137" s="1">
        <f t="shared" si="32"/>
        <v>8.3186575860549752</v>
      </c>
      <c r="K137" s="7">
        <f t="shared" si="33"/>
        <v>0.68372528104561436</v>
      </c>
      <c r="L137" s="4">
        <f t="shared" si="34"/>
        <v>6487.6712328767135</v>
      </c>
      <c r="M137" s="1">
        <f t="shared" si="35"/>
        <v>773.68250831391856</v>
      </c>
      <c r="N137" s="7">
        <f t="shared" si="36"/>
        <v>0.8018859718712783</v>
      </c>
      <c r="O137" s="1">
        <f t="shared" si="37"/>
        <v>3000</v>
      </c>
      <c r="P137" s="2">
        <f t="shared" si="38"/>
        <v>5.0193977525681079</v>
      </c>
      <c r="Q137" s="2">
        <f t="shared" si="45"/>
        <v>52.444268751737432</v>
      </c>
      <c r="S137" s="1">
        <f t="shared" si="26"/>
        <v>3000</v>
      </c>
      <c r="T137" s="1">
        <f t="shared" si="27"/>
        <v>6487.6712328767135</v>
      </c>
      <c r="V137" s="1">
        <f t="shared" si="39"/>
        <v>6487.6712328767135</v>
      </c>
      <c r="W137" s="1">
        <f t="shared" si="40"/>
        <v>3000</v>
      </c>
    </row>
    <row r="138" spans="1:23" x14ac:dyDescent="0.25">
      <c r="A138" s="2">
        <f t="shared" si="41"/>
        <v>12.599999999999971</v>
      </c>
      <c r="B138" s="7">
        <f t="shared" si="44"/>
        <v>23.68</v>
      </c>
      <c r="C138" s="7">
        <f t="shared" si="28"/>
        <v>1.5480552953459652</v>
      </c>
      <c r="D138" s="7">
        <f t="shared" si="29"/>
        <v>0.80675370066297081</v>
      </c>
      <c r="E138" s="7">
        <f t="shared" si="30"/>
        <v>1</v>
      </c>
      <c r="G138" s="4">
        <f t="shared" si="31"/>
        <v>1259.999999999997</v>
      </c>
      <c r="H138" s="1">
        <f t="shared" si="42"/>
        <v>1.5413851351350998</v>
      </c>
      <c r="I138" s="1">
        <f t="shared" si="43"/>
        <v>251.10111271678434</v>
      </c>
      <c r="J138" s="1">
        <f t="shared" si="32"/>
        <v>8.3700370905594781</v>
      </c>
      <c r="K138" s="7">
        <f t="shared" si="33"/>
        <v>0.68794825401858728</v>
      </c>
      <c r="L138" s="4">
        <f t="shared" si="34"/>
        <v>6487.6712328767135</v>
      </c>
      <c r="M138" s="1">
        <f t="shared" si="35"/>
        <v>774.02764767298265</v>
      </c>
      <c r="N138" s="7">
        <f t="shared" si="36"/>
        <v>0.80675370066297081</v>
      </c>
      <c r="O138" s="1">
        <f t="shared" si="37"/>
        <v>3000</v>
      </c>
      <c r="P138" s="2">
        <f t="shared" si="38"/>
        <v>5.0216369032592416</v>
      </c>
      <c r="Q138" s="2">
        <f t="shared" si="45"/>
        <v>52.765213067161902</v>
      </c>
      <c r="S138" s="1">
        <f t="shared" si="26"/>
        <v>3000</v>
      </c>
      <c r="T138" s="1">
        <f t="shared" si="27"/>
        <v>6487.6712328767135</v>
      </c>
      <c r="V138" s="1">
        <f t="shared" si="39"/>
        <v>6487.6712328767135</v>
      </c>
      <c r="W138" s="1">
        <f t="shared" si="40"/>
        <v>3000</v>
      </c>
    </row>
    <row r="139" spans="1:23" x14ac:dyDescent="0.25">
      <c r="A139" s="2">
        <f t="shared" si="41"/>
        <v>12.699999999999971</v>
      </c>
      <c r="B139" s="7">
        <f t="shared" si="44"/>
        <v>23.68</v>
      </c>
      <c r="C139" s="7">
        <f t="shared" si="28"/>
        <v>1.5487458819970652</v>
      </c>
      <c r="D139" s="7">
        <f t="shared" si="29"/>
        <v>0.81165097827384791</v>
      </c>
      <c r="E139" s="7">
        <f t="shared" si="30"/>
        <v>1</v>
      </c>
      <c r="G139" s="4">
        <f t="shared" si="31"/>
        <v>1269.9999999999968</v>
      </c>
      <c r="H139" s="1">
        <f t="shared" si="42"/>
        <v>1.5413851351350998</v>
      </c>
      <c r="I139" s="1">
        <f t="shared" si="43"/>
        <v>252.64249785191944</v>
      </c>
      <c r="J139" s="1">
        <f t="shared" si="32"/>
        <v>8.421416595063981</v>
      </c>
      <c r="K139" s="7">
        <f t="shared" si="33"/>
        <v>0.69217122699156008</v>
      </c>
      <c r="L139" s="4">
        <f t="shared" si="34"/>
        <v>6487.6712328767135</v>
      </c>
      <c r="M139" s="1">
        <f t="shared" si="35"/>
        <v>774.37294099853261</v>
      </c>
      <c r="N139" s="7">
        <f t="shared" si="36"/>
        <v>0.81165097827384791</v>
      </c>
      <c r="O139" s="1">
        <f t="shared" si="37"/>
        <v>3000</v>
      </c>
      <c r="P139" s="2">
        <f t="shared" si="38"/>
        <v>5.0238770528343162</v>
      </c>
      <c r="Q139" s="2">
        <f t="shared" si="45"/>
        <v>53.088137415515249</v>
      </c>
      <c r="S139" s="1">
        <f t="shared" si="26"/>
        <v>3000</v>
      </c>
      <c r="T139" s="1">
        <f t="shared" si="27"/>
        <v>6487.6712328767135</v>
      </c>
      <c r="V139" s="1">
        <f t="shared" si="39"/>
        <v>6487.6712328767135</v>
      </c>
      <c r="W139" s="1">
        <f t="shared" si="40"/>
        <v>3000</v>
      </c>
    </row>
    <row r="140" spans="1:23" x14ac:dyDescent="0.25">
      <c r="A140" s="2">
        <f t="shared" si="41"/>
        <v>12.799999999999971</v>
      </c>
      <c r="B140" s="7">
        <f t="shared" si="44"/>
        <v>23.68</v>
      </c>
      <c r="C140" s="7">
        <f t="shared" si="28"/>
        <v>1.5494367767185062</v>
      </c>
      <c r="D140" s="7">
        <f t="shared" si="29"/>
        <v>0.81657798407559468</v>
      </c>
      <c r="E140" s="7">
        <f t="shared" si="30"/>
        <v>1</v>
      </c>
      <c r="G140" s="4">
        <f t="shared" si="31"/>
        <v>1279.9999999999968</v>
      </c>
      <c r="H140" s="1">
        <f t="shared" si="42"/>
        <v>1.5413851351351349</v>
      </c>
      <c r="I140" s="1">
        <f t="shared" si="43"/>
        <v>254.18388298705457</v>
      </c>
      <c r="J140" s="1">
        <f t="shared" si="32"/>
        <v>8.4727960995684857</v>
      </c>
      <c r="K140" s="7">
        <f t="shared" si="33"/>
        <v>0.69639419996453311</v>
      </c>
      <c r="L140" s="4">
        <f t="shared" si="34"/>
        <v>6487.6712328767135</v>
      </c>
      <c r="M140" s="1">
        <f t="shared" si="35"/>
        <v>774.71838835925314</v>
      </c>
      <c r="N140" s="7">
        <f t="shared" si="36"/>
        <v>0.81657798407559468</v>
      </c>
      <c r="O140" s="1">
        <f t="shared" si="37"/>
        <v>3000</v>
      </c>
      <c r="P140" s="2">
        <f t="shared" si="38"/>
        <v>5.0261182017389361</v>
      </c>
      <c r="Q140" s="2">
        <f t="shared" si="45"/>
        <v>53.413054208163175</v>
      </c>
      <c r="S140" s="1">
        <f t="shared" ref="S140:S203" si="46">E140*$H$3</f>
        <v>3000</v>
      </c>
      <c r="T140" s="1">
        <f t="shared" ref="T140:T203" si="47">B140/100*$H$2/365*1000000</f>
        <v>6487.6712328767135</v>
      </c>
      <c r="V140" s="1">
        <f t="shared" si="39"/>
        <v>6487.6712328767135</v>
      </c>
      <c r="W140" s="1">
        <f t="shared" si="40"/>
        <v>3000</v>
      </c>
    </row>
    <row r="141" spans="1:23" x14ac:dyDescent="0.25">
      <c r="A141" s="2">
        <f t="shared" si="41"/>
        <v>12.89999999999997</v>
      </c>
      <c r="B141" s="7">
        <f t="shared" si="44"/>
        <v>23.68</v>
      </c>
      <c r="C141" s="7">
        <f t="shared" ref="C141:C204" si="48">IF($C$5&lt;$C$7,IF(A141&lt;=$C$2,$C$3*EXP(A141*$C$4),IF(A141&lt;=$C$7,$C$6,IF($C$8*EXP(A141*$C$9)&gt;$C$6,$C$6,$C$8*EXP(A141*$C$9)))),IF(A141&lt;=$C$2,$C$3*EXP(A141*$C$4),IF(A141&lt;=$C$5,$C$6,IF($C$8*EXP(A141*$C$9)&gt;$C$6,$C$6,$C$8*EXP(A141*$C$9)))))</f>
        <v>1.5501279796477183</v>
      </c>
      <c r="D141" s="7">
        <f t="shared" ref="D141:D204" si="49">IF(IF($D$5&lt;$D$7,IF(A141&lt;=$D$2,$D$3*EXP(A141*$D$4),IF(A141&lt;=$D$7,$D$6,IF($D$8*EXP(A141*$D$9)&gt;$D$6,$D$6,$D$8*EXP(A141*$D$9)))),IF(A141&lt;=$D$2,$D$3*EXP(A141*$D$4),IF(A141&lt;=$D$5,$D$6,IF($D$8*EXP(A141*$D$9)&gt;$D$6,$D$6,$D$8*EXP(A141*$D$9)))))&lt;=100,IF($D$5&lt;$D$7,IF(A141&lt;=$D$2,$D$3*EXP(A141*$D$4),IF(A141&lt;=$D$7,$D$6,IF($D$8*EXP(A141*$D$9)&gt;$D$6,$D$6,$D$8*EXP(A141*$D$9)))),IF(A141&lt;=$D$2,$D$3*EXP(A141*$D$4),IF(A141&lt;=$D$5,$D$6,IF($D$8*EXP(A141*$D$9)&gt;$D$6,$D$6,$D$8*EXP(A141*$D$9))))),100)</f>
        <v>0.82153489852874473</v>
      </c>
      <c r="E141" s="7">
        <f t="shared" ref="E141:E204" si="50">IF($E$5&lt;$E$7,IF(A141&lt;=$E$2,$E$3*EXP(A141*$E$4),IF(A141&lt;=$E$7,$E$6,IF($E$8*EXP(A141*$E$9)&gt;$E$6,$E$6,$E$8*EXP(A141*$E$9)))),IF(A141&lt;=$E$2,$E$3*EXP(A141*$E$4),IF(A141&lt;=$E$5,$E$6,IF($E$8*EXP(A141*$E$9)&gt;$E$6,$E$6,$E$8*EXP(A141*$E$9)))))</f>
        <v>1</v>
      </c>
      <c r="G141" s="4">
        <f t="shared" ref="G141:G204" si="51">A141/100*$H$2*1000</f>
        <v>1289.9999999999968</v>
      </c>
      <c r="H141" s="1">
        <f t="shared" si="42"/>
        <v>1.5413851351351349</v>
      </c>
      <c r="I141" s="1">
        <f t="shared" si="43"/>
        <v>255.7252681221897</v>
      </c>
      <c r="J141" s="1">
        <f t="shared" ref="J141:J204" si="52">I141/30</f>
        <v>8.5241756040729904</v>
      </c>
      <c r="K141" s="7">
        <f t="shared" ref="K141:K204" si="53">I141/365</f>
        <v>0.70061717293750603</v>
      </c>
      <c r="L141" s="4">
        <f t="shared" ref="L141:L204" si="54">IF(A141&gt;$B$2,IF(AND(B141/100*$H$2/365*1000000&gt;=$H$5,O141&gt;=$H$6,M141&lt;=$L$4,N141&lt;=$L$5),B141/100*$H$2/365*1000000*$L$6/100,#N/A),B141/100*$H$2/365*1000000*$L$6/100)</f>
        <v>6487.6712328767135</v>
      </c>
      <c r="M141" s="1">
        <f t="shared" ref="M141:M204" si="55">C141*$H$4</f>
        <v>775.06398982385917</v>
      </c>
      <c r="N141" s="7">
        <f t="shared" ref="N141:N204" si="56">D141</f>
        <v>0.82153489852874473</v>
      </c>
      <c r="O141" s="1">
        <f t="shared" ref="O141:O204" si="57">E141*$H$3</f>
        <v>3000</v>
      </c>
      <c r="P141" s="2">
        <f t="shared" ref="P141:P204" si="58">L141*M141/1000000</f>
        <v>5.0283603504189012</v>
      </c>
      <c r="Q141" s="2">
        <f t="shared" si="45"/>
        <v>53.739975936672991</v>
      </c>
      <c r="S141" s="1">
        <f t="shared" si="46"/>
        <v>3000</v>
      </c>
      <c r="T141" s="1">
        <f t="shared" si="47"/>
        <v>6487.6712328767135</v>
      </c>
      <c r="V141" s="1">
        <f t="shared" ref="V141:V204" si="59">T141</f>
        <v>6487.6712328767135</v>
      </c>
      <c r="W141" s="1">
        <f t="shared" ref="W141:W204" si="60">S141</f>
        <v>3000</v>
      </c>
    </row>
    <row r="142" spans="1:23" x14ac:dyDescent="0.25">
      <c r="A142" s="2">
        <f t="shared" ref="A142:A205" si="61">A141+0.1</f>
        <v>12.99999999999997</v>
      </c>
      <c r="B142" s="7">
        <f t="shared" si="44"/>
        <v>23.68</v>
      </c>
      <c r="C142" s="7">
        <f t="shared" si="48"/>
        <v>1.5508194909221926</v>
      </c>
      <c r="D142" s="7">
        <f t="shared" si="49"/>
        <v>0.82652190318929075</v>
      </c>
      <c r="E142" s="7">
        <f t="shared" si="50"/>
        <v>1</v>
      </c>
      <c r="G142" s="4">
        <f t="shared" si="51"/>
        <v>1299.999999999997</v>
      </c>
      <c r="H142" s="1">
        <f t="shared" ref="H142:H205" si="62">(G142-G141)*1000/L142</f>
        <v>1.5413851351351699</v>
      </c>
      <c r="I142" s="1">
        <f t="shared" ref="I142:I205" si="63">H142+I141</f>
        <v>257.26665325732489</v>
      </c>
      <c r="J142" s="1">
        <f t="shared" si="52"/>
        <v>8.5755551085774968</v>
      </c>
      <c r="K142" s="7">
        <f t="shared" si="53"/>
        <v>0.70484014591047917</v>
      </c>
      <c r="L142" s="4">
        <f t="shared" si="54"/>
        <v>6487.6712328767135</v>
      </c>
      <c r="M142" s="1">
        <f t="shared" si="55"/>
        <v>775.40974546109635</v>
      </c>
      <c r="N142" s="7">
        <f t="shared" si="56"/>
        <v>0.82652190318929075</v>
      </c>
      <c r="O142" s="1">
        <f t="shared" si="57"/>
        <v>3000</v>
      </c>
      <c r="P142" s="2">
        <f t="shared" si="58"/>
        <v>5.0306034993202102</v>
      </c>
      <c r="Q142" s="2">
        <f t="shared" si="45"/>
        <v>54.068915173361404</v>
      </c>
      <c r="S142" s="1">
        <f t="shared" si="46"/>
        <v>3000</v>
      </c>
      <c r="T142" s="1">
        <f t="shared" si="47"/>
        <v>6487.6712328767135</v>
      </c>
      <c r="V142" s="1">
        <f t="shared" si="59"/>
        <v>6487.6712328767135</v>
      </c>
      <c r="W142" s="1">
        <f t="shared" si="60"/>
        <v>3000</v>
      </c>
    </row>
    <row r="143" spans="1:23" x14ac:dyDescent="0.25">
      <c r="A143" s="2">
        <f t="shared" si="61"/>
        <v>13.099999999999969</v>
      </c>
      <c r="B143" s="7">
        <f t="shared" si="44"/>
        <v>23.68</v>
      </c>
      <c r="C143" s="7">
        <f t="shared" si="48"/>
        <v>1.551511310679482</v>
      </c>
      <c r="D143" s="7">
        <f t="shared" si="49"/>
        <v>0.83153918071533395</v>
      </c>
      <c r="E143" s="7">
        <f t="shared" si="50"/>
        <v>1</v>
      </c>
      <c r="G143" s="4">
        <f t="shared" si="51"/>
        <v>1309.999999999997</v>
      </c>
      <c r="H143" s="1">
        <f t="shared" si="62"/>
        <v>1.5413851351351349</v>
      </c>
      <c r="I143" s="1">
        <f t="shared" si="63"/>
        <v>258.80803839246005</v>
      </c>
      <c r="J143" s="1">
        <f t="shared" si="52"/>
        <v>8.6269346130820015</v>
      </c>
      <c r="K143" s="7">
        <f t="shared" si="53"/>
        <v>0.70906311888345219</v>
      </c>
      <c r="L143" s="4">
        <f t="shared" si="54"/>
        <v>6487.6712328767135</v>
      </c>
      <c r="M143" s="1">
        <f t="shared" si="55"/>
        <v>775.755655339741</v>
      </c>
      <c r="N143" s="7">
        <f t="shared" si="56"/>
        <v>0.83153918071533395</v>
      </c>
      <c r="O143" s="1">
        <f t="shared" si="57"/>
        <v>3000</v>
      </c>
      <c r="P143" s="2">
        <f t="shared" si="58"/>
        <v>5.0328476488890601</v>
      </c>
      <c r="Q143" s="2">
        <f t="shared" si="45"/>
        <v>54.399884571846243</v>
      </c>
      <c r="S143" s="1">
        <f t="shared" si="46"/>
        <v>3000</v>
      </c>
      <c r="T143" s="1">
        <f t="shared" si="47"/>
        <v>6487.6712328767135</v>
      </c>
      <c r="V143" s="1">
        <f t="shared" si="59"/>
        <v>6487.6712328767135</v>
      </c>
      <c r="W143" s="1">
        <f t="shared" si="60"/>
        <v>3000</v>
      </c>
    </row>
    <row r="144" spans="1:23" x14ac:dyDescent="0.25">
      <c r="A144" s="2">
        <f t="shared" si="61"/>
        <v>13.199999999999969</v>
      </c>
      <c r="B144" s="7">
        <f t="shared" si="44"/>
        <v>23.68</v>
      </c>
      <c r="C144" s="7">
        <f t="shared" si="48"/>
        <v>1.5522034390572006</v>
      </c>
      <c r="D144" s="7">
        <f t="shared" si="49"/>
        <v>0.83658691487377401</v>
      </c>
      <c r="E144" s="7">
        <f t="shared" si="50"/>
        <v>1</v>
      </c>
      <c r="G144" s="4">
        <f t="shared" si="51"/>
        <v>1319.999999999997</v>
      </c>
      <c r="H144" s="1">
        <f t="shared" si="62"/>
        <v>1.5413851351351349</v>
      </c>
      <c r="I144" s="1">
        <f t="shared" si="63"/>
        <v>260.34942352759521</v>
      </c>
      <c r="J144" s="1">
        <f t="shared" si="52"/>
        <v>8.6783141175865062</v>
      </c>
      <c r="K144" s="7">
        <f t="shared" si="53"/>
        <v>0.71328609185642522</v>
      </c>
      <c r="L144" s="4">
        <f t="shared" si="54"/>
        <v>6487.6712328767135</v>
      </c>
      <c r="M144" s="1">
        <f t="shared" si="55"/>
        <v>776.10171952860026</v>
      </c>
      <c r="N144" s="7">
        <f t="shared" si="56"/>
        <v>0.83658691487377401</v>
      </c>
      <c r="O144" s="1">
        <f t="shared" si="57"/>
        <v>3000</v>
      </c>
      <c r="P144" s="2">
        <f t="shared" si="58"/>
        <v>5.0350927995718511</v>
      </c>
      <c r="Q144" s="2">
        <f t="shared" si="45"/>
        <v>54.732896867602356</v>
      </c>
      <c r="S144" s="1">
        <f t="shared" si="46"/>
        <v>3000</v>
      </c>
      <c r="T144" s="1">
        <f t="shared" si="47"/>
        <v>6487.6712328767135</v>
      </c>
      <c r="V144" s="1">
        <f t="shared" si="59"/>
        <v>6487.6712328767135</v>
      </c>
      <c r="W144" s="1">
        <f t="shared" si="60"/>
        <v>3000</v>
      </c>
    </row>
    <row r="145" spans="1:23" x14ac:dyDescent="0.25">
      <c r="A145" s="2">
        <f t="shared" si="61"/>
        <v>13.299999999999969</v>
      </c>
      <c r="B145" s="7">
        <f t="shared" si="44"/>
        <v>23.68</v>
      </c>
      <c r="C145" s="7">
        <f t="shared" si="48"/>
        <v>1.5528958761930229</v>
      </c>
      <c r="D145" s="7">
        <f t="shared" si="49"/>
        <v>0.84166529054703987</v>
      </c>
      <c r="E145" s="7">
        <f t="shared" si="50"/>
        <v>1</v>
      </c>
      <c r="G145" s="4">
        <f t="shared" si="51"/>
        <v>1329.9999999999968</v>
      </c>
      <c r="H145" s="1">
        <f t="shared" si="62"/>
        <v>1.5413851351350998</v>
      </c>
      <c r="I145" s="1">
        <f t="shared" si="63"/>
        <v>261.89080866273031</v>
      </c>
      <c r="J145" s="1">
        <f t="shared" si="52"/>
        <v>8.7296936220910109</v>
      </c>
      <c r="K145" s="7">
        <f t="shared" si="53"/>
        <v>0.71750906482939814</v>
      </c>
      <c r="L145" s="4">
        <f t="shared" si="54"/>
        <v>6487.6712328767135</v>
      </c>
      <c r="M145" s="1">
        <f t="shared" si="55"/>
        <v>776.44793809651151</v>
      </c>
      <c r="N145" s="7">
        <f t="shared" si="56"/>
        <v>0.84166529054703987</v>
      </c>
      <c r="O145" s="1">
        <f t="shared" si="57"/>
        <v>3000</v>
      </c>
      <c r="P145" s="2">
        <f t="shared" si="58"/>
        <v>5.037338951815177</v>
      </c>
      <c r="Q145" s="2">
        <f t="shared" si="45"/>
        <v>55.067964878521664</v>
      </c>
      <c r="S145" s="1">
        <f t="shared" si="46"/>
        <v>3000</v>
      </c>
      <c r="T145" s="1">
        <f t="shared" si="47"/>
        <v>6487.6712328767135</v>
      </c>
      <c r="V145" s="1">
        <f t="shared" si="59"/>
        <v>6487.6712328767135</v>
      </c>
      <c r="W145" s="1">
        <f t="shared" si="60"/>
        <v>3000</v>
      </c>
    </row>
    <row r="146" spans="1:23" x14ac:dyDescent="0.25">
      <c r="A146" s="2">
        <f t="shared" si="61"/>
        <v>13.399999999999968</v>
      </c>
      <c r="B146" s="7">
        <f t="shared" si="44"/>
        <v>23.68</v>
      </c>
      <c r="C146" s="7">
        <f t="shared" si="48"/>
        <v>1.5535886222246871</v>
      </c>
      <c r="D146" s="7">
        <f t="shared" si="49"/>
        <v>0.84677449373986202</v>
      </c>
      <c r="E146" s="7">
        <f t="shared" si="50"/>
        <v>1</v>
      </c>
      <c r="G146" s="4">
        <f t="shared" si="51"/>
        <v>1339.9999999999968</v>
      </c>
      <c r="H146" s="1">
        <f t="shared" si="62"/>
        <v>1.5413851351351349</v>
      </c>
      <c r="I146" s="1">
        <f t="shared" si="63"/>
        <v>263.43219379786547</v>
      </c>
      <c r="J146" s="1">
        <f t="shared" si="52"/>
        <v>8.7810731265955155</v>
      </c>
      <c r="K146" s="7">
        <f t="shared" si="53"/>
        <v>0.72173203780237116</v>
      </c>
      <c r="L146" s="4">
        <f t="shared" si="54"/>
        <v>6487.6712328767135</v>
      </c>
      <c r="M146" s="1">
        <f t="shared" si="55"/>
        <v>776.79431111234351</v>
      </c>
      <c r="N146" s="7">
        <f t="shared" si="56"/>
        <v>0.84677449373986202</v>
      </c>
      <c r="O146" s="1">
        <f t="shared" si="57"/>
        <v>3000</v>
      </c>
      <c r="P146" s="2">
        <f t="shared" si="58"/>
        <v>5.0395861060658351</v>
      </c>
      <c r="Q146" s="2">
        <f t="shared" si="45"/>
        <v>55.405101505477518</v>
      </c>
      <c r="S146" s="1">
        <f t="shared" si="46"/>
        <v>3000</v>
      </c>
      <c r="T146" s="1">
        <f t="shared" si="47"/>
        <v>6487.6712328767135</v>
      </c>
      <c r="V146" s="1">
        <f t="shared" si="59"/>
        <v>6487.6712328767135</v>
      </c>
      <c r="W146" s="1">
        <f t="shared" si="60"/>
        <v>3000</v>
      </c>
    </row>
    <row r="147" spans="1:23" x14ac:dyDescent="0.25">
      <c r="A147" s="2">
        <f t="shared" si="61"/>
        <v>13.499999999999968</v>
      </c>
      <c r="B147" s="7">
        <f t="shared" si="44"/>
        <v>23.68</v>
      </c>
      <c r="C147" s="7">
        <f t="shared" si="48"/>
        <v>1.5542816772899908</v>
      </c>
      <c r="D147" s="7">
        <f t="shared" si="49"/>
        <v>0.85191471158608478</v>
      </c>
      <c r="E147" s="7">
        <f t="shared" si="50"/>
        <v>1</v>
      </c>
      <c r="G147" s="4">
        <f t="shared" si="51"/>
        <v>1349.9999999999968</v>
      </c>
      <c r="H147" s="1">
        <f t="shared" si="62"/>
        <v>1.5413851351351349</v>
      </c>
      <c r="I147" s="1">
        <f t="shared" si="63"/>
        <v>264.97357893300062</v>
      </c>
      <c r="J147" s="1">
        <f t="shared" si="52"/>
        <v>8.8324526311000202</v>
      </c>
      <c r="K147" s="7">
        <f t="shared" si="53"/>
        <v>0.72595501077534419</v>
      </c>
      <c r="L147" s="4">
        <f t="shared" si="54"/>
        <v>6487.6712328767135</v>
      </c>
      <c r="M147" s="1">
        <f t="shared" si="55"/>
        <v>777.14083864499537</v>
      </c>
      <c r="N147" s="7">
        <f t="shared" si="56"/>
        <v>0.85191471158608478</v>
      </c>
      <c r="O147" s="1">
        <f t="shared" si="57"/>
        <v>3000</v>
      </c>
      <c r="P147" s="2">
        <f t="shared" si="58"/>
        <v>5.0418342627708208</v>
      </c>
      <c r="Q147" s="2">
        <f t="shared" si="45"/>
        <v>55.744319732893153</v>
      </c>
      <c r="S147" s="1">
        <f t="shared" si="46"/>
        <v>3000</v>
      </c>
      <c r="T147" s="1">
        <f t="shared" si="47"/>
        <v>6487.6712328767135</v>
      </c>
      <c r="V147" s="1">
        <f t="shared" si="59"/>
        <v>6487.6712328767135</v>
      </c>
      <c r="W147" s="1">
        <f t="shared" si="60"/>
        <v>3000</v>
      </c>
    </row>
    <row r="148" spans="1:23" x14ac:dyDescent="0.25">
      <c r="A148" s="2">
        <f t="shared" si="61"/>
        <v>13.599999999999968</v>
      </c>
      <c r="B148" s="7">
        <f t="shared" si="44"/>
        <v>23.68</v>
      </c>
      <c r="C148" s="7">
        <f t="shared" si="48"/>
        <v>1.5549750415267933</v>
      </c>
      <c r="D148" s="7">
        <f t="shared" si="49"/>
        <v>0.85708613235552022</v>
      </c>
      <c r="E148" s="7">
        <f t="shared" si="50"/>
        <v>1</v>
      </c>
      <c r="G148" s="4">
        <f t="shared" si="51"/>
        <v>1359.9999999999968</v>
      </c>
      <c r="H148" s="1">
        <f t="shared" si="62"/>
        <v>1.5413851351351349</v>
      </c>
      <c r="I148" s="1">
        <f t="shared" si="63"/>
        <v>266.51496406813578</v>
      </c>
      <c r="J148" s="1">
        <f t="shared" si="52"/>
        <v>8.8838321356045267</v>
      </c>
      <c r="K148" s="7">
        <f t="shared" si="53"/>
        <v>0.73017798374831722</v>
      </c>
      <c r="L148" s="4">
        <f t="shared" si="54"/>
        <v>6487.6712328767135</v>
      </c>
      <c r="M148" s="1">
        <f t="shared" si="55"/>
        <v>777.48752076339667</v>
      </c>
      <c r="N148" s="7">
        <f t="shared" si="56"/>
        <v>0.85708613235552022</v>
      </c>
      <c r="O148" s="1">
        <f t="shared" si="57"/>
        <v>3000</v>
      </c>
      <c r="P148" s="2">
        <f t="shared" si="58"/>
        <v>5.0440834223773248</v>
      </c>
      <c r="Q148" s="2">
        <f t="shared" si="45"/>
        <v>56.085632629314439</v>
      </c>
      <c r="S148" s="1">
        <f t="shared" si="46"/>
        <v>3000</v>
      </c>
      <c r="T148" s="1">
        <f t="shared" si="47"/>
        <v>6487.6712328767135</v>
      </c>
      <c r="V148" s="1">
        <f t="shared" si="59"/>
        <v>6487.6712328767135</v>
      </c>
      <c r="W148" s="1">
        <f t="shared" si="60"/>
        <v>3000</v>
      </c>
    </row>
    <row r="149" spans="1:23" x14ac:dyDescent="0.25">
      <c r="A149" s="2">
        <f t="shared" si="61"/>
        <v>13.699999999999967</v>
      </c>
      <c r="B149" s="7">
        <f t="shared" si="44"/>
        <v>23.68</v>
      </c>
      <c r="C149" s="7">
        <f t="shared" si="48"/>
        <v>1.5556687150730164</v>
      </c>
      <c r="D149" s="7">
        <f t="shared" si="49"/>
        <v>0.86228894546084434</v>
      </c>
      <c r="E149" s="7">
        <f t="shared" si="50"/>
        <v>1</v>
      </c>
      <c r="G149" s="4">
        <f t="shared" si="51"/>
        <v>1369.9999999999968</v>
      </c>
      <c r="H149" s="1">
        <f t="shared" si="62"/>
        <v>1.5413851351351349</v>
      </c>
      <c r="I149" s="1">
        <f t="shared" si="63"/>
        <v>268.05634920327094</v>
      </c>
      <c r="J149" s="1">
        <f t="shared" si="52"/>
        <v>8.9352116401090314</v>
      </c>
      <c r="K149" s="7">
        <f t="shared" si="53"/>
        <v>0.73440095672129024</v>
      </c>
      <c r="L149" s="4">
        <f t="shared" si="54"/>
        <v>6487.6712328767135</v>
      </c>
      <c r="M149" s="1">
        <f t="shared" si="55"/>
        <v>777.83435753650815</v>
      </c>
      <c r="N149" s="7">
        <f t="shared" si="56"/>
        <v>0.86228894546084434</v>
      </c>
      <c r="O149" s="1">
        <f t="shared" si="57"/>
        <v>3000</v>
      </c>
      <c r="P149" s="2">
        <f t="shared" si="58"/>
        <v>5.0463335853327438</v>
      </c>
      <c r="Q149" s="2">
        <f t="shared" si="45"/>
        <v>56.429053347987058</v>
      </c>
      <c r="S149" s="1">
        <f t="shared" si="46"/>
        <v>3000</v>
      </c>
      <c r="T149" s="1">
        <f t="shared" si="47"/>
        <v>6487.6712328767135</v>
      </c>
      <c r="V149" s="1">
        <f t="shared" si="59"/>
        <v>6487.6712328767135</v>
      </c>
      <c r="W149" s="1">
        <f t="shared" si="60"/>
        <v>3000</v>
      </c>
    </row>
    <row r="150" spans="1:23" x14ac:dyDescent="0.25">
      <c r="A150" s="2">
        <f t="shared" si="61"/>
        <v>13.799999999999967</v>
      </c>
      <c r="B150" s="7">
        <f t="shared" si="44"/>
        <v>23.68</v>
      </c>
      <c r="C150" s="7">
        <f t="shared" si="48"/>
        <v>1.556362698066643</v>
      </c>
      <c r="D150" s="7">
        <f t="shared" si="49"/>
        <v>0.86752334146453403</v>
      </c>
      <c r="E150" s="7">
        <f t="shared" si="50"/>
        <v>1</v>
      </c>
      <c r="G150" s="4">
        <f t="shared" si="51"/>
        <v>1379.9999999999968</v>
      </c>
      <c r="H150" s="1">
        <f t="shared" si="62"/>
        <v>1.5413851351351349</v>
      </c>
      <c r="I150" s="1">
        <f t="shared" si="63"/>
        <v>269.5977343384061</v>
      </c>
      <c r="J150" s="1">
        <f t="shared" si="52"/>
        <v>8.986591144613536</v>
      </c>
      <c r="K150" s="7">
        <f t="shared" si="53"/>
        <v>0.73862392969426327</v>
      </c>
      <c r="L150" s="4">
        <f t="shared" si="54"/>
        <v>6487.6712328767135</v>
      </c>
      <c r="M150" s="1">
        <f t="shared" si="55"/>
        <v>778.18134903332145</v>
      </c>
      <c r="N150" s="7">
        <f t="shared" si="56"/>
        <v>0.86752334146453403</v>
      </c>
      <c r="O150" s="1">
        <f t="shared" si="57"/>
        <v>3000</v>
      </c>
      <c r="P150" s="2">
        <f t="shared" si="58"/>
        <v>5.0485847520846727</v>
      </c>
      <c r="Q150" s="2">
        <f t="shared" si="45"/>
        <v>56.774595127437905</v>
      </c>
      <c r="S150" s="1">
        <f t="shared" si="46"/>
        <v>3000</v>
      </c>
      <c r="T150" s="1">
        <f t="shared" si="47"/>
        <v>6487.6712328767135</v>
      </c>
      <c r="V150" s="1">
        <f t="shared" si="59"/>
        <v>6487.6712328767135</v>
      </c>
      <c r="W150" s="1">
        <f t="shared" si="60"/>
        <v>3000</v>
      </c>
    </row>
    <row r="151" spans="1:23" x14ac:dyDescent="0.25">
      <c r="A151" s="2">
        <f t="shared" si="61"/>
        <v>13.899999999999967</v>
      </c>
      <c r="B151" s="7">
        <f t="shared" si="44"/>
        <v>23.68</v>
      </c>
      <c r="C151" s="7">
        <f t="shared" si="48"/>
        <v>1.557056990645717</v>
      </c>
      <c r="D151" s="7">
        <f t="shared" si="49"/>
        <v>0.8727895120858481</v>
      </c>
      <c r="E151" s="7">
        <f t="shared" si="50"/>
        <v>1</v>
      </c>
      <c r="G151" s="4">
        <f t="shared" si="51"/>
        <v>1389.9999999999968</v>
      </c>
      <c r="H151" s="1">
        <f t="shared" si="62"/>
        <v>1.5413851351351349</v>
      </c>
      <c r="I151" s="1">
        <f t="shared" si="63"/>
        <v>271.13911947354126</v>
      </c>
      <c r="J151" s="1">
        <f t="shared" si="52"/>
        <v>9.0379706491180425</v>
      </c>
      <c r="K151" s="7">
        <f t="shared" si="53"/>
        <v>0.7428469026672363</v>
      </c>
      <c r="L151" s="4">
        <f t="shared" si="54"/>
        <v>6487.6712328767135</v>
      </c>
      <c r="M151" s="1">
        <f t="shared" si="55"/>
        <v>778.52849532285848</v>
      </c>
      <c r="N151" s="7">
        <f t="shared" si="56"/>
        <v>0.8727895120858481</v>
      </c>
      <c r="O151" s="1">
        <f t="shared" si="57"/>
        <v>3000</v>
      </c>
      <c r="P151" s="2">
        <f t="shared" si="58"/>
        <v>5.0508369230809018</v>
      </c>
      <c r="Q151" s="2">
        <f t="shared" si="45"/>
        <v>57.122271292060923</v>
      </c>
      <c r="S151" s="1">
        <f t="shared" si="46"/>
        <v>3000</v>
      </c>
      <c r="T151" s="1">
        <f t="shared" si="47"/>
        <v>6487.6712328767135</v>
      </c>
      <c r="V151" s="1">
        <f t="shared" si="59"/>
        <v>6487.6712328767135</v>
      </c>
      <c r="W151" s="1">
        <f t="shared" si="60"/>
        <v>3000</v>
      </c>
    </row>
    <row r="152" spans="1:23" x14ac:dyDescent="0.25">
      <c r="A152" s="2">
        <f t="shared" si="61"/>
        <v>13.999999999999966</v>
      </c>
      <c r="B152" s="7">
        <f t="shared" si="44"/>
        <v>23.68</v>
      </c>
      <c r="C152" s="7">
        <f t="shared" si="48"/>
        <v>1.5577515929483443</v>
      </c>
      <c r="D152" s="7">
        <f t="shared" si="49"/>
        <v>0.87808765020784718</v>
      </c>
      <c r="E152" s="7">
        <f t="shared" si="50"/>
        <v>1</v>
      </c>
      <c r="G152" s="4">
        <f t="shared" si="51"/>
        <v>1399.9999999999966</v>
      </c>
      <c r="H152" s="1">
        <f t="shared" si="62"/>
        <v>1.5413851351350998</v>
      </c>
      <c r="I152" s="1">
        <f t="shared" si="63"/>
        <v>272.68050460867636</v>
      </c>
      <c r="J152" s="1">
        <f t="shared" si="52"/>
        <v>9.0893501536225454</v>
      </c>
      <c r="K152" s="7">
        <f t="shared" si="53"/>
        <v>0.74706987564020921</v>
      </c>
      <c r="L152" s="4">
        <f t="shared" si="54"/>
        <v>6487.6712328767135</v>
      </c>
      <c r="M152" s="1">
        <f t="shared" si="55"/>
        <v>778.87579647417215</v>
      </c>
      <c r="N152" s="7">
        <f t="shared" si="56"/>
        <v>0.87808765020784718</v>
      </c>
      <c r="O152" s="1">
        <f t="shared" si="57"/>
        <v>3000</v>
      </c>
      <c r="P152" s="2">
        <f t="shared" si="58"/>
        <v>5.0530900987694247</v>
      </c>
      <c r="Q152" s="2">
        <f t="shared" si="45"/>
        <v>57.472095252707319</v>
      </c>
      <c r="S152" s="1">
        <f t="shared" si="46"/>
        <v>3000</v>
      </c>
      <c r="T152" s="1">
        <f t="shared" si="47"/>
        <v>6487.6712328767135</v>
      </c>
      <c r="V152" s="1">
        <f t="shared" si="59"/>
        <v>6487.6712328767135</v>
      </c>
      <c r="W152" s="1">
        <f t="shared" si="60"/>
        <v>3000</v>
      </c>
    </row>
    <row r="153" spans="1:23" x14ac:dyDescent="0.25">
      <c r="A153" s="2">
        <f t="shared" si="61"/>
        <v>14.099999999999966</v>
      </c>
      <c r="B153" s="7">
        <f t="shared" si="44"/>
        <v>23.68</v>
      </c>
      <c r="C153" s="7">
        <f t="shared" si="48"/>
        <v>1.558446505112693</v>
      </c>
      <c r="D153" s="7">
        <f t="shared" si="49"/>
        <v>0.88341794988446054</v>
      </c>
      <c r="E153" s="7">
        <f t="shared" si="50"/>
        <v>1</v>
      </c>
      <c r="G153" s="4">
        <f t="shared" si="51"/>
        <v>1409.9999999999966</v>
      </c>
      <c r="H153" s="1">
        <f t="shared" si="62"/>
        <v>1.5413851351351349</v>
      </c>
      <c r="I153" s="1">
        <f t="shared" si="63"/>
        <v>274.22188974381152</v>
      </c>
      <c r="J153" s="1">
        <f t="shared" si="52"/>
        <v>9.1407296581270501</v>
      </c>
      <c r="K153" s="7">
        <f t="shared" si="53"/>
        <v>0.75129284861318224</v>
      </c>
      <c r="L153" s="4">
        <f t="shared" si="54"/>
        <v>6487.6712328767135</v>
      </c>
      <c r="M153" s="1">
        <f t="shared" si="55"/>
        <v>779.22325255634655</v>
      </c>
      <c r="N153" s="7">
        <f t="shared" si="56"/>
        <v>0.88341794988446054</v>
      </c>
      <c r="O153" s="1">
        <f t="shared" si="57"/>
        <v>3000</v>
      </c>
      <c r="P153" s="2">
        <f t="shared" si="58"/>
        <v>5.0553442795984358</v>
      </c>
      <c r="Q153" s="2">
        <f t="shared" si="45"/>
        <v>57.824080507280321</v>
      </c>
      <c r="S153" s="1">
        <f t="shared" si="46"/>
        <v>3000</v>
      </c>
      <c r="T153" s="1">
        <f t="shared" si="47"/>
        <v>6487.6712328767135</v>
      </c>
      <c r="V153" s="1">
        <f t="shared" si="59"/>
        <v>6487.6712328767135</v>
      </c>
      <c r="W153" s="1">
        <f t="shared" si="60"/>
        <v>3000</v>
      </c>
    </row>
    <row r="154" spans="1:23" x14ac:dyDescent="0.25">
      <c r="A154" s="2">
        <f t="shared" si="61"/>
        <v>14.199999999999966</v>
      </c>
      <c r="B154" s="7">
        <f t="shared" si="44"/>
        <v>23.68</v>
      </c>
      <c r="C154" s="7">
        <f t="shared" si="48"/>
        <v>1.5591417272769916</v>
      </c>
      <c r="D154" s="7">
        <f t="shared" si="49"/>
        <v>0.88878060634759293</v>
      </c>
      <c r="E154" s="7">
        <f t="shared" si="50"/>
        <v>1</v>
      </c>
      <c r="G154" s="4">
        <f t="shared" si="51"/>
        <v>1419.9999999999966</v>
      </c>
      <c r="H154" s="1">
        <f t="shared" si="62"/>
        <v>1.5413851351351349</v>
      </c>
      <c r="I154" s="1">
        <f t="shared" si="63"/>
        <v>275.76327487894667</v>
      </c>
      <c r="J154" s="1">
        <f t="shared" si="52"/>
        <v>9.1921091626315565</v>
      </c>
      <c r="K154" s="7">
        <f t="shared" si="53"/>
        <v>0.75551582158615527</v>
      </c>
      <c r="L154" s="4">
        <f t="shared" si="54"/>
        <v>6487.6712328767135</v>
      </c>
      <c r="M154" s="1">
        <f t="shared" si="55"/>
        <v>779.57086363849578</v>
      </c>
      <c r="N154" s="7">
        <f t="shared" si="56"/>
        <v>0.88878060634759293</v>
      </c>
      <c r="O154" s="1">
        <f t="shared" si="57"/>
        <v>3000</v>
      </c>
      <c r="P154" s="2">
        <f t="shared" si="58"/>
        <v>5.0575994660163239</v>
      </c>
      <c r="Q154" s="2">
        <f t="shared" si="45"/>
        <v>58.178240641334426</v>
      </c>
      <c r="S154" s="1">
        <f t="shared" si="46"/>
        <v>3000</v>
      </c>
      <c r="T154" s="1">
        <f t="shared" si="47"/>
        <v>6487.6712328767135</v>
      </c>
      <c r="V154" s="1">
        <f t="shared" si="59"/>
        <v>6487.6712328767135</v>
      </c>
      <c r="W154" s="1">
        <f t="shared" si="60"/>
        <v>3000</v>
      </c>
    </row>
    <row r="155" spans="1:23" x14ac:dyDescent="0.25">
      <c r="A155" s="2">
        <f t="shared" si="61"/>
        <v>14.299999999999965</v>
      </c>
      <c r="B155" s="7">
        <f t="shared" si="44"/>
        <v>23.68</v>
      </c>
      <c r="C155" s="7">
        <f t="shared" si="48"/>
        <v>1.5598372595795313</v>
      </c>
      <c r="D155" s="7">
        <f t="shared" si="49"/>
        <v>0.89417581601427432</v>
      </c>
      <c r="E155" s="7">
        <f t="shared" si="50"/>
        <v>1</v>
      </c>
      <c r="G155" s="4">
        <f t="shared" si="51"/>
        <v>1429.9999999999966</v>
      </c>
      <c r="H155" s="1">
        <f t="shared" si="62"/>
        <v>1.5413851351351349</v>
      </c>
      <c r="I155" s="1">
        <f t="shared" si="63"/>
        <v>277.30466001408183</v>
      </c>
      <c r="J155" s="1">
        <f t="shared" si="52"/>
        <v>9.2434886671360612</v>
      </c>
      <c r="K155" s="7">
        <f t="shared" si="53"/>
        <v>0.75973879455912829</v>
      </c>
      <c r="L155" s="4">
        <f t="shared" si="54"/>
        <v>6487.6712328767135</v>
      </c>
      <c r="M155" s="1">
        <f t="shared" si="55"/>
        <v>779.91862978976565</v>
      </c>
      <c r="N155" s="7">
        <f t="shared" si="56"/>
        <v>0.89417581601427432</v>
      </c>
      <c r="O155" s="1">
        <f t="shared" si="57"/>
        <v>3000</v>
      </c>
      <c r="P155" s="2">
        <f t="shared" si="58"/>
        <v>5.0598556584716858</v>
      </c>
      <c r="Q155" s="2">
        <f t="shared" si="45"/>
        <v>58.534589328679012</v>
      </c>
      <c r="S155" s="1">
        <f t="shared" si="46"/>
        <v>3000</v>
      </c>
      <c r="T155" s="1">
        <f t="shared" si="47"/>
        <v>6487.6712328767135</v>
      </c>
      <c r="V155" s="1">
        <f t="shared" si="59"/>
        <v>6487.6712328767135</v>
      </c>
      <c r="W155" s="1">
        <f t="shared" si="60"/>
        <v>3000</v>
      </c>
    </row>
    <row r="156" spans="1:23" x14ac:dyDescent="0.25">
      <c r="A156" s="2">
        <f t="shared" si="61"/>
        <v>14.399999999999965</v>
      </c>
      <c r="B156" s="7">
        <f t="shared" si="44"/>
        <v>23.68</v>
      </c>
      <c r="C156" s="7">
        <f t="shared" si="48"/>
        <v>1.5605331021586644</v>
      </c>
      <c r="D156" s="7">
        <f t="shared" si="49"/>
        <v>0.89960377649385559</v>
      </c>
      <c r="E156" s="7">
        <f t="shared" si="50"/>
        <v>1</v>
      </c>
      <c r="G156" s="4">
        <f t="shared" si="51"/>
        <v>1439.9999999999966</v>
      </c>
      <c r="H156" s="1">
        <f t="shared" si="62"/>
        <v>1.5413851351351349</v>
      </c>
      <c r="I156" s="1">
        <f t="shared" si="63"/>
        <v>278.84604514921699</v>
      </c>
      <c r="J156" s="1">
        <f t="shared" si="52"/>
        <v>9.2948681716405659</v>
      </c>
      <c r="K156" s="7">
        <f t="shared" si="53"/>
        <v>0.76396176753210132</v>
      </c>
      <c r="L156" s="4">
        <f t="shared" si="54"/>
        <v>6487.6712328767135</v>
      </c>
      <c r="M156" s="1">
        <f t="shared" si="55"/>
        <v>780.2665510793322</v>
      </c>
      <c r="N156" s="7">
        <f t="shared" si="56"/>
        <v>0.89960377649385559</v>
      </c>
      <c r="O156" s="1">
        <f t="shared" si="57"/>
        <v>3000</v>
      </c>
      <c r="P156" s="2">
        <f t="shared" si="58"/>
        <v>5.0621128574133127</v>
      </c>
      <c r="Q156" s="2">
        <f t="shared" si="45"/>
        <v>58.893140331986771</v>
      </c>
      <c r="S156" s="1">
        <f t="shared" si="46"/>
        <v>3000</v>
      </c>
      <c r="T156" s="1">
        <f t="shared" si="47"/>
        <v>6487.6712328767135</v>
      </c>
      <c r="V156" s="1">
        <f t="shared" si="59"/>
        <v>6487.6712328767135</v>
      </c>
      <c r="W156" s="1">
        <f t="shared" si="60"/>
        <v>3000</v>
      </c>
    </row>
    <row r="157" spans="1:23" x14ac:dyDescent="0.25">
      <c r="A157" s="2">
        <f t="shared" si="61"/>
        <v>14.499999999999964</v>
      </c>
      <c r="B157" s="7">
        <f t="shared" si="44"/>
        <v>23.68</v>
      </c>
      <c r="C157" s="7">
        <f t="shared" si="48"/>
        <v>1.5612292551528051</v>
      </c>
      <c r="D157" s="7">
        <f t="shared" si="49"/>
        <v>0.90506468659524508</v>
      </c>
      <c r="E157" s="7">
        <f t="shared" si="50"/>
        <v>1</v>
      </c>
      <c r="G157" s="4">
        <f t="shared" si="51"/>
        <v>1449.9999999999966</v>
      </c>
      <c r="H157" s="1">
        <f t="shared" si="62"/>
        <v>1.5413851351351349</v>
      </c>
      <c r="I157" s="1">
        <f t="shared" si="63"/>
        <v>280.38743028435215</v>
      </c>
      <c r="J157" s="1">
        <f t="shared" si="52"/>
        <v>9.3462476761450723</v>
      </c>
      <c r="K157" s="7">
        <f t="shared" si="53"/>
        <v>0.76818474050507435</v>
      </c>
      <c r="L157" s="4">
        <f t="shared" si="54"/>
        <v>6487.6712328767135</v>
      </c>
      <c r="M157" s="1">
        <f t="shared" si="55"/>
        <v>780.61462757640254</v>
      </c>
      <c r="N157" s="7">
        <f t="shared" si="56"/>
        <v>0.90506468659524508</v>
      </c>
      <c r="O157" s="1">
        <f t="shared" si="57"/>
        <v>3000</v>
      </c>
      <c r="P157" s="2">
        <f t="shared" si="58"/>
        <v>5.0643710632901966</v>
      </c>
      <c r="Q157" s="2">
        <f t="shared" si="45"/>
        <v>59.253907503406644</v>
      </c>
      <c r="S157" s="1">
        <f t="shared" si="46"/>
        <v>3000</v>
      </c>
      <c r="T157" s="1">
        <f t="shared" si="47"/>
        <v>6487.6712328767135</v>
      </c>
      <c r="V157" s="1">
        <f t="shared" si="59"/>
        <v>6487.6712328767135</v>
      </c>
      <c r="W157" s="1">
        <f t="shared" si="60"/>
        <v>3000</v>
      </c>
    </row>
    <row r="158" spans="1:23" x14ac:dyDescent="0.25">
      <c r="A158" s="2">
        <f t="shared" si="61"/>
        <v>14.599999999999964</v>
      </c>
      <c r="B158" s="7">
        <f t="shared" si="44"/>
        <v>23.68</v>
      </c>
      <c r="C158" s="7">
        <f t="shared" si="48"/>
        <v>1.5619257187004296</v>
      </c>
      <c r="D158" s="7">
        <f t="shared" si="49"/>
        <v>0.91055874633419154</v>
      </c>
      <c r="E158" s="7">
        <f t="shared" si="50"/>
        <v>1</v>
      </c>
      <c r="G158" s="4">
        <f t="shared" si="51"/>
        <v>1459.9999999999964</v>
      </c>
      <c r="H158" s="1">
        <f t="shared" si="62"/>
        <v>1.5413851351350998</v>
      </c>
      <c r="I158" s="1">
        <f t="shared" si="63"/>
        <v>281.92881541948725</v>
      </c>
      <c r="J158" s="1">
        <f t="shared" si="52"/>
        <v>9.3976271806495753</v>
      </c>
      <c r="K158" s="7">
        <f t="shared" si="53"/>
        <v>0.77240771347804726</v>
      </c>
      <c r="L158" s="4">
        <f t="shared" si="54"/>
        <v>6487.6712328767135</v>
      </c>
      <c r="M158" s="1">
        <f t="shared" si="55"/>
        <v>780.96285935021479</v>
      </c>
      <c r="N158" s="7">
        <f t="shared" si="56"/>
        <v>0.91055874633419154</v>
      </c>
      <c r="O158" s="1">
        <f t="shared" si="57"/>
        <v>3000</v>
      </c>
      <c r="P158" s="2">
        <f t="shared" si="58"/>
        <v>5.0666302765515319</v>
      </c>
      <c r="Q158" s="2">
        <f t="shared" si="45"/>
        <v>59.616904785181383</v>
      </c>
      <c r="S158" s="1">
        <f t="shared" si="46"/>
        <v>3000</v>
      </c>
      <c r="T158" s="1">
        <f t="shared" si="47"/>
        <v>6487.6712328767135</v>
      </c>
      <c r="V158" s="1">
        <f t="shared" si="59"/>
        <v>6487.6712328767135</v>
      </c>
      <c r="W158" s="1">
        <f t="shared" si="60"/>
        <v>3000</v>
      </c>
    </row>
    <row r="159" spans="1:23" x14ac:dyDescent="0.25">
      <c r="A159" s="2">
        <f t="shared" si="61"/>
        <v>14.699999999999964</v>
      </c>
      <c r="B159" s="7">
        <f t="shared" si="44"/>
        <v>23.68</v>
      </c>
      <c r="C159" s="7">
        <f t="shared" si="48"/>
        <v>1.5626224929400756</v>
      </c>
      <c r="D159" s="7">
        <f t="shared" si="49"/>
        <v>0.91608615694060869</v>
      </c>
      <c r="E159" s="7">
        <f t="shared" si="50"/>
        <v>1</v>
      </c>
      <c r="G159" s="4">
        <f t="shared" si="51"/>
        <v>1469.9999999999961</v>
      </c>
      <c r="H159" s="1">
        <f t="shared" si="62"/>
        <v>1.5413851351350998</v>
      </c>
      <c r="I159" s="1">
        <f t="shared" si="63"/>
        <v>283.47020055462235</v>
      </c>
      <c r="J159" s="1">
        <f t="shared" si="52"/>
        <v>9.4490066851540782</v>
      </c>
      <c r="K159" s="7">
        <f t="shared" si="53"/>
        <v>0.77663068645102018</v>
      </c>
      <c r="L159" s="4">
        <f t="shared" si="54"/>
        <v>6487.6712328767135</v>
      </c>
      <c r="M159" s="1">
        <f t="shared" si="55"/>
        <v>781.31124647003776</v>
      </c>
      <c r="N159" s="7">
        <f t="shared" si="56"/>
        <v>0.91608615694060869</v>
      </c>
      <c r="O159" s="1">
        <f t="shared" si="57"/>
        <v>3000</v>
      </c>
      <c r="P159" s="2">
        <f t="shared" si="58"/>
        <v>5.068890497646712</v>
      </c>
      <c r="Q159" s="2">
        <f t="shared" si="45"/>
        <v>59.982146210269853</v>
      </c>
      <c r="S159" s="1">
        <f t="shared" si="46"/>
        <v>3000</v>
      </c>
      <c r="T159" s="1">
        <f t="shared" si="47"/>
        <v>6487.6712328767135</v>
      </c>
      <c r="V159" s="1">
        <f t="shared" si="59"/>
        <v>6487.6712328767135</v>
      </c>
      <c r="W159" s="1">
        <f t="shared" si="60"/>
        <v>3000</v>
      </c>
    </row>
    <row r="160" spans="1:23" x14ac:dyDescent="0.25">
      <c r="A160" s="2">
        <f t="shared" si="61"/>
        <v>14.799999999999963</v>
      </c>
      <c r="B160" s="7">
        <f t="shared" si="44"/>
        <v>23.68</v>
      </c>
      <c r="C160" s="7">
        <f t="shared" si="48"/>
        <v>1.5633195780103424</v>
      </c>
      <c r="D160" s="7">
        <f t="shared" si="49"/>
        <v>0.9216471208659468</v>
      </c>
      <c r="E160" s="7">
        <f t="shared" si="50"/>
        <v>1</v>
      </c>
      <c r="G160" s="4">
        <f t="shared" si="51"/>
        <v>1479.9999999999964</v>
      </c>
      <c r="H160" s="1">
        <f t="shared" si="62"/>
        <v>1.5413851351351699</v>
      </c>
      <c r="I160" s="1">
        <f t="shared" si="63"/>
        <v>285.01158568975751</v>
      </c>
      <c r="J160" s="1">
        <f t="shared" si="52"/>
        <v>9.5003861896585828</v>
      </c>
      <c r="K160" s="7">
        <f t="shared" si="53"/>
        <v>0.78085365942399321</v>
      </c>
      <c r="L160" s="4">
        <f t="shared" si="54"/>
        <v>6487.6712328767135</v>
      </c>
      <c r="M160" s="1">
        <f t="shared" si="55"/>
        <v>781.65978900517121</v>
      </c>
      <c r="N160" s="7">
        <f t="shared" si="56"/>
        <v>0.9216471208659468</v>
      </c>
      <c r="O160" s="1">
        <f t="shared" si="57"/>
        <v>3000</v>
      </c>
      <c r="P160" s="2">
        <f t="shared" si="58"/>
        <v>5.071151727025331</v>
      </c>
      <c r="Q160" s="2">
        <f t="shared" si="45"/>
        <v>60.349645902974054</v>
      </c>
      <c r="S160" s="1">
        <f t="shared" si="46"/>
        <v>3000</v>
      </c>
      <c r="T160" s="1">
        <f t="shared" si="47"/>
        <v>6487.6712328767135</v>
      </c>
      <c r="V160" s="1">
        <f t="shared" si="59"/>
        <v>6487.6712328767135</v>
      </c>
      <c r="W160" s="1">
        <f t="shared" si="60"/>
        <v>3000</v>
      </c>
    </row>
    <row r="161" spans="1:23" x14ac:dyDescent="0.25">
      <c r="A161" s="2">
        <f t="shared" si="61"/>
        <v>14.899999999999963</v>
      </c>
      <c r="B161" s="7">
        <f t="shared" si="44"/>
        <v>23.68</v>
      </c>
      <c r="C161" s="7">
        <f t="shared" si="48"/>
        <v>1.5640169740498915</v>
      </c>
      <c r="D161" s="7">
        <f t="shared" si="49"/>
        <v>0.92724184179060698</v>
      </c>
      <c r="E161" s="7">
        <f t="shared" si="50"/>
        <v>1</v>
      </c>
      <c r="G161" s="4">
        <f t="shared" si="51"/>
        <v>1489.9999999999961</v>
      </c>
      <c r="H161" s="1">
        <f t="shared" si="62"/>
        <v>1.5413851351350998</v>
      </c>
      <c r="I161" s="1">
        <f t="shared" si="63"/>
        <v>286.55297082489261</v>
      </c>
      <c r="J161" s="1">
        <f t="shared" si="52"/>
        <v>9.5517656941630875</v>
      </c>
      <c r="K161" s="7">
        <f t="shared" si="53"/>
        <v>0.78507663239696601</v>
      </c>
      <c r="L161" s="4">
        <f t="shared" si="54"/>
        <v>6487.6712328767135</v>
      </c>
      <c r="M161" s="1">
        <f t="shared" si="55"/>
        <v>782.00848702494579</v>
      </c>
      <c r="N161" s="7">
        <f t="shared" si="56"/>
        <v>0.92724184179060698</v>
      </c>
      <c r="O161" s="1">
        <f t="shared" si="57"/>
        <v>3000</v>
      </c>
      <c r="P161" s="2">
        <f t="shared" si="58"/>
        <v>5.0734139651371839</v>
      </c>
      <c r="Q161" s="2">
        <f t="shared" si="45"/>
        <v>60.719418079570971</v>
      </c>
      <c r="S161" s="1">
        <f t="shared" si="46"/>
        <v>3000</v>
      </c>
      <c r="T161" s="1">
        <f t="shared" si="47"/>
        <v>6487.6712328767135</v>
      </c>
      <c r="V161" s="1">
        <f t="shared" si="59"/>
        <v>6487.6712328767135</v>
      </c>
      <c r="W161" s="1">
        <f t="shared" si="60"/>
        <v>3000</v>
      </c>
    </row>
    <row r="162" spans="1:23" x14ac:dyDescent="0.25">
      <c r="A162" s="2">
        <f t="shared" si="61"/>
        <v>14.999999999999963</v>
      </c>
      <c r="B162" s="7">
        <f t="shared" si="44"/>
        <v>23.68</v>
      </c>
      <c r="C162" s="7">
        <f t="shared" si="48"/>
        <v>1.5647146811974462</v>
      </c>
      <c r="D162" s="7">
        <f t="shared" si="49"/>
        <v>0.93287052463140208</v>
      </c>
      <c r="E162" s="7">
        <f t="shared" si="50"/>
        <v>1</v>
      </c>
      <c r="G162" s="4">
        <f t="shared" si="51"/>
        <v>1499.9999999999964</v>
      </c>
      <c r="H162" s="1">
        <f t="shared" si="62"/>
        <v>1.5413851351351699</v>
      </c>
      <c r="I162" s="1">
        <f t="shared" si="63"/>
        <v>288.09435596002777</v>
      </c>
      <c r="J162" s="1">
        <f t="shared" si="52"/>
        <v>9.6031451986675922</v>
      </c>
      <c r="K162" s="7">
        <f t="shared" si="53"/>
        <v>0.78929960536993904</v>
      </c>
      <c r="L162" s="4">
        <f t="shared" si="54"/>
        <v>6487.6712328767135</v>
      </c>
      <c r="M162" s="1">
        <f t="shared" si="55"/>
        <v>782.35734059872311</v>
      </c>
      <c r="N162" s="7">
        <f t="shared" si="56"/>
        <v>0.93287052463140208</v>
      </c>
      <c r="O162" s="1">
        <f t="shared" si="57"/>
        <v>3000</v>
      </c>
      <c r="P162" s="2">
        <f t="shared" si="58"/>
        <v>5.0756772124322653</v>
      </c>
      <c r="Q162" s="2">
        <f t="shared" si="45"/>
        <v>61.091477048949152</v>
      </c>
      <c r="S162" s="1">
        <f t="shared" si="46"/>
        <v>3000</v>
      </c>
      <c r="T162" s="1">
        <f t="shared" si="47"/>
        <v>6487.6712328767135</v>
      </c>
      <c r="V162" s="1">
        <f t="shared" si="59"/>
        <v>6487.6712328767135</v>
      </c>
      <c r="W162" s="1">
        <f t="shared" si="60"/>
        <v>3000</v>
      </c>
    </row>
    <row r="163" spans="1:23" x14ac:dyDescent="0.25">
      <c r="A163" s="2">
        <f t="shared" si="61"/>
        <v>15.099999999999962</v>
      </c>
      <c r="B163" s="7">
        <f t="shared" si="44"/>
        <v>23.68</v>
      </c>
      <c r="C163" s="7">
        <f t="shared" si="48"/>
        <v>1.5654126995917919</v>
      </c>
      <c r="D163" s="7">
        <f t="shared" si="49"/>
        <v>0.93853337554906147</v>
      </c>
      <c r="E163" s="7">
        <f t="shared" si="50"/>
        <v>1</v>
      </c>
      <c r="G163" s="4">
        <f t="shared" si="51"/>
        <v>1509.9999999999961</v>
      </c>
      <c r="H163" s="1">
        <f t="shared" si="62"/>
        <v>1.5413851351350998</v>
      </c>
      <c r="I163" s="1">
        <f t="shared" si="63"/>
        <v>289.63574109516287</v>
      </c>
      <c r="J163" s="1">
        <f t="shared" si="52"/>
        <v>9.6545247031720951</v>
      </c>
      <c r="K163" s="7">
        <f t="shared" si="53"/>
        <v>0.79352257834291196</v>
      </c>
      <c r="L163" s="4">
        <f t="shared" si="54"/>
        <v>6487.6712328767135</v>
      </c>
      <c r="M163" s="1">
        <f t="shared" si="55"/>
        <v>782.7063497958959</v>
      </c>
      <c r="N163" s="7">
        <f t="shared" si="56"/>
        <v>0.93853337554906147</v>
      </c>
      <c r="O163" s="1">
        <f t="shared" si="57"/>
        <v>3000</v>
      </c>
      <c r="P163" s="2">
        <f t="shared" si="58"/>
        <v>5.0779414693607725</v>
      </c>
      <c r="Q163" s="2">
        <f t="shared" si="45"/>
        <v>61.465837213250246</v>
      </c>
      <c r="S163" s="1">
        <f t="shared" si="46"/>
        <v>3000</v>
      </c>
      <c r="T163" s="1">
        <f t="shared" si="47"/>
        <v>6487.6712328767135</v>
      </c>
      <c r="V163" s="1">
        <f t="shared" si="59"/>
        <v>6487.6712328767135</v>
      </c>
      <c r="W163" s="1">
        <f t="shared" si="60"/>
        <v>3000</v>
      </c>
    </row>
    <row r="164" spans="1:23" x14ac:dyDescent="0.25">
      <c r="A164" s="2">
        <f t="shared" si="61"/>
        <v>15.199999999999962</v>
      </c>
      <c r="B164" s="7">
        <f t="shared" si="44"/>
        <v>23.68</v>
      </c>
      <c r="C164" s="7">
        <f t="shared" si="48"/>
        <v>1.5661110293717746</v>
      </c>
      <c r="D164" s="7">
        <f t="shared" si="49"/>
        <v>0.9442306019557829</v>
      </c>
      <c r="E164" s="7">
        <f t="shared" si="50"/>
        <v>1</v>
      </c>
      <c r="G164" s="4">
        <f t="shared" si="51"/>
        <v>1519.9999999999959</v>
      </c>
      <c r="H164" s="1">
        <f t="shared" si="62"/>
        <v>1.5413851351350998</v>
      </c>
      <c r="I164" s="1">
        <f t="shared" si="63"/>
        <v>291.17712623029797</v>
      </c>
      <c r="J164" s="1">
        <f t="shared" si="52"/>
        <v>9.7059042076765998</v>
      </c>
      <c r="K164" s="7">
        <f t="shared" si="53"/>
        <v>0.79774555131588487</v>
      </c>
      <c r="L164" s="4">
        <f t="shared" si="54"/>
        <v>6487.6712328767135</v>
      </c>
      <c r="M164" s="1">
        <f t="shared" si="55"/>
        <v>783.05551468588726</v>
      </c>
      <c r="N164" s="7">
        <f t="shared" si="56"/>
        <v>0.9442306019557829</v>
      </c>
      <c r="O164" s="1">
        <f t="shared" si="57"/>
        <v>3000</v>
      </c>
      <c r="P164" s="2">
        <f t="shared" si="58"/>
        <v>5.0802067363730998</v>
      </c>
      <c r="Q164" s="2">
        <f t="shared" si="45"/>
        <v>61.84251306851538</v>
      </c>
      <c r="S164" s="1">
        <f t="shared" si="46"/>
        <v>3000</v>
      </c>
      <c r="T164" s="1">
        <f t="shared" si="47"/>
        <v>6487.6712328767135</v>
      </c>
      <c r="V164" s="1">
        <f t="shared" si="59"/>
        <v>6487.6712328767135</v>
      </c>
      <c r="W164" s="1">
        <f t="shared" si="60"/>
        <v>3000</v>
      </c>
    </row>
    <row r="165" spans="1:23" x14ac:dyDescent="0.25">
      <c r="A165" s="2">
        <f t="shared" si="61"/>
        <v>15.299999999999962</v>
      </c>
      <c r="B165" s="7">
        <f t="shared" si="44"/>
        <v>23.68</v>
      </c>
      <c r="C165" s="7">
        <f t="shared" si="48"/>
        <v>1.5668096706763046</v>
      </c>
      <c r="D165" s="7">
        <f t="shared" si="49"/>
        <v>0.94996241252282865</v>
      </c>
      <c r="E165" s="7">
        <f t="shared" si="50"/>
        <v>1</v>
      </c>
      <c r="G165" s="4">
        <f t="shared" si="51"/>
        <v>1529.9999999999961</v>
      </c>
      <c r="H165" s="1">
        <f t="shared" si="62"/>
        <v>1.5413851351351699</v>
      </c>
      <c r="I165" s="1">
        <f t="shared" si="63"/>
        <v>292.71851136543313</v>
      </c>
      <c r="J165" s="1">
        <f t="shared" si="52"/>
        <v>9.7572837121811045</v>
      </c>
      <c r="K165" s="7">
        <f t="shared" si="53"/>
        <v>0.8019685242888579</v>
      </c>
      <c r="L165" s="4">
        <f t="shared" si="54"/>
        <v>6487.6712328767135</v>
      </c>
      <c r="M165" s="1">
        <f t="shared" si="55"/>
        <v>783.40483533815234</v>
      </c>
      <c r="N165" s="7">
        <f t="shared" si="56"/>
        <v>0.94996241252282865</v>
      </c>
      <c r="O165" s="1">
        <f t="shared" si="57"/>
        <v>3000</v>
      </c>
      <c r="P165" s="2">
        <f t="shared" si="58"/>
        <v>5.0824730139198495</v>
      </c>
      <c r="Q165" s="2">
        <f t="shared" si="45"/>
        <v>62.221519205336541</v>
      </c>
      <c r="S165" s="1">
        <f t="shared" si="46"/>
        <v>3000</v>
      </c>
      <c r="T165" s="1">
        <f t="shared" si="47"/>
        <v>6487.6712328767135</v>
      </c>
      <c r="V165" s="1">
        <f t="shared" si="59"/>
        <v>6487.6712328767135</v>
      </c>
      <c r="W165" s="1">
        <f t="shared" si="60"/>
        <v>3000</v>
      </c>
    </row>
    <row r="166" spans="1:23" x14ac:dyDescent="0.25">
      <c r="A166" s="2">
        <f t="shared" si="61"/>
        <v>15.399999999999961</v>
      </c>
      <c r="B166" s="7">
        <f t="shared" si="44"/>
        <v>23.68</v>
      </c>
      <c r="C166" s="7">
        <f t="shared" si="48"/>
        <v>1.5675086236443521</v>
      </c>
      <c r="D166" s="7">
        <f t="shared" si="49"/>
        <v>0.95572901718816805</v>
      </c>
      <c r="E166" s="7">
        <f t="shared" si="50"/>
        <v>1</v>
      </c>
      <c r="G166" s="4">
        <f t="shared" si="51"/>
        <v>1539.9999999999961</v>
      </c>
      <c r="H166" s="1">
        <f t="shared" si="62"/>
        <v>1.5413851351351349</v>
      </c>
      <c r="I166" s="1">
        <f t="shared" si="63"/>
        <v>294.25989650056829</v>
      </c>
      <c r="J166" s="1">
        <f t="shared" si="52"/>
        <v>9.8086632166856091</v>
      </c>
      <c r="K166" s="7">
        <f t="shared" si="53"/>
        <v>0.80619149726183092</v>
      </c>
      <c r="L166" s="4">
        <f t="shared" si="54"/>
        <v>6487.6712328767135</v>
      </c>
      <c r="M166" s="1">
        <f t="shared" si="55"/>
        <v>783.75431182217608</v>
      </c>
      <c r="N166" s="7">
        <f t="shared" si="56"/>
        <v>0.95572901718816805</v>
      </c>
      <c r="O166" s="1">
        <f t="shared" si="57"/>
        <v>3000</v>
      </c>
      <c r="P166" s="2">
        <f t="shared" si="58"/>
        <v>5.0847403024518174</v>
      </c>
      <c r="Q166" s="2">
        <f t="shared" si="45"/>
        <v>62.602870309512809</v>
      </c>
      <c r="S166" s="1">
        <f t="shared" si="46"/>
        <v>3000</v>
      </c>
      <c r="T166" s="1">
        <f t="shared" si="47"/>
        <v>6487.6712328767135</v>
      </c>
      <c r="V166" s="1">
        <f t="shared" si="59"/>
        <v>6487.6712328767135</v>
      </c>
      <c r="W166" s="1">
        <f t="shared" si="60"/>
        <v>3000</v>
      </c>
    </row>
    <row r="167" spans="1:23" x14ac:dyDescent="0.25">
      <c r="A167" s="2">
        <f t="shared" si="61"/>
        <v>15.499999999999961</v>
      </c>
      <c r="B167" s="7">
        <f t="shared" si="44"/>
        <v>23.68</v>
      </c>
      <c r="C167" s="7">
        <f t="shared" si="48"/>
        <v>1.56820788841495</v>
      </c>
      <c r="D167" s="7">
        <f t="shared" si="49"/>
        <v>0.96153062716416804</v>
      </c>
      <c r="E167" s="7">
        <f t="shared" si="50"/>
        <v>1</v>
      </c>
      <c r="G167" s="4">
        <f t="shared" si="51"/>
        <v>1549.9999999999961</v>
      </c>
      <c r="H167" s="1">
        <f t="shared" si="62"/>
        <v>1.5413851351351349</v>
      </c>
      <c r="I167" s="1">
        <f t="shared" si="63"/>
        <v>295.80128163570345</v>
      </c>
      <c r="J167" s="1">
        <f t="shared" si="52"/>
        <v>9.8600427211901156</v>
      </c>
      <c r="K167" s="7">
        <f t="shared" si="53"/>
        <v>0.81041447023480395</v>
      </c>
      <c r="L167" s="4">
        <f t="shared" si="54"/>
        <v>6487.6712328767135</v>
      </c>
      <c r="M167" s="1">
        <f t="shared" si="55"/>
        <v>784.10394420747502</v>
      </c>
      <c r="N167" s="7">
        <f t="shared" si="56"/>
        <v>0.96153062716416804</v>
      </c>
      <c r="O167" s="1">
        <f t="shared" si="57"/>
        <v>3000</v>
      </c>
      <c r="P167" s="2">
        <f t="shared" si="58"/>
        <v>5.0870086024200027</v>
      </c>
      <c r="Q167" s="2">
        <f t="shared" si="45"/>
        <v>62.986581162711865</v>
      </c>
      <c r="S167" s="1">
        <f t="shared" si="46"/>
        <v>3000</v>
      </c>
      <c r="T167" s="1">
        <f t="shared" si="47"/>
        <v>6487.6712328767135</v>
      </c>
      <c r="V167" s="1">
        <f t="shared" si="59"/>
        <v>6487.6712328767135</v>
      </c>
      <c r="W167" s="1">
        <f t="shared" si="60"/>
        <v>3000</v>
      </c>
    </row>
    <row r="168" spans="1:23" x14ac:dyDescent="0.25">
      <c r="A168" s="2">
        <f t="shared" si="61"/>
        <v>15.599999999999961</v>
      </c>
      <c r="B168" s="7">
        <f t="shared" si="44"/>
        <v>23.68</v>
      </c>
      <c r="C168" s="7">
        <f t="shared" si="48"/>
        <v>1.5689074651271935</v>
      </c>
      <c r="D168" s="7">
        <f t="shared" si="49"/>
        <v>0.96736745494532861</v>
      </c>
      <c r="E168" s="7">
        <f t="shared" si="50"/>
        <v>1</v>
      </c>
      <c r="G168" s="4">
        <f t="shared" si="51"/>
        <v>1559.9999999999961</v>
      </c>
      <c r="H168" s="1">
        <f t="shared" si="62"/>
        <v>1.5413851351351349</v>
      </c>
      <c r="I168" s="1">
        <f t="shared" si="63"/>
        <v>297.3426667708386</v>
      </c>
      <c r="J168" s="1">
        <f t="shared" si="52"/>
        <v>9.9114222256946203</v>
      </c>
      <c r="K168" s="7">
        <f t="shared" si="53"/>
        <v>0.81463744320777698</v>
      </c>
      <c r="L168" s="4">
        <f t="shared" si="54"/>
        <v>6487.6712328767135</v>
      </c>
      <c r="M168" s="1">
        <f t="shared" si="55"/>
        <v>784.45373256359676</v>
      </c>
      <c r="N168" s="7">
        <f t="shared" si="56"/>
        <v>0.96736745494532861</v>
      </c>
      <c r="O168" s="1">
        <f t="shared" si="57"/>
        <v>3000</v>
      </c>
      <c r="P168" s="2">
        <f t="shared" si="58"/>
        <v>5.0892779142756099</v>
      </c>
      <c r="Q168" s="2">
        <f t="shared" si="45"/>
        <v>63.372666643136391</v>
      </c>
      <c r="S168" s="1">
        <f t="shared" si="46"/>
        <v>3000</v>
      </c>
      <c r="T168" s="1">
        <f t="shared" si="47"/>
        <v>6487.6712328767135</v>
      </c>
      <c r="V168" s="1">
        <f t="shared" si="59"/>
        <v>6487.6712328767135</v>
      </c>
      <c r="W168" s="1">
        <f t="shared" si="60"/>
        <v>3000</v>
      </c>
    </row>
    <row r="169" spans="1:23" x14ac:dyDescent="0.25">
      <c r="A169" s="2">
        <f t="shared" si="61"/>
        <v>15.69999999999996</v>
      </c>
      <c r="B169" s="7">
        <f t="shared" si="44"/>
        <v>23.68</v>
      </c>
      <c r="C169" s="7">
        <f t="shared" si="48"/>
        <v>1.5696073539202393</v>
      </c>
      <c r="D169" s="7">
        <f t="shared" si="49"/>
        <v>0.9732397143160656</v>
      </c>
      <c r="E169" s="7">
        <f t="shared" si="50"/>
        <v>1</v>
      </c>
      <c r="G169" s="4">
        <f t="shared" si="51"/>
        <v>1569.9999999999961</v>
      </c>
      <c r="H169" s="1">
        <f t="shared" si="62"/>
        <v>1.5413851351351349</v>
      </c>
      <c r="I169" s="1">
        <f t="shared" si="63"/>
        <v>298.88405190597376</v>
      </c>
      <c r="J169" s="1">
        <f t="shared" si="52"/>
        <v>9.962801730199125</v>
      </c>
      <c r="K169" s="7">
        <f t="shared" si="53"/>
        <v>0.81886041618075001</v>
      </c>
      <c r="L169" s="4">
        <f t="shared" si="54"/>
        <v>6487.6712328767135</v>
      </c>
      <c r="M169" s="1">
        <f t="shared" si="55"/>
        <v>784.80367696011967</v>
      </c>
      <c r="N169" s="7">
        <f t="shared" si="56"/>
        <v>0.9732397143160656</v>
      </c>
      <c r="O169" s="1">
        <f t="shared" si="57"/>
        <v>3000</v>
      </c>
      <c r="P169" s="2">
        <f t="shared" si="58"/>
        <v>5.0915482384700379</v>
      </c>
      <c r="Q169" s="2">
        <f t="shared" si="45"/>
        <v>63.761141726195582</v>
      </c>
      <c r="S169" s="1">
        <f t="shared" si="46"/>
        <v>3000</v>
      </c>
      <c r="T169" s="1">
        <f t="shared" si="47"/>
        <v>6487.6712328767135</v>
      </c>
      <c r="V169" s="1">
        <f t="shared" si="59"/>
        <v>6487.6712328767135</v>
      </c>
      <c r="W169" s="1">
        <f t="shared" si="60"/>
        <v>3000</v>
      </c>
    </row>
    <row r="170" spans="1:23" x14ac:dyDescent="0.25">
      <c r="A170" s="2">
        <f t="shared" si="61"/>
        <v>15.79999999999996</v>
      </c>
      <c r="B170" s="7">
        <f t="shared" si="44"/>
        <v>23.68</v>
      </c>
      <c r="C170" s="7">
        <f t="shared" si="48"/>
        <v>1.570307554933307</v>
      </c>
      <c r="D170" s="7">
        <f t="shared" si="49"/>
        <v>0.97914762035854153</v>
      </c>
      <c r="E170" s="7">
        <f t="shared" si="50"/>
        <v>1</v>
      </c>
      <c r="G170" s="4">
        <f t="shared" si="51"/>
        <v>1579.9999999999959</v>
      </c>
      <c r="H170" s="1">
        <f t="shared" si="62"/>
        <v>1.5413851351350998</v>
      </c>
      <c r="I170" s="1">
        <f t="shared" si="63"/>
        <v>300.42543704110886</v>
      </c>
      <c r="J170" s="1">
        <f t="shared" si="52"/>
        <v>10.01418123470363</v>
      </c>
      <c r="K170" s="7">
        <f t="shared" si="53"/>
        <v>0.82308338915372292</v>
      </c>
      <c r="L170" s="4">
        <f t="shared" si="54"/>
        <v>6487.6712328767135</v>
      </c>
      <c r="M170" s="1">
        <f t="shared" si="55"/>
        <v>785.15377746665354</v>
      </c>
      <c r="N170" s="7">
        <f t="shared" si="56"/>
        <v>0.97914762035854153</v>
      </c>
      <c r="O170" s="1">
        <f t="shared" si="57"/>
        <v>3000</v>
      </c>
      <c r="P170" s="2">
        <f t="shared" si="58"/>
        <v>5.0938195754548925</v>
      </c>
      <c r="Q170" s="2">
        <f t="shared" si="45"/>
        <v>64.152021485182047</v>
      </c>
      <c r="S170" s="1">
        <f t="shared" si="46"/>
        <v>3000</v>
      </c>
      <c r="T170" s="1">
        <f t="shared" si="47"/>
        <v>6487.6712328767135</v>
      </c>
      <c r="V170" s="1">
        <f t="shared" si="59"/>
        <v>6487.6712328767135</v>
      </c>
      <c r="W170" s="1">
        <f t="shared" si="60"/>
        <v>3000</v>
      </c>
    </row>
    <row r="171" spans="1:23" x14ac:dyDescent="0.25">
      <c r="A171" s="2">
        <f t="shared" si="61"/>
        <v>15.899999999999959</v>
      </c>
      <c r="B171" s="7">
        <f t="shared" si="44"/>
        <v>23.68</v>
      </c>
      <c r="C171" s="7">
        <f t="shared" si="48"/>
        <v>1.5710080683056773</v>
      </c>
      <c r="D171" s="7">
        <f t="shared" si="49"/>
        <v>0.98509138946054231</v>
      </c>
      <c r="E171" s="7">
        <f t="shared" si="50"/>
        <v>1</v>
      </c>
      <c r="G171" s="4">
        <f t="shared" si="51"/>
        <v>1589.9999999999959</v>
      </c>
      <c r="H171" s="1">
        <f t="shared" si="62"/>
        <v>1.5413851351351349</v>
      </c>
      <c r="I171" s="1">
        <f t="shared" si="63"/>
        <v>301.96682217624402</v>
      </c>
      <c r="J171" s="1">
        <f t="shared" si="52"/>
        <v>10.065560739208134</v>
      </c>
      <c r="K171" s="7">
        <f t="shared" si="53"/>
        <v>0.82730636212669595</v>
      </c>
      <c r="L171" s="4">
        <f t="shared" si="54"/>
        <v>6487.6712328767135</v>
      </c>
      <c r="M171" s="1">
        <f t="shared" si="55"/>
        <v>785.5040341528387</v>
      </c>
      <c r="N171" s="7">
        <f t="shared" si="56"/>
        <v>0.98509138946054231</v>
      </c>
      <c r="O171" s="1">
        <f t="shared" si="57"/>
        <v>3000</v>
      </c>
      <c r="P171" s="2">
        <f t="shared" si="58"/>
        <v>5.0960919256819794</v>
      </c>
      <c r="Q171" s="2">
        <f t="shared" si="45"/>
        <v>64.54532109195361</v>
      </c>
      <c r="S171" s="1">
        <f t="shared" si="46"/>
        <v>3000</v>
      </c>
      <c r="T171" s="1">
        <f t="shared" si="47"/>
        <v>6487.6712328767135</v>
      </c>
      <c r="V171" s="1">
        <f t="shared" si="59"/>
        <v>6487.6712328767135</v>
      </c>
      <c r="W171" s="1">
        <f t="shared" si="60"/>
        <v>3000</v>
      </c>
    </row>
    <row r="172" spans="1:23" x14ac:dyDescent="0.25">
      <c r="A172" s="2">
        <f t="shared" si="61"/>
        <v>15.999999999999959</v>
      </c>
      <c r="B172" s="7">
        <f t="shared" ref="B172:B235" si="64">IF(A172&lt;=$B$2,$B$3*EXP(A172*$B$4),IF(A172&lt;$B$7,$B$6,IF($B$8*EXP(A172*$B$9)&gt;$B$6,$B$6,$B$8*EXP(A172*$B$9))))</f>
        <v>23.68</v>
      </c>
      <c r="C172" s="7">
        <f t="shared" si="48"/>
        <v>1.5717088941766939</v>
      </c>
      <c r="D172" s="7">
        <f t="shared" si="49"/>
        <v>0.99107123932340457</v>
      </c>
      <c r="E172" s="7">
        <f t="shared" si="50"/>
        <v>1</v>
      </c>
      <c r="G172" s="4">
        <f t="shared" si="51"/>
        <v>1599.9999999999959</v>
      </c>
      <c r="H172" s="1">
        <f t="shared" si="62"/>
        <v>1.5413851351351349</v>
      </c>
      <c r="I172" s="1">
        <f t="shared" si="63"/>
        <v>303.50820731137918</v>
      </c>
      <c r="J172" s="1">
        <f t="shared" si="52"/>
        <v>10.116940243712639</v>
      </c>
      <c r="K172" s="7">
        <f t="shared" si="53"/>
        <v>0.83152933509966898</v>
      </c>
      <c r="L172" s="4">
        <f t="shared" si="54"/>
        <v>6487.6712328767135</v>
      </c>
      <c r="M172" s="1">
        <f t="shared" si="55"/>
        <v>785.854447088347</v>
      </c>
      <c r="N172" s="7">
        <f t="shared" si="56"/>
        <v>0.99107123932340457</v>
      </c>
      <c r="O172" s="1">
        <f t="shared" si="57"/>
        <v>3000</v>
      </c>
      <c r="P172" s="2">
        <f t="shared" si="58"/>
        <v>5.0983652896033043</v>
      </c>
      <c r="Q172" s="2">
        <f t="shared" si="45"/>
        <v>64.941055817620637</v>
      </c>
      <c r="S172" s="1">
        <f t="shared" si="46"/>
        <v>3000</v>
      </c>
      <c r="T172" s="1">
        <f t="shared" si="47"/>
        <v>6487.6712328767135</v>
      </c>
      <c r="V172" s="1">
        <f t="shared" si="59"/>
        <v>6487.6712328767135</v>
      </c>
      <c r="W172" s="1">
        <f t="shared" si="60"/>
        <v>3000</v>
      </c>
    </row>
    <row r="173" spans="1:23" x14ac:dyDescent="0.25">
      <c r="A173" s="2">
        <f t="shared" si="61"/>
        <v>16.099999999999959</v>
      </c>
      <c r="B173" s="7">
        <f t="shared" si="64"/>
        <v>23.68</v>
      </c>
      <c r="C173" s="7">
        <f t="shared" si="48"/>
        <v>1.5724100326857617</v>
      </c>
      <c r="D173" s="7">
        <f t="shared" si="49"/>
        <v>0.99708738896998717</v>
      </c>
      <c r="E173" s="7">
        <f t="shared" si="50"/>
        <v>1</v>
      </c>
      <c r="G173" s="4">
        <f t="shared" si="51"/>
        <v>1609.9999999999959</v>
      </c>
      <c r="H173" s="1">
        <f t="shared" si="62"/>
        <v>1.5413851351351349</v>
      </c>
      <c r="I173" s="1">
        <f t="shared" si="63"/>
        <v>305.04959244651434</v>
      </c>
      <c r="J173" s="1">
        <f t="shared" si="52"/>
        <v>10.168319748217145</v>
      </c>
      <c r="K173" s="7">
        <f t="shared" si="53"/>
        <v>0.835752308072642</v>
      </c>
      <c r="L173" s="4">
        <f t="shared" si="54"/>
        <v>6487.6712328767135</v>
      </c>
      <c r="M173" s="1">
        <f t="shared" si="55"/>
        <v>786.20501634288087</v>
      </c>
      <c r="N173" s="7">
        <f t="shared" si="56"/>
        <v>0.99708738896998717</v>
      </c>
      <c r="O173" s="1">
        <f t="shared" si="57"/>
        <v>3000</v>
      </c>
      <c r="P173" s="2">
        <f t="shared" si="58"/>
        <v>5.1006396676710741</v>
      </c>
      <c r="Q173" s="2">
        <f>IFERROR(N173/100*L173/(1-N173/100),L173*100)</f>
        <v>65.339241033238523</v>
      </c>
      <c r="S173" s="1">
        <f t="shared" si="46"/>
        <v>3000</v>
      </c>
      <c r="T173" s="1">
        <f t="shared" si="47"/>
        <v>6487.6712328767135</v>
      </c>
      <c r="V173" s="1">
        <f t="shared" si="59"/>
        <v>6487.6712328767135</v>
      </c>
      <c r="W173" s="1">
        <f t="shared" si="60"/>
        <v>3000</v>
      </c>
    </row>
    <row r="174" spans="1:23" x14ac:dyDescent="0.25">
      <c r="A174" s="2">
        <f t="shared" si="61"/>
        <v>16.19999999999996</v>
      </c>
      <c r="B174" s="7">
        <f t="shared" si="64"/>
        <v>23.68</v>
      </c>
      <c r="C174" s="7">
        <f t="shared" si="48"/>
        <v>1.5731114839723492</v>
      </c>
      <c r="D174" s="7">
        <f t="shared" si="49"/>
        <v>1.0031400587526953</v>
      </c>
      <c r="E174" s="7">
        <f t="shared" si="50"/>
        <v>1</v>
      </c>
      <c r="G174" s="4">
        <f t="shared" si="51"/>
        <v>1619.9999999999959</v>
      </c>
      <c r="H174" s="1">
        <f t="shared" si="62"/>
        <v>1.5413851351351349</v>
      </c>
      <c r="I174" s="1">
        <f t="shared" si="63"/>
        <v>306.5909775816495</v>
      </c>
      <c r="J174" s="1">
        <f t="shared" si="52"/>
        <v>10.21969925272165</v>
      </c>
      <c r="K174" s="7">
        <f t="shared" si="53"/>
        <v>0.83997528104561503</v>
      </c>
      <c r="L174" s="4">
        <f t="shared" si="54"/>
        <v>6487.6712328767135</v>
      </c>
      <c r="M174" s="1">
        <f t="shared" si="55"/>
        <v>786.55574198617467</v>
      </c>
      <c r="N174" s="7">
        <f t="shared" si="56"/>
        <v>1.0031400587526953</v>
      </c>
      <c r="O174" s="1">
        <f t="shared" si="57"/>
        <v>3000</v>
      </c>
      <c r="P174" s="2">
        <f t="shared" si="58"/>
        <v>5.102915060337704</v>
      </c>
      <c r="Q174" s="2">
        <f t="shared" si="45"/>
        <v>65.739892210505602</v>
      </c>
      <c r="S174" s="1">
        <f t="shared" si="46"/>
        <v>3000</v>
      </c>
      <c r="T174" s="1">
        <f t="shared" si="47"/>
        <v>6487.6712328767135</v>
      </c>
      <c r="V174" s="1">
        <f t="shared" si="59"/>
        <v>6487.6712328767135</v>
      </c>
      <c r="W174" s="1">
        <f t="shared" si="60"/>
        <v>3000</v>
      </c>
    </row>
    <row r="175" spans="1:23" x14ac:dyDescent="0.25">
      <c r="A175" s="2">
        <f t="shared" si="61"/>
        <v>16.299999999999962</v>
      </c>
      <c r="B175" s="7">
        <f t="shared" si="64"/>
        <v>23.68</v>
      </c>
      <c r="C175" s="7">
        <f t="shared" si="48"/>
        <v>1.5738132481759854</v>
      </c>
      <c r="D175" s="7">
        <f t="shared" si="49"/>
        <v>1.0092294703615501</v>
      </c>
      <c r="E175" s="7">
        <f t="shared" si="50"/>
        <v>1</v>
      </c>
      <c r="G175" s="4">
        <f t="shared" si="51"/>
        <v>1629.9999999999961</v>
      </c>
      <c r="H175" s="1">
        <f t="shared" si="62"/>
        <v>1.5413851351351699</v>
      </c>
      <c r="I175" s="1">
        <f t="shared" si="63"/>
        <v>308.13236271678466</v>
      </c>
      <c r="J175" s="1">
        <f t="shared" si="52"/>
        <v>10.271078757226155</v>
      </c>
      <c r="K175" s="7">
        <f t="shared" si="53"/>
        <v>0.84419825401858806</v>
      </c>
      <c r="L175" s="4">
        <f t="shared" si="54"/>
        <v>6487.6712328767135</v>
      </c>
      <c r="M175" s="1">
        <f t="shared" si="55"/>
        <v>786.90662408799267</v>
      </c>
      <c r="N175" s="7">
        <f t="shared" si="56"/>
        <v>1.0092294703615501</v>
      </c>
      <c r="O175" s="1">
        <f t="shared" si="57"/>
        <v>3000</v>
      </c>
      <c r="P175" s="2">
        <f t="shared" si="58"/>
        <v>5.1051914680557999</v>
      </c>
      <c r="Q175" s="2">
        <f t="shared" si="45"/>
        <v>66.143024922466424</v>
      </c>
      <c r="S175" s="1">
        <f t="shared" si="46"/>
        <v>3000</v>
      </c>
      <c r="T175" s="1">
        <f t="shared" si="47"/>
        <v>6487.6712328767135</v>
      </c>
      <c r="V175" s="1">
        <f t="shared" si="59"/>
        <v>6487.6712328767135</v>
      </c>
      <c r="W175" s="1">
        <f t="shared" si="60"/>
        <v>3000</v>
      </c>
    </row>
    <row r="176" spans="1:23" x14ac:dyDescent="0.25">
      <c r="A176" s="2">
        <f t="shared" si="61"/>
        <v>16.399999999999963</v>
      </c>
      <c r="B176" s="7">
        <f t="shared" si="64"/>
        <v>23.68</v>
      </c>
      <c r="C176" s="7">
        <f t="shared" si="48"/>
        <v>1.5745153254362634</v>
      </c>
      <c r="D176" s="7">
        <f t="shared" si="49"/>
        <v>1.0153558468323087</v>
      </c>
      <c r="E176" s="7">
        <f t="shared" si="50"/>
        <v>1</v>
      </c>
      <c r="G176" s="4">
        <f t="shared" si="51"/>
        <v>1639.9999999999961</v>
      </c>
      <c r="H176" s="1">
        <f t="shared" si="62"/>
        <v>1.5413851351351349</v>
      </c>
      <c r="I176" s="1">
        <f t="shared" si="63"/>
        <v>309.67374785191981</v>
      </c>
      <c r="J176" s="1">
        <f t="shared" si="52"/>
        <v>10.322458261730661</v>
      </c>
      <c r="K176" s="7">
        <f t="shared" si="53"/>
        <v>0.84842122699156108</v>
      </c>
      <c r="L176" s="4">
        <f t="shared" si="54"/>
        <v>6487.6712328767135</v>
      </c>
      <c r="M176" s="1">
        <f t="shared" si="55"/>
        <v>787.25766271813166</v>
      </c>
      <c r="N176" s="7">
        <f t="shared" si="56"/>
        <v>1.0153558468323087</v>
      </c>
      <c r="O176" s="1">
        <f t="shared" si="57"/>
        <v>3000</v>
      </c>
      <c r="P176" s="2">
        <f t="shared" si="58"/>
        <v>5.1074688912781809</v>
      </c>
      <c r="Q176" s="2">
        <f t="shared" ref="Q176:Q239" si="65">IFERROR(N176/100*L176/(1-N176/100),L176*100)</f>
        <v>66.548654844220493</v>
      </c>
      <c r="S176" s="1">
        <f t="shared" si="46"/>
        <v>3000</v>
      </c>
      <c r="T176" s="1">
        <f t="shared" si="47"/>
        <v>6487.6712328767135</v>
      </c>
      <c r="V176" s="1">
        <f t="shared" si="59"/>
        <v>6487.6712328767135</v>
      </c>
      <c r="W176" s="1">
        <f t="shared" si="60"/>
        <v>3000</v>
      </c>
    </row>
    <row r="177" spans="1:23" x14ac:dyDescent="0.25">
      <c r="A177" s="2">
        <f t="shared" si="61"/>
        <v>16.499999999999964</v>
      </c>
      <c r="B177" s="7">
        <f t="shared" si="64"/>
        <v>23.68</v>
      </c>
      <c r="C177" s="7">
        <f t="shared" si="48"/>
        <v>1.5752177158928364</v>
      </c>
      <c r="D177" s="7">
        <f t="shared" si="49"/>
        <v>1.0215194125546339</v>
      </c>
      <c r="E177" s="7">
        <f t="shared" si="50"/>
        <v>1</v>
      </c>
      <c r="G177" s="4">
        <f t="shared" si="51"/>
        <v>1649.9999999999964</v>
      </c>
      <c r="H177" s="1">
        <f t="shared" si="62"/>
        <v>1.5413851351351699</v>
      </c>
      <c r="I177" s="1">
        <f t="shared" si="63"/>
        <v>311.21513298705497</v>
      </c>
      <c r="J177" s="1">
        <f t="shared" si="52"/>
        <v>10.373837766235166</v>
      </c>
      <c r="K177" s="7">
        <f t="shared" si="53"/>
        <v>0.85264419996453422</v>
      </c>
      <c r="L177" s="4">
        <f t="shared" si="54"/>
        <v>6487.6712328767135</v>
      </c>
      <c r="M177" s="1">
        <f t="shared" si="55"/>
        <v>787.6088579464182</v>
      </c>
      <c r="N177" s="7">
        <f t="shared" si="56"/>
        <v>1.0215194125546339</v>
      </c>
      <c r="O177" s="1">
        <f t="shared" si="57"/>
        <v>3000</v>
      </c>
      <c r="P177" s="2">
        <f t="shared" si="58"/>
        <v>5.1097473304578598</v>
      </c>
      <c r="Q177" s="2">
        <f t="shared" si="65"/>
        <v>66.956797753636522</v>
      </c>
      <c r="S177" s="1">
        <f t="shared" si="46"/>
        <v>3000</v>
      </c>
      <c r="T177" s="1">
        <f t="shared" si="47"/>
        <v>6487.6712328767135</v>
      </c>
      <c r="V177" s="1">
        <f t="shared" si="59"/>
        <v>6487.6712328767135</v>
      </c>
      <c r="W177" s="1">
        <f t="shared" si="60"/>
        <v>3000</v>
      </c>
    </row>
    <row r="178" spans="1:23" x14ac:dyDescent="0.25">
      <c r="A178" s="2">
        <f t="shared" si="61"/>
        <v>16.599999999999966</v>
      </c>
      <c r="B178" s="7">
        <f t="shared" si="64"/>
        <v>23.68</v>
      </c>
      <c r="C178" s="7">
        <f t="shared" si="48"/>
        <v>1.5759204196854222</v>
      </c>
      <c r="D178" s="7">
        <f t="shared" si="49"/>
        <v>1.0277203932803116</v>
      </c>
      <c r="E178" s="7">
        <f t="shared" si="50"/>
        <v>1</v>
      </c>
      <c r="G178" s="4">
        <f t="shared" si="51"/>
        <v>1659.9999999999966</v>
      </c>
      <c r="H178" s="1">
        <f t="shared" si="62"/>
        <v>1.5413851351351699</v>
      </c>
      <c r="I178" s="1">
        <f t="shared" si="63"/>
        <v>312.75651812219013</v>
      </c>
      <c r="J178" s="1">
        <f t="shared" si="52"/>
        <v>10.425217270739671</v>
      </c>
      <c r="K178" s="7">
        <f t="shared" si="53"/>
        <v>0.85686717293750725</v>
      </c>
      <c r="L178" s="4">
        <f t="shared" si="54"/>
        <v>6487.6712328767135</v>
      </c>
      <c r="M178" s="1">
        <f t="shared" si="55"/>
        <v>787.96020984271104</v>
      </c>
      <c r="N178" s="7">
        <f t="shared" si="56"/>
        <v>1.0277203932803116</v>
      </c>
      <c r="O178" s="1">
        <f t="shared" si="57"/>
        <v>3000</v>
      </c>
      <c r="P178" s="2">
        <f t="shared" si="58"/>
        <v>5.1120267860480544</v>
      </c>
      <c r="Q178" s="2">
        <f t="shared" si="65"/>
        <v>67.367469532072207</v>
      </c>
      <c r="S178" s="1">
        <f t="shared" si="46"/>
        <v>3000</v>
      </c>
      <c r="T178" s="1">
        <f t="shared" si="47"/>
        <v>6487.6712328767135</v>
      </c>
      <c r="V178" s="1">
        <f t="shared" si="59"/>
        <v>6487.6712328767135</v>
      </c>
      <c r="W178" s="1">
        <f t="shared" si="60"/>
        <v>3000</v>
      </c>
    </row>
    <row r="179" spans="1:23" x14ac:dyDescent="0.25">
      <c r="A179" s="2">
        <f t="shared" si="61"/>
        <v>16.699999999999967</v>
      </c>
      <c r="B179" s="7">
        <f t="shared" si="64"/>
        <v>23.68</v>
      </c>
      <c r="C179" s="7">
        <f t="shared" si="48"/>
        <v>1.5766234369537995</v>
      </c>
      <c r="D179" s="7">
        <f t="shared" si="49"/>
        <v>1.0339590161315206</v>
      </c>
      <c r="E179" s="7">
        <f t="shared" si="50"/>
        <v>1</v>
      </c>
      <c r="G179" s="4">
        <f t="shared" si="51"/>
        <v>1669.9999999999968</v>
      </c>
      <c r="H179" s="1">
        <f t="shared" si="62"/>
        <v>1.5413851351351699</v>
      </c>
      <c r="I179" s="1">
        <f t="shared" si="63"/>
        <v>314.29790325732529</v>
      </c>
      <c r="J179" s="1">
        <f t="shared" si="52"/>
        <v>10.476596775244177</v>
      </c>
      <c r="K179" s="7">
        <f t="shared" si="53"/>
        <v>0.86109014591048028</v>
      </c>
      <c r="L179" s="4">
        <f t="shared" si="54"/>
        <v>6487.6712328767135</v>
      </c>
      <c r="M179" s="1">
        <f t="shared" si="55"/>
        <v>788.31171847689973</v>
      </c>
      <c r="N179" s="7">
        <f t="shared" si="56"/>
        <v>1.0339590161315206</v>
      </c>
      <c r="O179" s="1">
        <f t="shared" si="57"/>
        <v>3000</v>
      </c>
      <c r="P179" s="2">
        <f t="shared" si="58"/>
        <v>5.1143072585021887</v>
      </c>
      <c r="Q179" s="2">
        <f t="shared" si="65"/>
        <v>67.780686165099624</v>
      </c>
      <c r="S179" s="1">
        <f t="shared" si="46"/>
        <v>3000</v>
      </c>
      <c r="T179" s="1">
        <f t="shared" si="47"/>
        <v>6487.6712328767135</v>
      </c>
      <c r="V179" s="1">
        <f t="shared" si="59"/>
        <v>6487.6712328767135</v>
      </c>
      <c r="W179" s="1">
        <f t="shared" si="60"/>
        <v>3000</v>
      </c>
    </row>
    <row r="180" spans="1:23" x14ac:dyDescent="0.25">
      <c r="A180" s="2">
        <f t="shared" si="61"/>
        <v>16.799999999999969</v>
      </c>
      <c r="B180" s="7">
        <f t="shared" si="64"/>
        <v>23.68</v>
      </c>
      <c r="C180" s="7">
        <f t="shared" si="48"/>
        <v>1.5773267678378091</v>
      </c>
      <c r="D180" s="7">
        <f t="shared" si="49"/>
        <v>1.0402355096091516</v>
      </c>
      <c r="E180" s="7">
        <f t="shared" si="50"/>
        <v>1</v>
      </c>
      <c r="G180" s="4">
        <f t="shared" si="51"/>
        <v>1679.9999999999968</v>
      </c>
      <c r="H180" s="1">
        <f t="shared" si="62"/>
        <v>1.5413851351351349</v>
      </c>
      <c r="I180" s="1">
        <f t="shared" si="63"/>
        <v>315.83928839246045</v>
      </c>
      <c r="J180" s="1">
        <f t="shared" si="52"/>
        <v>10.527976279748682</v>
      </c>
      <c r="K180" s="7">
        <f t="shared" si="53"/>
        <v>0.8653131188834533</v>
      </c>
      <c r="L180" s="4">
        <f t="shared" si="54"/>
        <v>6487.6712328767135</v>
      </c>
      <c r="M180" s="1">
        <f t="shared" si="55"/>
        <v>788.66338391890451</v>
      </c>
      <c r="N180" s="7">
        <f t="shared" si="56"/>
        <v>1.0402355096091516</v>
      </c>
      <c r="O180" s="1">
        <f t="shared" si="57"/>
        <v>3000</v>
      </c>
      <c r="P180" s="2">
        <f t="shared" si="58"/>
        <v>5.1165887482738803</v>
      </c>
      <c r="Q180" s="2">
        <f t="shared" si="65"/>
        <v>68.196463743236279</v>
      </c>
      <c r="S180" s="1">
        <f t="shared" si="46"/>
        <v>3000</v>
      </c>
      <c r="T180" s="1">
        <f t="shared" si="47"/>
        <v>6487.6712328767135</v>
      </c>
      <c r="V180" s="1">
        <f t="shared" si="59"/>
        <v>6487.6712328767135</v>
      </c>
      <c r="W180" s="1">
        <f t="shared" si="60"/>
        <v>3000</v>
      </c>
    </row>
    <row r="181" spans="1:23" x14ac:dyDescent="0.25">
      <c r="A181" s="2">
        <f t="shared" si="61"/>
        <v>16.89999999999997</v>
      </c>
      <c r="B181" s="7">
        <f t="shared" si="64"/>
        <v>23.68</v>
      </c>
      <c r="C181" s="7">
        <f t="shared" si="48"/>
        <v>1.5780304124773556</v>
      </c>
      <c r="D181" s="7">
        <f t="shared" si="49"/>
        <v>1.046550103601174</v>
      </c>
      <c r="E181" s="7">
        <f t="shared" si="50"/>
        <v>1</v>
      </c>
      <c r="G181" s="4">
        <f t="shared" si="51"/>
        <v>1689.999999999997</v>
      </c>
      <c r="H181" s="1">
        <f t="shared" si="62"/>
        <v>1.5413851351351699</v>
      </c>
      <c r="I181" s="1">
        <f t="shared" si="63"/>
        <v>317.3806735275956</v>
      </c>
      <c r="J181" s="1">
        <f t="shared" si="52"/>
        <v>10.579355784253186</v>
      </c>
      <c r="K181" s="7">
        <f t="shared" si="53"/>
        <v>0.86953609185642633</v>
      </c>
      <c r="L181" s="4">
        <f t="shared" si="54"/>
        <v>6487.6712328767135</v>
      </c>
      <c r="M181" s="1">
        <f t="shared" si="55"/>
        <v>789.01520623867782</v>
      </c>
      <c r="N181" s="7">
        <f t="shared" si="56"/>
        <v>1.046550103601174</v>
      </c>
      <c r="O181" s="1">
        <f t="shared" si="57"/>
        <v>3000</v>
      </c>
      <c r="P181" s="2">
        <f t="shared" si="58"/>
        <v>5.1188712558169573</v>
      </c>
      <c r="Q181" s="2">
        <f t="shared" si="65"/>
        <v>68.614818462681754</v>
      </c>
      <c r="S181" s="1">
        <f t="shared" si="46"/>
        <v>3000</v>
      </c>
      <c r="T181" s="1">
        <f t="shared" si="47"/>
        <v>6487.6712328767135</v>
      </c>
      <c r="V181" s="1">
        <f t="shared" si="59"/>
        <v>6487.6712328767135</v>
      </c>
      <c r="W181" s="1">
        <f t="shared" si="60"/>
        <v>3000</v>
      </c>
    </row>
    <row r="182" spans="1:23" x14ac:dyDescent="0.25">
      <c r="A182" s="2">
        <f t="shared" si="61"/>
        <v>16.999999999999972</v>
      </c>
      <c r="B182" s="7">
        <f t="shared" si="64"/>
        <v>23.68</v>
      </c>
      <c r="C182" s="7">
        <f t="shared" si="48"/>
        <v>1.5787343710124049</v>
      </c>
      <c r="D182" s="7">
        <f t="shared" si="49"/>
        <v>1.0529030293910593</v>
      </c>
      <c r="E182" s="7">
        <f t="shared" si="50"/>
        <v>1</v>
      </c>
      <c r="G182" s="4">
        <f t="shared" si="51"/>
        <v>1699.999999999997</v>
      </c>
      <c r="H182" s="1">
        <f t="shared" si="62"/>
        <v>1.5413851351351349</v>
      </c>
      <c r="I182" s="1">
        <f t="shared" si="63"/>
        <v>318.92205866273076</v>
      </c>
      <c r="J182" s="1">
        <f t="shared" si="52"/>
        <v>10.630735288757693</v>
      </c>
      <c r="K182" s="7">
        <f t="shared" si="53"/>
        <v>0.87375906482939936</v>
      </c>
      <c r="L182" s="4">
        <f t="shared" si="54"/>
        <v>6487.6712328767135</v>
      </c>
      <c r="M182" s="1">
        <f t="shared" si="55"/>
        <v>789.36718550620242</v>
      </c>
      <c r="N182" s="7">
        <f t="shared" si="56"/>
        <v>1.0529030293910593</v>
      </c>
      <c r="O182" s="1">
        <f t="shared" si="57"/>
        <v>3000</v>
      </c>
      <c r="P182" s="2">
        <f t="shared" si="58"/>
        <v>5.1211547815854459</v>
      </c>
      <c r="Q182" s="2">
        <f t="shared" si="65"/>
        <v>69.035766626060322</v>
      </c>
      <c r="S182" s="1">
        <f t="shared" si="46"/>
        <v>3000</v>
      </c>
      <c r="T182" s="1">
        <f t="shared" si="47"/>
        <v>6487.6712328767135</v>
      </c>
      <c r="V182" s="1">
        <f t="shared" si="59"/>
        <v>6487.6712328767135</v>
      </c>
      <c r="W182" s="1">
        <f t="shared" si="60"/>
        <v>3000</v>
      </c>
    </row>
    <row r="183" spans="1:23" x14ac:dyDescent="0.25">
      <c r="A183" s="2">
        <f t="shared" si="61"/>
        <v>17.099999999999973</v>
      </c>
      <c r="B183" s="7">
        <f t="shared" si="64"/>
        <v>23.68</v>
      </c>
      <c r="C183" s="7">
        <f t="shared" si="48"/>
        <v>1.5794386435829852</v>
      </c>
      <c r="D183" s="7">
        <f t="shared" si="49"/>
        <v>1.0592945196662502</v>
      </c>
      <c r="E183" s="7">
        <f t="shared" si="50"/>
        <v>1</v>
      </c>
      <c r="G183" s="4">
        <f t="shared" si="51"/>
        <v>1709.9999999999973</v>
      </c>
      <c r="H183" s="1">
        <f t="shared" si="62"/>
        <v>1.5413851351351699</v>
      </c>
      <c r="I183" s="1">
        <f t="shared" si="63"/>
        <v>320.46344379786592</v>
      </c>
      <c r="J183" s="1">
        <f t="shared" si="52"/>
        <v>10.682114793262198</v>
      </c>
      <c r="K183" s="7">
        <f t="shared" si="53"/>
        <v>0.87798203780237238</v>
      </c>
      <c r="L183" s="4">
        <f t="shared" si="54"/>
        <v>6487.6712328767135</v>
      </c>
      <c r="M183" s="1">
        <f t="shared" si="55"/>
        <v>789.71932179149258</v>
      </c>
      <c r="N183" s="7">
        <f t="shared" si="56"/>
        <v>1.0592945196662502</v>
      </c>
      <c r="O183" s="1">
        <f t="shared" si="57"/>
        <v>3000</v>
      </c>
      <c r="P183" s="2">
        <f t="shared" si="58"/>
        <v>5.1234393260335747</v>
      </c>
      <c r="Q183" s="2">
        <f t="shared" si="65"/>
        <v>69.459324643169154</v>
      </c>
      <c r="S183" s="1">
        <f t="shared" si="46"/>
        <v>3000</v>
      </c>
      <c r="T183" s="1">
        <f t="shared" si="47"/>
        <v>6487.6712328767135</v>
      </c>
      <c r="V183" s="1">
        <f t="shared" si="59"/>
        <v>6487.6712328767135</v>
      </c>
      <c r="W183" s="1">
        <f t="shared" si="60"/>
        <v>3000</v>
      </c>
    </row>
    <row r="184" spans="1:23" x14ac:dyDescent="0.25">
      <c r="A184" s="2">
        <f t="shared" si="61"/>
        <v>17.199999999999974</v>
      </c>
      <c r="B184" s="7">
        <f t="shared" si="64"/>
        <v>23.68</v>
      </c>
      <c r="C184" s="7">
        <f t="shared" si="48"/>
        <v>1.5801432303291885</v>
      </c>
      <c r="D184" s="7">
        <f t="shared" si="49"/>
        <v>1.0657248085266833</v>
      </c>
      <c r="E184" s="7">
        <f t="shared" si="50"/>
        <v>1</v>
      </c>
      <c r="G184" s="4">
        <f t="shared" si="51"/>
        <v>1719.9999999999973</v>
      </c>
      <c r="H184" s="1">
        <f t="shared" si="62"/>
        <v>1.5413851351351349</v>
      </c>
      <c r="I184" s="1">
        <f t="shared" si="63"/>
        <v>322.00482893300108</v>
      </c>
      <c r="J184" s="1">
        <f t="shared" si="52"/>
        <v>10.733494297766702</v>
      </c>
      <c r="K184" s="7">
        <f t="shared" si="53"/>
        <v>0.88220501077534541</v>
      </c>
      <c r="L184" s="4">
        <f t="shared" si="54"/>
        <v>6487.6712328767135</v>
      </c>
      <c r="M184" s="1">
        <f t="shared" si="55"/>
        <v>790.07161516459428</v>
      </c>
      <c r="N184" s="7">
        <f t="shared" si="56"/>
        <v>1.0657248085266833</v>
      </c>
      <c r="O184" s="1">
        <f t="shared" si="57"/>
        <v>3000</v>
      </c>
      <c r="P184" s="2">
        <f t="shared" si="58"/>
        <v>5.1257248896157801</v>
      </c>
      <c r="Q184" s="2">
        <f t="shared" si="65"/>
        <v>69.885509031732383</v>
      </c>
      <c r="S184" s="1">
        <f t="shared" si="46"/>
        <v>3000</v>
      </c>
      <c r="T184" s="1">
        <f t="shared" si="47"/>
        <v>6487.6712328767135</v>
      </c>
      <c r="V184" s="1">
        <f t="shared" si="59"/>
        <v>6487.6712328767135</v>
      </c>
      <c r="W184" s="1">
        <f t="shared" si="60"/>
        <v>3000</v>
      </c>
    </row>
    <row r="185" spans="1:23" x14ac:dyDescent="0.25">
      <c r="A185" s="2">
        <f t="shared" si="61"/>
        <v>17.299999999999976</v>
      </c>
      <c r="B185" s="7">
        <f t="shared" si="64"/>
        <v>23.68</v>
      </c>
      <c r="C185" s="7">
        <f t="shared" si="48"/>
        <v>1.5808481313911673</v>
      </c>
      <c r="D185" s="7">
        <f t="shared" si="49"/>
        <v>1.072194131493365</v>
      </c>
      <c r="E185" s="7">
        <f t="shared" si="50"/>
        <v>1</v>
      </c>
      <c r="G185" s="4">
        <f t="shared" si="51"/>
        <v>1729.9999999999977</v>
      </c>
      <c r="H185" s="1">
        <f t="shared" si="62"/>
        <v>1.541385135135205</v>
      </c>
      <c r="I185" s="1">
        <f t="shared" si="63"/>
        <v>323.54621406813629</v>
      </c>
      <c r="J185" s="1">
        <f t="shared" si="52"/>
        <v>10.784873802271211</v>
      </c>
      <c r="K185" s="7">
        <f t="shared" si="53"/>
        <v>0.88642798374831866</v>
      </c>
      <c r="L185" s="4">
        <f t="shared" si="54"/>
        <v>6487.6712328767135</v>
      </c>
      <c r="M185" s="1">
        <f t="shared" si="55"/>
        <v>790.42406569558364</v>
      </c>
      <c r="N185" s="7">
        <f t="shared" si="56"/>
        <v>1.072194131493365</v>
      </c>
      <c r="O185" s="1">
        <f t="shared" si="57"/>
        <v>3000</v>
      </c>
      <c r="P185" s="2">
        <f t="shared" si="58"/>
        <v>5.1280114727866914</v>
      </c>
      <c r="Q185" s="2">
        <f t="shared" si="65"/>
        <v>70.314336418161375</v>
      </c>
      <c r="S185" s="1">
        <f t="shared" si="46"/>
        <v>3000</v>
      </c>
      <c r="T185" s="1">
        <f t="shared" si="47"/>
        <v>6487.6712328767135</v>
      </c>
      <c r="V185" s="1">
        <f t="shared" si="59"/>
        <v>6487.6712328767135</v>
      </c>
      <c r="W185" s="1">
        <f t="shared" si="60"/>
        <v>3000</v>
      </c>
    </row>
    <row r="186" spans="1:23" x14ac:dyDescent="0.25">
      <c r="A186" s="2">
        <f t="shared" si="61"/>
        <v>17.399999999999977</v>
      </c>
      <c r="B186" s="7">
        <f t="shared" si="64"/>
        <v>23.68</v>
      </c>
      <c r="C186" s="7">
        <f t="shared" si="48"/>
        <v>1.5815533469091385</v>
      </c>
      <c r="D186" s="7">
        <f t="shared" si="49"/>
        <v>1.078702725516995</v>
      </c>
      <c r="E186" s="7">
        <f t="shared" si="50"/>
        <v>1</v>
      </c>
      <c r="G186" s="4">
        <f t="shared" si="51"/>
        <v>1739.9999999999975</v>
      </c>
      <c r="H186" s="1">
        <f t="shared" si="62"/>
        <v>1.5413851351350998</v>
      </c>
      <c r="I186" s="1">
        <f t="shared" si="63"/>
        <v>325.0875992032714</v>
      </c>
      <c r="J186" s="1">
        <f t="shared" si="52"/>
        <v>10.836253306775713</v>
      </c>
      <c r="K186" s="7">
        <f t="shared" si="53"/>
        <v>0.89065095672129146</v>
      </c>
      <c r="L186" s="4">
        <f t="shared" si="54"/>
        <v>6487.6712328767135</v>
      </c>
      <c r="M186" s="1">
        <f t="shared" si="55"/>
        <v>790.77667345456928</v>
      </c>
      <c r="N186" s="7">
        <f t="shared" si="56"/>
        <v>1.078702725516995</v>
      </c>
      <c r="O186" s="1">
        <f t="shared" si="57"/>
        <v>3000</v>
      </c>
      <c r="P186" s="2">
        <f t="shared" si="58"/>
        <v>5.1302990760011511</v>
      </c>
      <c r="Q186" s="2">
        <f t="shared" si="65"/>
        <v>70.745823538320465</v>
      </c>
      <c r="S186" s="1">
        <f t="shared" si="46"/>
        <v>3000</v>
      </c>
      <c r="T186" s="1">
        <f t="shared" si="47"/>
        <v>6487.6712328767135</v>
      </c>
      <c r="V186" s="1">
        <f t="shared" si="59"/>
        <v>6487.6712328767135</v>
      </c>
      <c r="W186" s="1">
        <f t="shared" si="60"/>
        <v>3000</v>
      </c>
    </row>
    <row r="187" spans="1:23" x14ac:dyDescent="0.25">
      <c r="A187" s="2">
        <f t="shared" si="61"/>
        <v>17.499999999999979</v>
      </c>
      <c r="B187" s="7">
        <f t="shared" si="64"/>
        <v>23.68</v>
      </c>
      <c r="C187" s="7">
        <f t="shared" si="48"/>
        <v>1.5822588770233801</v>
      </c>
      <c r="D187" s="7">
        <f t="shared" si="49"/>
        <v>1.0852508289866478</v>
      </c>
      <c r="E187" s="7">
        <f t="shared" si="50"/>
        <v>1</v>
      </c>
      <c r="G187" s="4">
        <f t="shared" si="51"/>
        <v>1749.999999999998</v>
      </c>
      <c r="H187" s="1">
        <f t="shared" si="62"/>
        <v>1.541385135135205</v>
      </c>
      <c r="I187" s="1">
        <f t="shared" si="63"/>
        <v>326.62898433840661</v>
      </c>
      <c r="J187" s="1">
        <f t="shared" si="52"/>
        <v>10.88763281128022</v>
      </c>
      <c r="K187" s="7">
        <f t="shared" si="53"/>
        <v>0.89487392969426471</v>
      </c>
      <c r="L187" s="4">
        <f t="shared" si="54"/>
        <v>6487.6712328767135</v>
      </c>
      <c r="M187" s="1">
        <f t="shared" si="55"/>
        <v>791.12943851169007</v>
      </c>
      <c r="N187" s="7">
        <f t="shared" si="56"/>
        <v>1.0852508289866478</v>
      </c>
      <c r="O187" s="1">
        <f t="shared" si="57"/>
        <v>3000</v>
      </c>
      <c r="P187" s="2">
        <f t="shared" si="58"/>
        <v>5.1325876997141986</v>
      </c>
      <c r="Q187" s="2">
        <f t="shared" si="65"/>
        <v>71.179987238299034</v>
      </c>
      <c r="S187" s="1">
        <f t="shared" si="46"/>
        <v>3000</v>
      </c>
      <c r="T187" s="1">
        <f t="shared" si="47"/>
        <v>6487.6712328767135</v>
      </c>
      <c r="V187" s="1">
        <f t="shared" si="59"/>
        <v>6487.6712328767135</v>
      </c>
      <c r="W187" s="1">
        <f t="shared" si="60"/>
        <v>3000</v>
      </c>
    </row>
    <row r="188" spans="1:23" x14ac:dyDescent="0.25">
      <c r="A188" s="2">
        <f t="shared" si="61"/>
        <v>17.59999999999998</v>
      </c>
      <c r="B188" s="7">
        <f t="shared" si="64"/>
        <v>23.68</v>
      </c>
      <c r="C188" s="7">
        <f t="shared" si="48"/>
        <v>1.582964721874234</v>
      </c>
      <c r="D188" s="7">
        <f t="shared" si="49"/>
        <v>1.0918386817385035</v>
      </c>
      <c r="E188" s="7">
        <f t="shared" si="50"/>
        <v>1</v>
      </c>
      <c r="G188" s="4">
        <f t="shared" si="51"/>
        <v>1759.999999999998</v>
      </c>
      <c r="H188" s="1">
        <f t="shared" si="62"/>
        <v>1.5413851351351349</v>
      </c>
      <c r="I188" s="1">
        <f t="shared" si="63"/>
        <v>328.17036947354177</v>
      </c>
      <c r="J188" s="1">
        <f t="shared" si="52"/>
        <v>10.939012315784726</v>
      </c>
      <c r="K188" s="7">
        <f t="shared" si="53"/>
        <v>0.89909690266723774</v>
      </c>
      <c r="L188" s="4">
        <f t="shared" si="54"/>
        <v>6487.6712328767135</v>
      </c>
      <c r="M188" s="1">
        <f t="shared" si="55"/>
        <v>791.48236093711694</v>
      </c>
      <c r="N188" s="7">
        <f t="shared" si="56"/>
        <v>1.0918386817385035</v>
      </c>
      <c r="O188" s="1">
        <f t="shared" si="57"/>
        <v>3000</v>
      </c>
      <c r="P188" s="2">
        <f t="shared" si="58"/>
        <v>5.1348773443810769</v>
      </c>
      <c r="Q188" s="2">
        <f t="shared" si="65"/>
        <v>71.616844475189851</v>
      </c>
      <c r="S188" s="1">
        <f t="shared" si="46"/>
        <v>3000</v>
      </c>
      <c r="T188" s="1">
        <f t="shared" si="47"/>
        <v>6487.6712328767135</v>
      </c>
      <c r="V188" s="1">
        <f t="shared" si="59"/>
        <v>6487.6712328767135</v>
      </c>
      <c r="W188" s="1">
        <f t="shared" si="60"/>
        <v>3000</v>
      </c>
    </row>
    <row r="189" spans="1:23" x14ac:dyDescent="0.25">
      <c r="A189" s="2">
        <f t="shared" si="61"/>
        <v>17.699999999999982</v>
      </c>
      <c r="B189" s="7">
        <f t="shared" si="64"/>
        <v>23.68</v>
      </c>
      <c r="C189" s="7">
        <f t="shared" si="48"/>
        <v>1.5836708816021039</v>
      </c>
      <c r="D189" s="7">
        <f t="shared" si="49"/>
        <v>1.098466525064631</v>
      </c>
      <c r="E189" s="7">
        <f t="shared" si="50"/>
        <v>1</v>
      </c>
      <c r="G189" s="4">
        <f t="shared" si="51"/>
        <v>1769.9999999999982</v>
      </c>
      <c r="H189" s="1">
        <f t="shared" si="62"/>
        <v>1.5413851351351699</v>
      </c>
      <c r="I189" s="1">
        <f t="shared" si="63"/>
        <v>329.71175460867693</v>
      </c>
      <c r="J189" s="1">
        <f t="shared" si="52"/>
        <v>10.990391820289231</v>
      </c>
      <c r="K189" s="7">
        <f t="shared" si="53"/>
        <v>0.90331987564021077</v>
      </c>
      <c r="L189" s="4">
        <f t="shared" si="54"/>
        <v>6487.6712328767135</v>
      </c>
      <c r="M189" s="1">
        <f t="shared" si="55"/>
        <v>791.83544080105196</v>
      </c>
      <c r="N189" s="7">
        <f t="shared" si="56"/>
        <v>1.098466525064631</v>
      </c>
      <c r="O189" s="1">
        <f t="shared" si="57"/>
        <v>3000</v>
      </c>
      <c r="P189" s="2">
        <f t="shared" si="58"/>
        <v>5.1371680104572359</v>
      </c>
      <c r="Q189" s="2">
        <f t="shared" si="65"/>
        <v>72.056412317872926</v>
      </c>
      <c r="S189" s="1">
        <f t="shared" si="46"/>
        <v>3000</v>
      </c>
      <c r="T189" s="1">
        <f t="shared" si="47"/>
        <v>6487.6712328767135</v>
      </c>
      <c r="V189" s="1">
        <f t="shared" si="59"/>
        <v>6487.6712328767135</v>
      </c>
      <c r="W189" s="1">
        <f t="shared" si="60"/>
        <v>3000</v>
      </c>
    </row>
    <row r="190" spans="1:23" x14ac:dyDescent="0.25">
      <c r="A190" s="2">
        <f t="shared" si="61"/>
        <v>17.799999999999983</v>
      </c>
      <c r="B190" s="7">
        <f t="shared" si="64"/>
        <v>23.68</v>
      </c>
      <c r="C190" s="7">
        <f t="shared" si="48"/>
        <v>1.5843773563474557</v>
      </c>
      <c r="D190" s="7">
        <f t="shared" si="49"/>
        <v>1.1051346017218269</v>
      </c>
      <c r="E190" s="7">
        <f t="shared" si="50"/>
        <v>1</v>
      </c>
      <c r="G190" s="4">
        <f t="shared" si="51"/>
        <v>1779.9999999999982</v>
      </c>
      <c r="H190" s="1">
        <f t="shared" si="62"/>
        <v>1.5413851351351349</v>
      </c>
      <c r="I190" s="1">
        <f t="shared" si="63"/>
        <v>331.25313974381208</v>
      </c>
      <c r="J190" s="1">
        <f t="shared" si="52"/>
        <v>11.041771324793736</v>
      </c>
      <c r="K190" s="7">
        <f t="shared" si="53"/>
        <v>0.90754284861318379</v>
      </c>
      <c r="L190" s="4">
        <f t="shared" si="54"/>
        <v>6487.6712328767135</v>
      </c>
      <c r="M190" s="1">
        <f t="shared" si="55"/>
        <v>792.18867817372779</v>
      </c>
      <c r="N190" s="7">
        <f t="shared" si="56"/>
        <v>1.1051346017218269</v>
      </c>
      <c r="O190" s="1">
        <f t="shared" si="57"/>
        <v>3000</v>
      </c>
      <c r="P190" s="2">
        <f t="shared" si="58"/>
        <v>5.1394596983983227</v>
      </c>
      <c r="Q190" s="2">
        <f t="shared" si="65"/>
        <v>72.498707947806054</v>
      </c>
      <c r="S190" s="1">
        <f t="shared" si="46"/>
        <v>3000</v>
      </c>
      <c r="T190" s="1">
        <f t="shared" si="47"/>
        <v>6487.6712328767135</v>
      </c>
      <c r="V190" s="1">
        <f t="shared" si="59"/>
        <v>6487.6712328767135</v>
      </c>
      <c r="W190" s="1">
        <f t="shared" si="60"/>
        <v>3000</v>
      </c>
    </row>
    <row r="191" spans="1:23" x14ac:dyDescent="0.25">
      <c r="A191" s="2">
        <f t="shared" si="61"/>
        <v>17.899999999999984</v>
      </c>
      <c r="B191" s="7">
        <f t="shared" si="64"/>
        <v>23.68</v>
      </c>
      <c r="C191" s="7">
        <f t="shared" si="48"/>
        <v>1.5850841462508192</v>
      </c>
      <c r="D191" s="7">
        <f t="shared" si="49"/>
        <v>1.1118431559405064</v>
      </c>
      <c r="E191" s="7">
        <f t="shared" si="50"/>
        <v>1</v>
      </c>
      <c r="G191" s="4">
        <f t="shared" si="51"/>
        <v>1789.9999999999984</v>
      </c>
      <c r="H191" s="1">
        <f t="shared" si="62"/>
        <v>1.5413851351351699</v>
      </c>
      <c r="I191" s="1">
        <f t="shared" si="63"/>
        <v>332.79452487894724</v>
      </c>
      <c r="J191" s="1">
        <f t="shared" si="52"/>
        <v>11.093150829298242</v>
      </c>
      <c r="K191" s="7">
        <f t="shared" si="53"/>
        <v>0.91176582158615682</v>
      </c>
      <c r="L191" s="4">
        <f t="shared" si="54"/>
        <v>6487.6712328767135</v>
      </c>
      <c r="M191" s="1">
        <f t="shared" si="55"/>
        <v>792.54207312540962</v>
      </c>
      <c r="N191" s="7">
        <f t="shared" si="56"/>
        <v>1.1118431559405064</v>
      </c>
      <c r="O191" s="1">
        <f t="shared" si="57"/>
        <v>3000</v>
      </c>
      <c r="P191" s="2">
        <f t="shared" si="58"/>
        <v>5.1417524086601931</v>
      </c>
      <c r="Q191" s="2">
        <f t="shared" si="65"/>
        <v>72.943748659821466</v>
      </c>
      <c r="S191" s="1">
        <f t="shared" si="46"/>
        <v>3000</v>
      </c>
      <c r="T191" s="1">
        <f t="shared" si="47"/>
        <v>6487.6712328767135</v>
      </c>
      <c r="V191" s="1">
        <f t="shared" si="59"/>
        <v>6487.6712328767135</v>
      </c>
      <c r="W191" s="1">
        <f t="shared" si="60"/>
        <v>3000</v>
      </c>
    </row>
    <row r="192" spans="1:23" x14ac:dyDescent="0.25">
      <c r="A192" s="2">
        <f t="shared" si="61"/>
        <v>17.999999999999986</v>
      </c>
      <c r="B192" s="7">
        <f t="shared" si="64"/>
        <v>23.68</v>
      </c>
      <c r="C192" s="7">
        <f t="shared" si="48"/>
        <v>1.5857912514527859</v>
      </c>
      <c r="D192" s="7">
        <f t="shared" si="49"/>
        <v>1.1185924334336494</v>
      </c>
      <c r="E192" s="7">
        <f t="shared" si="50"/>
        <v>1</v>
      </c>
      <c r="G192" s="4">
        <f t="shared" si="51"/>
        <v>1799.9999999999984</v>
      </c>
      <c r="H192" s="1">
        <f t="shared" si="62"/>
        <v>1.5413851351351349</v>
      </c>
      <c r="I192" s="1">
        <f t="shared" si="63"/>
        <v>334.3359100140824</v>
      </c>
      <c r="J192" s="1">
        <f t="shared" si="52"/>
        <v>11.144530333802747</v>
      </c>
      <c r="K192" s="7">
        <f t="shared" si="53"/>
        <v>0.91598879455912985</v>
      </c>
      <c r="L192" s="4">
        <f t="shared" si="54"/>
        <v>6487.6712328767135</v>
      </c>
      <c r="M192" s="1">
        <f t="shared" si="55"/>
        <v>792.89562572639295</v>
      </c>
      <c r="N192" s="7">
        <f t="shared" si="56"/>
        <v>1.1185924334336494</v>
      </c>
      <c r="O192" s="1">
        <f t="shared" si="57"/>
        <v>3000</v>
      </c>
      <c r="P192" s="2">
        <f t="shared" si="58"/>
        <v>5.144046141698901</v>
      </c>
      <c r="Q192" s="2">
        <f t="shared" si="65"/>
        <v>73.391551862928736</v>
      </c>
      <c r="S192" s="1">
        <f t="shared" si="46"/>
        <v>3000</v>
      </c>
      <c r="T192" s="1">
        <f t="shared" si="47"/>
        <v>6487.6712328767135</v>
      </c>
      <c r="V192" s="1">
        <f t="shared" si="59"/>
        <v>6487.6712328767135</v>
      </c>
      <c r="W192" s="1">
        <f t="shared" si="60"/>
        <v>3000</v>
      </c>
    </row>
    <row r="193" spans="1:23" x14ac:dyDescent="0.25">
      <c r="A193" s="2">
        <f t="shared" si="61"/>
        <v>18.099999999999987</v>
      </c>
      <c r="B193" s="7">
        <f t="shared" si="64"/>
        <v>23.68</v>
      </c>
      <c r="C193" s="7">
        <f t="shared" si="48"/>
        <v>1.5864986720940104</v>
      </c>
      <c r="D193" s="7">
        <f t="shared" si="49"/>
        <v>1.1253826814057997</v>
      </c>
      <c r="E193" s="7">
        <f t="shared" si="50"/>
        <v>1</v>
      </c>
      <c r="G193" s="4">
        <f t="shared" si="51"/>
        <v>1809.9999999999986</v>
      </c>
      <c r="H193" s="1">
        <f t="shared" si="62"/>
        <v>1.5413851351351699</v>
      </c>
      <c r="I193" s="1">
        <f t="shared" si="63"/>
        <v>335.87729514921756</v>
      </c>
      <c r="J193" s="1">
        <f t="shared" si="52"/>
        <v>11.195909838307252</v>
      </c>
      <c r="K193" s="7">
        <f t="shared" si="53"/>
        <v>0.92021176753210288</v>
      </c>
      <c r="L193" s="4">
        <f t="shared" si="54"/>
        <v>6487.6712328767135</v>
      </c>
      <c r="M193" s="1">
        <f t="shared" si="55"/>
        <v>793.24933604700516</v>
      </c>
      <c r="N193" s="7">
        <f t="shared" si="56"/>
        <v>1.1253826814057997</v>
      </c>
      <c r="O193" s="1">
        <f t="shared" si="57"/>
        <v>3000</v>
      </c>
      <c r="P193" s="2">
        <f t="shared" si="58"/>
        <v>5.1463408979707079</v>
      </c>
      <c r="Q193" s="2">
        <f t="shared" si="65"/>
        <v>73.842135081123899</v>
      </c>
      <c r="S193" s="1">
        <f t="shared" si="46"/>
        <v>3000</v>
      </c>
      <c r="T193" s="1">
        <f t="shared" si="47"/>
        <v>6487.6712328767135</v>
      </c>
      <c r="V193" s="1">
        <f t="shared" si="59"/>
        <v>6487.6712328767135</v>
      </c>
      <c r="W193" s="1">
        <f t="shared" si="60"/>
        <v>3000</v>
      </c>
    </row>
    <row r="194" spans="1:23" x14ac:dyDescent="0.25">
      <c r="A194" s="2">
        <f t="shared" si="61"/>
        <v>18.199999999999989</v>
      </c>
      <c r="B194" s="7">
        <f t="shared" si="64"/>
        <v>23.68</v>
      </c>
      <c r="C194" s="7">
        <f t="shared" si="48"/>
        <v>1.5872064083152102</v>
      </c>
      <c r="D194" s="7">
        <f t="shared" si="49"/>
        <v>1.1322141485621182</v>
      </c>
      <c r="E194" s="7">
        <f t="shared" si="50"/>
        <v>1</v>
      </c>
      <c r="G194" s="4">
        <f t="shared" si="51"/>
        <v>1819.9999999999989</v>
      </c>
      <c r="H194" s="1">
        <f t="shared" si="62"/>
        <v>1.5413851351351699</v>
      </c>
      <c r="I194" s="1">
        <f t="shared" si="63"/>
        <v>337.41868028435272</v>
      </c>
      <c r="J194" s="1">
        <f t="shared" si="52"/>
        <v>11.247289342811758</v>
      </c>
      <c r="K194" s="7">
        <f t="shared" si="53"/>
        <v>0.9244347405050759</v>
      </c>
      <c r="L194" s="4">
        <f t="shared" si="54"/>
        <v>6487.6712328767135</v>
      </c>
      <c r="M194" s="1">
        <f t="shared" si="55"/>
        <v>793.60320415760509</v>
      </c>
      <c r="N194" s="7">
        <f t="shared" si="56"/>
        <v>1.1322141485621182</v>
      </c>
      <c r="O194" s="1">
        <f t="shared" si="57"/>
        <v>3000</v>
      </c>
      <c r="P194" s="2">
        <f t="shared" si="58"/>
        <v>5.14863667793208</v>
      </c>
      <c r="Q194" s="2">
        <f t="shared" si="65"/>
        <v>74.2955159542053</v>
      </c>
      <c r="S194" s="1">
        <f t="shared" si="46"/>
        <v>3000</v>
      </c>
      <c r="T194" s="1">
        <f t="shared" si="47"/>
        <v>6487.6712328767135</v>
      </c>
      <c r="V194" s="1">
        <f t="shared" si="59"/>
        <v>6487.6712328767135</v>
      </c>
      <c r="W194" s="1">
        <f t="shared" si="60"/>
        <v>3000</v>
      </c>
    </row>
    <row r="195" spans="1:23" x14ac:dyDescent="0.25">
      <c r="A195" s="2">
        <f t="shared" si="61"/>
        <v>18.29999999999999</v>
      </c>
      <c r="B195" s="7">
        <f t="shared" si="64"/>
        <v>23.68</v>
      </c>
      <c r="C195" s="7">
        <f t="shared" si="48"/>
        <v>1.5879144602571647</v>
      </c>
      <c r="D195" s="7">
        <f t="shared" si="49"/>
        <v>1.1390870851174943</v>
      </c>
      <c r="E195" s="7">
        <f t="shared" si="50"/>
        <v>1</v>
      </c>
      <c r="G195" s="4">
        <f t="shared" si="51"/>
        <v>1829.9999999999991</v>
      </c>
      <c r="H195" s="1">
        <f t="shared" si="62"/>
        <v>1.5413851351351699</v>
      </c>
      <c r="I195" s="1">
        <f t="shared" si="63"/>
        <v>338.96006541948788</v>
      </c>
      <c r="J195" s="1">
        <f t="shared" si="52"/>
        <v>11.298668847316263</v>
      </c>
      <c r="K195" s="7">
        <f t="shared" si="53"/>
        <v>0.92865771347804893</v>
      </c>
      <c r="L195" s="4">
        <f t="shared" si="54"/>
        <v>6487.6712328767135</v>
      </c>
      <c r="M195" s="1">
        <f t="shared" si="55"/>
        <v>793.9572301285823</v>
      </c>
      <c r="N195" s="7">
        <f t="shared" si="56"/>
        <v>1.1390870851174943</v>
      </c>
      <c r="O195" s="1">
        <f t="shared" si="57"/>
        <v>3000</v>
      </c>
      <c r="P195" s="2">
        <f t="shared" si="58"/>
        <v>5.1509334820396795</v>
      </c>
      <c r="Q195" s="2">
        <f t="shared" si="65"/>
        <v>74.751712238595601</v>
      </c>
      <c r="S195" s="1">
        <f t="shared" si="46"/>
        <v>3000</v>
      </c>
      <c r="T195" s="1">
        <f t="shared" si="47"/>
        <v>6487.6712328767135</v>
      </c>
      <c r="V195" s="1">
        <f t="shared" si="59"/>
        <v>6487.6712328767135</v>
      </c>
      <c r="W195" s="1">
        <f t="shared" si="60"/>
        <v>3000</v>
      </c>
    </row>
    <row r="196" spans="1:23" x14ac:dyDescent="0.25">
      <c r="A196" s="2">
        <f t="shared" si="61"/>
        <v>18.399999999999991</v>
      </c>
      <c r="B196" s="7">
        <f t="shared" si="64"/>
        <v>23.68</v>
      </c>
      <c r="C196" s="7">
        <f t="shared" si="48"/>
        <v>1.5886228280607178</v>
      </c>
      <c r="D196" s="7">
        <f t="shared" si="49"/>
        <v>1.1460017428057099</v>
      </c>
      <c r="E196" s="7">
        <f t="shared" si="50"/>
        <v>1</v>
      </c>
      <c r="G196" s="4">
        <f t="shared" si="51"/>
        <v>1839.9999999999991</v>
      </c>
      <c r="H196" s="1">
        <f t="shared" si="62"/>
        <v>1.5413851351351349</v>
      </c>
      <c r="I196" s="1">
        <f t="shared" si="63"/>
        <v>340.50145055462303</v>
      </c>
      <c r="J196" s="1">
        <f t="shared" si="52"/>
        <v>11.350048351820767</v>
      </c>
      <c r="K196" s="7">
        <f t="shared" si="53"/>
        <v>0.93288068645102196</v>
      </c>
      <c r="L196" s="4">
        <f t="shared" si="54"/>
        <v>6487.6712328767135</v>
      </c>
      <c r="M196" s="1">
        <f t="shared" si="55"/>
        <v>794.31141403035883</v>
      </c>
      <c r="N196" s="7">
        <f t="shared" si="56"/>
        <v>1.1460017428057099</v>
      </c>
      <c r="O196" s="1">
        <f t="shared" si="57"/>
        <v>3000</v>
      </c>
      <c r="P196" s="2">
        <f t="shared" si="58"/>
        <v>5.1532313107503835</v>
      </c>
      <c r="Q196" s="2">
        <f t="shared" si="65"/>
        <v>75.210741808170567</v>
      </c>
      <c r="S196" s="1">
        <f t="shared" si="46"/>
        <v>3000</v>
      </c>
      <c r="T196" s="1">
        <f t="shared" si="47"/>
        <v>6487.6712328767135</v>
      </c>
      <c r="V196" s="1">
        <f t="shared" si="59"/>
        <v>6487.6712328767135</v>
      </c>
      <c r="W196" s="1">
        <f t="shared" si="60"/>
        <v>3000</v>
      </c>
    </row>
    <row r="197" spans="1:23" x14ac:dyDescent="0.25">
      <c r="A197" s="2">
        <f t="shared" si="61"/>
        <v>18.499999999999993</v>
      </c>
      <c r="B197" s="7">
        <f t="shared" si="64"/>
        <v>23.68</v>
      </c>
      <c r="C197" s="7">
        <f t="shared" si="48"/>
        <v>1.5893315118667739</v>
      </c>
      <c r="D197" s="7">
        <f t="shared" si="49"/>
        <v>1.1529583748886574</v>
      </c>
      <c r="E197" s="7">
        <f t="shared" si="50"/>
        <v>1</v>
      </c>
      <c r="G197" s="4">
        <f t="shared" si="51"/>
        <v>1849.9999999999993</v>
      </c>
      <c r="H197" s="1">
        <f t="shared" si="62"/>
        <v>1.5413851351351699</v>
      </c>
      <c r="I197" s="1">
        <f t="shared" si="63"/>
        <v>342.04283568975819</v>
      </c>
      <c r="J197" s="1">
        <f t="shared" si="52"/>
        <v>11.401427856325274</v>
      </c>
      <c r="K197" s="7">
        <f t="shared" si="53"/>
        <v>0.93710365942399509</v>
      </c>
      <c r="L197" s="4">
        <f t="shared" si="54"/>
        <v>6487.6712328767135</v>
      </c>
      <c r="M197" s="1">
        <f t="shared" si="55"/>
        <v>794.665755933387</v>
      </c>
      <c r="N197" s="7">
        <f t="shared" si="56"/>
        <v>1.1529583748886574</v>
      </c>
      <c r="O197" s="1">
        <f t="shared" si="57"/>
        <v>3000</v>
      </c>
      <c r="P197" s="2">
        <f t="shared" si="58"/>
        <v>5.1555301645212621</v>
      </c>
      <c r="Q197" s="2">
        <f t="shared" si="65"/>
        <v>75.672622655094074</v>
      </c>
      <c r="S197" s="1">
        <f t="shared" si="46"/>
        <v>3000</v>
      </c>
      <c r="T197" s="1">
        <f t="shared" si="47"/>
        <v>6487.6712328767135</v>
      </c>
      <c r="V197" s="1">
        <f t="shared" si="59"/>
        <v>6487.6712328767135</v>
      </c>
      <c r="W197" s="1">
        <f t="shared" si="60"/>
        <v>3000</v>
      </c>
    </row>
    <row r="198" spans="1:23" x14ac:dyDescent="0.25">
      <c r="A198" s="2">
        <f t="shared" si="61"/>
        <v>18.599999999999994</v>
      </c>
      <c r="B198" s="7">
        <f t="shared" si="64"/>
        <v>23.68</v>
      </c>
      <c r="C198" s="7">
        <f t="shared" si="48"/>
        <v>1.5900405118163028</v>
      </c>
      <c r="D198" s="7">
        <f t="shared" si="49"/>
        <v>1.159957236165619</v>
      </c>
      <c r="E198" s="7">
        <f t="shared" si="50"/>
        <v>1</v>
      </c>
      <c r="G198" s="4">
        <f t="shared" si="51"/>
        <v>1859.9999999999995</v>
      </c>
      <c r="H198" s="1">
        <f t="shared" si="62"/>
        <v>1.5413851351351699</v>
      </c>
      <c r="I198" s="1">
        <f t="shared" si="63"/>
        <v>343.58422082489335</v>
      </c>
      <c r="J198" s="1">
        <f t="shared" si="52"/>
        <v>11.452807360829778</v>
      </c>
      <c r="K198" s="7">
        <f t="shared" si="53"/>
        <v>0.94132663239696812</v>
      </c>
      <c r="L198" s="4">
        <f t="shared" si="54"/>
        <v>6487.6712328767135</v>
      </c>
      <c r="M198" s="1">
        <f t="shared" si="55"/>
        <v>795.0202559081514</v>
      </c>
      <c r="N198" s="7">
        <f t="shared" si="56"/>
        <v>1.159957236165619</v>
      </c>
      <c r="O198" s="1">
        <f t="shared" si="57"/>
        <v>3000</v>
      </c>
      <c r="P198" s="2">
        <f t="shared" si="58"/>
        <v>5.1578300438095965</v>
      </c>
      <c r="Q198" s="2">
        <f t="shared" si="65"/>
        <v>76.137372890660288</v>
      </c>
      <c r="S198" s="1">
        <f t="shared" si="46"/>
        <v>3000</v>
      </c>
      <c r="T198" s="1">
        <f t="shared" si="47"/>
        <v>6487.6712328767135</v>
      </c>
      <c r="V198" s="1">
        <f t="shared" si="59"/>
        <v>6487.6712328767135</v>
      </c>
      <c r="W198" s="1">
        <f t="shared" si="60"/>
        <v>3000</v>
      </c>
    </row>
    <row r="199" spans="1:23" x14ac:dyDescent="0.25">
      <c r="A199" s="2">
        <f t="shared" si="61"/>
        <v>18.699999999999996</v>
      </c>
      <c r="B199" s="7">
        <f t="shared" si="64"/>
        <v>23.68</v>
      </c>
      <c r="C199" s="7">
        <f t="shared" si="48"/>
        <v>1.5907498280503352</v>
      </c>
      <c r="D199" s="7">
        <f t="shared" si="49"/>
        <v>1.1669985829825977</v>
      </c>
      <c r="E199" s="7">
        <f t="shared" si="50"/>
        <v>1</v>
      </c>
      <c r="G199" s="4">
        <f t="shared" si="51"/>
        <v>1869.9999999999995</v>
      </c>
      <c r="H199" s="1">
        <f t="shared" si="62"/>
        <v>1.5413851351351349</v>
      </c>
      <c r="I199" s="1">
        <f t="shared" si="63"/>
        <v>345.12560596002851</v>
      </c>
      <c r="J199" s="1">
        <f t="shared" si="52"/>
        <v>11.504186865334283</v>
      </c>
      <c r="K199" s="7">
        <f t="shared" si="53"/>
        <v>0.94554960536994115</v>
      </c>
      <c r="L199" s="4">
        <f t="shared" si="54"/>
        <v>6487.6712328767135</v>
      </c>
      <c r="M199" s="1">
        <f t="shared" si="55"/>
        <v>795.37491402516753</v>
      </c>
      <c r="N199" s="7">
        <f t="shared" si="56"/>
        <v>1.1669985829825977</v>
      </c>
      <c r="O199" s="1">
        <f t="shared" si="57"/>
        <v>3000</v>
      </c>
      <c r="P199" s="2">
        <f t="shared" si="58"/>
        <v>5.1601309490728688</v>
      </c>
      <c r="Q199" s="2">
        <f t="shared" si="65"/>
        <v>76.605010746142014</v>
      </c>
      <c r="S199" s="1">
        <f t="shared" si="46"/>
        <v>3000</v>
      </c>
      <c r="T199" s="1">
        <f t="shared" si="47"/>
        <v>6487.6712328767135</v>
      </c>
      <c r="V199" s="1">
        <f t="shared" si="59"/>
        <v>6487.6712328767135</v>
      </c>
      <c r="W199" s="1">
        <f t="shared" si="60"/>
        <v>3000</v>
      </c>
    </row>
    <row r="200" spans="1:23" x14ac:dyDescent="0.25">
      <c r="A200" s="2">
        <f t="shared" si="61"/>
        <v>18.799999999999997</v>
      </c>
      <c r="B200" s="7">
        <f t="shared" si="64"/>
        <v>23.68</v>
      </c>
      <c r="C200" s="7">
        <f t="shared" si="48"/>
        <v>1.5914594607099657</v>
      </c>
      <c r="D200" s="7">
        <f t="shared" si="49"/>
        <v>1.1740826732417058</v>
      </c>
      <c r="E200" s="7">
        <f t="shared" si="50"/>
        <v>1</v>
      </c>
      <c r="G200" s="4">
        <f t="shared" si="51"/>
        <v>1879.9999999999998</v>
      </c>
      <c r="H200" s="1">
        <f t="shared" si="62"/>
        <v>1.5413851351351699</v>
      </c>
      <c r="I200" s="1">
        <f t="shared" si="63"/>
        <v>346.66699109516367</v>
      </c>
      <c r="J200" s="1">
        <f t="shared" si="52"/>
        <v>11.55556636983879</v>
      </c>
      <c r="K200" s="7">
        <f t="shared" si="53"/>
        <v>0.94977257834291418</v>
      </c>
      <c r="L200" s="4">
        <f t="shared" si="54"/>
        <v>6487.6712328767135</v>
      </c>
      <c r="M200" s="1">
        <f t="shared" si="55"/>
        <v>795.72973035498285</v>
      </c>
      <c r="N200" s="7">
        <f t="shared" si="56"/>
        <v>1.1740826732417058</v>
      </c>
      <c r="O200" s="1">
        <f t="shared" si="57"/>
        <v>3000</v>
      </c>
      <c r="P200" s="2">
        <f t="shared" si="58"/>
        <v>5.1624328807687663</v>
      </c>
      <c r="Q200" s="2">
        <f t="shared" si="65"/>
        <v>77.075554573646187</v>
      </c>
      <c r="S200" s="1">
        <f t="shared" si="46"/>
        <v>3000</v>
      </c>
      <c r="T200" s="1">
        <f t="shared" si="47"/>
        <v>6487.6712328767135</v>
      </c>
      <c r="V200" s="1">
        <f t="shared" si="59"/>
        <v>6487.6712328767135</v>
      </c>
      <c r="W200" s="1">
        <f t="shared" si="60"/>
        <v>3000</v>
      </c>
    </row>
    <row r="201" spans="1:23" x14ac:dyDescent="0.25">
      <c r="A201" s="2">
        <f t="shared" si="61"/>
        <v>18.899999999999999</v>
      </c>
      <c r="B201" s="7">
        <f t="shared" si="64"/>
        <v>23.68</v>
      </c>
      <c r="C201" s="7">
        <f t="shared" si="48"/>
        <v>1.5921694099363515</v>
      </c>
      <c r="D201" s="7">
        <f t="shared" si="49"/>
        <v>1.1812097664106127</v>
      </c>
      <c r="E201" s="7">
        <f t="shared" si="50"/>
        <v>1</v>
      </c>
      <c r="G201" s="4">
        <f t="shared" si="51"/>
        <v>1889.9999999999998</v>
      </c>
      <c r="H201" s="1">
        <f t="shared" si="62"/>
        <v>1.5413851351351349</v>
      </c>
      <c r="I201" s="1">
        <f t="shared" si="63"/>
        <v>348.20837623029882</v>
      </c>
      <c r="J201" s="1">
        <f t="shared" si="52"/>
        <v>11.606945874343294</v>
      </c>
      <c r="K201" s="7">
        <f t="shared" si="53"/>
        <v>0.9539955513158872</v>
      </c>
      <c r="L201" s="4">
        <f t="shared" si="54"/>
        <v>6487.6712328767135</v>
      </c>
      <c r="M201" s="1">
        <f t="shared" si="55"/>
        <v>796.08470496817574</v>
      </c>
      <c r="N201" s="7">
        <f t="shared" si="56"/>
        <v>1.1812097664106127</v>
      </c>
      <c r="O201" s="1">
        <f t="shared" si="57"/>
        <v>3000</v>
      </c>
      <c r="P201" s="2">
        <f t="shared" si="58"/>
        <v>5.1647358393551794</v>
      </c>
      <c r="Q201" s="2">
        <f t="shared" si="65"/>
        <v>77.54902284697603</v>
      </c>
      <c r="S201" s="1">
        <f t="shared" si="46"/>
        <v>3000</v>
      </c>
      <c r="T201" s="1">
        <f t="shared" si="47"/>
        <v>6487.6712328767135</v>
      </c>
      <c r="V201" s="1">
        <f t="shared" si="59"/>
        <v>6487.6712328767135</v>
      </c>
      <c r="W201" s="1">
        <f t="shared" si="60"/>
        <v>3000</v>
      </c>
    </row>
    <row r="202" spans="1:23" x14ac:dyDescent="0.25">
      <c r="A202" s="2">
        <f t="shared" si="61"/>
        <v>19</v>
      </c>
      <c r="B202" s="7">
        <f t="shared" si="64"/>
        <v>23.68</v>
      </c>
      <c r="C202" s="7">
        <f t="shared" si="48"/>
        <v>1.5928796758707127</v>
      </c>
      <c r="D202" s="7">
        <f t="shared" si="49"/>
        <v>1.1883801235320473</v>
      </c>
      <c r="E202" s="7">
        <f t="shared" si="50"/>
        <v>1</v>
      </c>
      <c r="G202" s="4">
        <f t="shared" si="51"/>
        <v>1900</v>
      </c>
      <c r="H202" s="1">
        <f t="shared" si="62"/>
        <v>1.5413851351351699</v>
      </c>
      <c r="I202" s="1">
        <f t="shared" si="63"/>
        <v>349.74976136543398</v>
      </c>
      <c r="J202" s="1">
        <f t="shared" si="52"/>
        <v>11.658325378847799</v>
      </c>
      <c r="K202" s="7">
        <f t="shared" si="53"/>
        <v>0.95821852428886023</v>
      </c>
      <c r="L202" s="4">
        <f t="shared" si="54"/>
        <v>6487.6712328767135</v>
      </c>
      <c r="M202" s="1">
        <f t="shared" si="55"/>
        <v>796.43983793535631</v>
      </c>
      <c r="N202" s="7">
        <f t="shared" si="56"/>
        <v>1.1883801235320473</v>
      </c>
      <c r="O202" s="1">
        <f t="shared" si="57"/>
        <v>3000</v>
      </c>
      <c r="P202" s="2">
        <f t="shared" si="58"/>
        <v>5.1670398252902032</v>
      </c>
      <c r="Q202" s="2">
        <f t="shared" si="65"/>
        <v>78.025434162500119</v>
      </c>
      <c r="S202" s="1">
        <f t="shared" si="46"/>
        <v>3000</v>
      </c>
      <c r="T202" s="1">
        <f t="shared" si="47"/>
        <v>6487.6712328767135</v>
      </c>
      <c r="V202" s="1">
        <f t="shared" si="59"/>
        <v>6487.6712328767135</v>
      </c>
      <c r="W202" s="1">
        <f t="shared" si="60"/>
        <v>3000</v>
      </c>
    </row>
    <row r="203" spans="1:23" x14ac:dyDescent="0.25">
      <c r="A203" s="2">
        <f t="shared" si="61"/>
        <v>19.100000000000001</v>
      </c>
      <c r="B203" s="7">
        <f t="shared" si="64"/>
        <v>23.68</v>
      </c>
      <c r="C203" s="7">
        <f t="shared" si="48"/>
        <v>1.5935902586543331</v>
      </c>
      <c r="D203" s="7">
        <f t="shared" si="49"/>
        <v>1.1955940072333582</v>
      </c>
      <c r="E203" s="7">
        <f t="shared" si="50"/>
        <v>1</v>
      </c>
      <c r="G203" s="4">
        <f t="shared" si="51"/>
        <v>1910.0000000000002</v>
      </c>
      <c r="H203" s="1">
        <f t="shared" si="62"/>
        <v>1.5413851351351699</v>
      </c>
      <c r="I203" s="1">
        <f t="shared" si="63"/>
        <v>351.29114650056914</v>
      </c>
      <c r="J203" s="1">
        <f t="shared" si="52"/>
        <v>11.709704883352305</v>
      </c>
      <c r="K203" s="7">
        <f t="shared" si="53"/>
        <v>0.96244149726183326</v>
      </c>
      <c r="L203" s="4">
        <f t="shared" si="54"/>
        <v>6487.6712328767135</v>
      </c>
      <c r="M203" s="1">
        <f t="shared" si="55"/>
        <v>796.79512932716659</v>
      </c>
      <c r="N203" s="7">
        <f t="shared" si="56"/>
        <v>1.1955940072333582</v>
      </c>
      <c r="O203" s="1">
        <f t="shared" si="57"/>
        <v>3000</v>
      </c>
      <c r="P203" s="2">
        <f t="shared" si="58"/>
        <v>5.1693448390321395</v>
      </c>
      <c r="Q203" s="2">
        <f t="shared" si="65"/>
        <v>78.504807240028398</v>
      </c>
      <c r="S203" s="1">
        <f t="shared" si="46"/>
        <v>3000</v>
      </c>
      <c r="T203" s="1">
        <f t="shared" si="47"/>
        <v>6487.6712328767135</v>
      </c>
      <c r="V203" s="1">
        <f t="shared" si="59"/>
        <v>6487.6712328767135</v>
      </c>
      <c r="W203" s="1">
        <f t="shared" si="60"/>
        <v>3000</v>
      </c>
    </row>
    <row r="204" spans="1:23" x14ac:dyDescent="0.25">
      <c r="A204" s="2">
        <f t="shared" si="61"/>
        <v>19.200000000000003</v>
      </c>
      <c r="B204" s="7">
        <f t="shared" si="64"/>
        <v>23.68</v>
      </c>
      <c r="C204" s="7">
        <f t="shared" si="48"/>
        <v>1.5943011584285585</v>
      </c>
      <c r="D204" s="7">
        <f t="shared" si="49"/>
        <v>1.2028516817361357</v>
      </c>
      <c r="E204" s="7">
        <f t="shared" si="50"/>
        <v>1</v>
      </c>
      <c r="G204" s="4">
        <f t="shared" si="51"/>
        <v>1920.0000000000005</v>
      </c>
      <c r="H204" s="1">
        <f t="shared" si="62"/>
        <v>1.5413851351351699</v>
      </c>
      <c r="I204" s="1">
        <f t="shared" si="63"/>
        <v>352.8325316357043</v>
      </c>
      <c r="J204" s="1">
        <f t="shared" si="52"/>
        <v>11.76108438785681</v>
      </c>
      <c r="K204" s="7">
        <f t="shared" si="53"/>
        <v>0.96666447023480628</v>
      </c>
      <c r="L204" s="4">
        <f t="shared" si="54"/>
        <v>6487.6712328767135</v>
      </c>
      <c r="M204" s="1">
        <f t="shared" si="55"/>
        <v>797.15057921427922</v>
      </c>
      <c r="N204" s="7">
        <f t="shared" si="56"/>
        <v>1.2028516817361357</v>
      </c>
      <c r="O204" s="1">
        <f t="shared" si="57"/>
        <v>3000</v>
      </c>
      <c r="P204" s="2">
        <f t="shared" si="58"/>
        <v>5.171650881039489</v>
      </c>
      <c r="Q204" s="2">
        <f t="shared" si="65"/>
        <v>78.987160923695342</v>
      </c>
      <c r="S204" s="1">
        <f t="shared" ref="S204:S267" si="66">E204*$H$3</f>
        <v>3000</v>
      </c>
      <c r="T204" s="1">
        <f t="shared" ref="T204:T267" si="67">B204/100*$H$2/365*1000000</f>
        <v>6487.6712328767135</v>
      </c>
      <c r="V204" s="1">
        <f t="shared" si="59"/>
        <v>6487.6712328767135</v>
      </c>
      <c r="W204" s="1">
        <f t="shared" si="60"/>
        <v>3000</v>
      </c>
    </row>
    <row r="205" spans="1:23" x14ac:dyDescent="0.25">
      <c r="A205" s="2">
        <f t="shared" si="61"/>
        <v>19.300000000000004</v>
      </c>
      <c r="B205" s="7">
        <f t="shared" si="64"/>
        <v>23.68</v>
      </c>
      <c r="C205" s="7">
        <f t="shared" ref="C205:C268" si="68">IF($C$5&lt;$C$7,IF(A205&lt;=$C$2,$C$3*EXP(A205*$C$4),IF(A205&lt;=$C$7,$C$6,IF($C$8*EXP(A205*$C$9)&gt;$C$6,$C$6,$C$8*EXP(A205*$C$9)))),IF(A205&lt;=$C$2,$C$3*EXP(A205*$C$4),IF(A205&lt;=$C$5,$C$6,IF($C$8*EXP(A205*$C$9)&gt;$C$6,$C$6,$C$8*EXP(A205*$C$9)))))</f>
        <v>1.5950123753347982</v>
      </c>
      <c r="D205" s="7">
        <f t="shared" ref="D205:D268" si="69">IF(IF($D$5&lt;$D$7,IF(A205&lt;=$D$2,$D$3*EXP(A205*$D$4),IF(A205&lt;=$D$7,$D$6,IF($D$8*EXP(A205*$D$9)&gt;$D$6,$D$6,$D$8*EXP(A205*$D$9)))),IF(A205&lt;=$D$2,$D$3*EXP(A205*$D$4),IF(A205&lt;=$D$5,$D$6,IF($D$8*EXP(A205*$D$9)&gt;$D$6,$D$6,$D$8*EXP(A205*$D$9)))))&lt;=100,IF($D$5&lt;$D$7,IF(A205&lt;=$D$2,$D$3*EXP(A205*$D$4),IF(A205&lt;=$D$7,$D$6,IF($D$8*EXP(A205*$D$9)&gt;$D$6,$D$6,$D$8*EXP(A205*$D$9)))),IF(A205&lt;=$D$2,$D$3*EXP(A205*$D$4),IF(A205&lt;=$D$5,$D$6,IF($D$8*EXP(A205*$D$9)&gt;$D$6,$D$6,$D$8*EXP(A205*$D$9))))),100)</f>
        <v>1.2101534128658864</v>
      </c>
      <c r="E205" s="7">
        <f t="shared" ref="E205:E268" si="70">IF($E$5&lt;$E$7,IF(A205&lt;=$E$2,$E$3*EXP(A205*$E$4),IF(A205&lt;=$E$7,$E$6,IF($E$8*EXP(A205*$E$9)&gt;$E$6,$E$6,$E$8*EXP(A205*$E$9)))),IF(A205&lt;=$E$2,$E$3*EXP(A205*$E$4),IF(A205&lt;=$E$5,$E$6,IF($E$8*EXP(A205*$E$9)&gt;$E$6,$E$6,$E$8*EXP(A205*$E$9)))))</f>
        <v>1</v>
      </c>
      <c r="G205" s="4">
        <f t="shared" ref="G205:G268" si="71">A205/100*$H$2*1000</f>
        <v>1930.0000000000005</v>
      </c>
      <c r="H205" s="1">
        <f t="shared" si="62"/>
        <v>1.5413851351351349</v>
      </c>
      <c r="I205" s="1">
        <f t="shared" si="63"/>
        <v>354.37391677083946</v>
      </c>
      <c r="J205" s="1">
        <f t="shared" ref="J205:J268" si="72">I205/30</f>
        <v>11.812463892361315</v>
      </c>
      <c r="K205" s="7">
        <f t="shared" ref="K205:K268" si="73">I205/365</f>
        <v>0.97088744320777931</v>
      </c>
      <c r="L205" s="4">
        <f t="shared" ref="L205:L268" si="74">IF(A205&gt;$B$2,IF(AND(B205/100*$H$2/365*1000000&gt;=$H$5,O205&gt;=$H$6,M205&lt;=$L$4,N205&lt;=$L$5),B205/100*$H$2/365*1000000*$L$6/100,#N/A),B205/100*$H$2/365*1000000*$L$6/100)</f>
        <v>6487.6712328767135</v>
      </c>
      <c r="M205" s="1">
        <f t="shared" ref="M205:M268" si="75">C205*$H$4</f>
        <v>797.5061876673991</v>
      </c>
      <c r="N205" s="7">
        <f t="shared" ref="N205:N268" si="76">D205</f>
        <v>1.2101534128658864</v>
      </c>
      <c r="O205" s="1">
        <f t="shared" ref="O205:O268" si="77">E205*$H$3</f>
        <v>3000</v>
      </c>
      <c r="P205" s="2">
        <f t="shared" ref="P205:P268" si="78">L205*M205/1000000</f>
        <v>5.1739579517709631</v>
      </c>
      <c r="Q205" s="2">
        <f t="shared" si="65"/>
        <v>79.472514182849949</v>
      </c>
      <c r="S205" s="1">
        <f t="shared" si="66"/>
        <v>3000</v>
      </c>
      <c r="T205" s="1">
        <f t="shared" si="67"/>
        <v>6487.6712328767135</v>
      </c>
      <c r="V205" s="1">
        <f t="shared" ref="V205:V268" si="79">T205</f>
        <v>6487.6712328767135</v>
      </c>
      <c r="W205" s="1">
        <f t="shared" ref="W205:W268" si="80">S205</f>
        <v>3000</v>
      </c>
    </row>
    <row r="206" spans="1:23" x14ac:dyDescent="0.25">
      <c r="A206" s="2">
        <f t="shared" ref="A206:A269" si="81">A205+0.1</f>
        <v>19.400000000000006</v>
      </c>
      <c r="B206" s="7">
        <f t="shared" si="64"/>
        <v>23.68</v>
      </c>
      <c r="C206" s="7">
        <f t="shared" si="68"/>
        <v>1.595723909514525</v>
      </c>
      <c r="D206" s="7">
        <f t="shared" si="69"/>
        <v>1.2174994680617715</v>
      </c>
      <c r="E206" s="7">
        <f t="shared" si="70"/>
        <v>1</v>
      </c>
      <c r="G206" s="4">
        <f t="shared" si="71"/>
        <v>1940.0000000000007</v>
      </c>
      <c r="H206" s="1">
        <f t="shared" ref="H206:H269" si="82">(G206-G205)*1000/L206</f>
        <v>1.5413851351351699</v>
      </c>
      <c r="I206" s="1">
        <f t="shared" ref="I206:I269" si="83">H206+I205</f>
        <v>355.91530190597462</v>
      </c>
      <c r="J206" s="1">
        <f t="shared" si="72"/>
        <v>11.863843396865821</v>
      </c>
      <c r="K206" s="7">
        <f t="shared" si="73"/>
        <v>0.97511041618075234</v>
      </c>
      <c r="L206" s="4">
        <f t="shared" si="74"/>
        <v>6487.6712328767135</v>
      </c>
      <c r="M206" s="1">
        <f t="shared" si="75"/>
        <v>797.86195475726254</v>
      </c>
      <c r="N206" s="7">
        <f t="shared" si="76"/>
        <v>1.2174994680617715</v>
      </c>
      <c r="O206" s="1">
        <f t="shared" si="77"/>
        <v>3000</v>
      </c>
      <c r="P206" s="2">
        <f t="shared" si="78"/>
        <v>5.1762660516854737</v>
      </c>
      <c r="Q206" s="2">
        <f t="shared" si="65"/>
        <v>79.960886112953233</v>
      </c>
      <c r="S206" s="1">
        <f t="shared" si="66"/>
        <v>3000</v>
      </c>
      <c r="T206" s="1">
        <f t="shared" si="67"/>
        <v>6487.6712328767135</v>
      </c>
      <c r="V206" s="1">
        <f t="shared" si="79"/>
        <v>6487.6712328767135</v>
      </c>
      <c r="W206" s="1">
        <f t="shared" si="80"/>
        <v>3000</v>
      </c>
    </row>
    <row r="207" spans="1:23" x14ac:dyDescent="0.25">
      <c r="A207" s="2">
        <f t="shared" si="81"/>
        <v>19.500000000000007</v>
      </c>
      <c r="B207" s="7">
        <f t="shared" si="64"/>
        <v>23.68</v>
      </c>
      <c r="C207" s="7">
        <f t="shared" si="68"/>
        <v>1.5964357611092743</v>
      </c>
      <c r="D207" s="7">
        <f t="shared" si="69"/>
        <v>1.2248901163864014</v>
      </c>
      <c r="E207" s="7">
        <f t="shared" si="70"/>
        <v>1</v>
      </c>
      <c r="G207" s="4">
        <f t="shared" si="71"/>
        <v>1950.0000000000007</v>
      </c>
      <c r="H207" s="1">
        <f t="shared" si="82"/>
        <v>1.5413851351351349</v>
      </c>
      <c r="I207" s="1">
        <f t="shared" si="83"/>
        <v>357.45668704110977</v>
      </c>
      <c r="J207" s="1">
        <f t="shared" si="72"/>
        <v>11.915222901370326</v>
      </c>
      <c r="K207" s="7">
        <f t="shared" si="73"/>
        <v>0.97933338915372536</v>
      </c>
      <c r="L207" s="4">
        <f t="shared" si="74"/>
        <v>6487.6712328767135</v>
      </c>
      <c r="M207" s="1">
        <f t="shared" si="75"/>
        <v>798.21788055463719</v>
      </c>
      <c r="N207" s="7">
        <f t="shared" si="76"/>
        <v>1.2248901163864014</v>
      </c>
      <c r="O207" s="1">
        <f t="shared" si="77"/>
        <v>3000</v>
      </c>
      <c r="P207" s="2">
        <f t="shared" si="78"/>
        <v>5.1785751812421399</v>
      </c>
      <c r="Q207" s="2">
        <f t="shared" si="65"/>
        <v>80.452295936482571</v>
      </c>
      <c r="S207" s="1">
        <f t="shared" si="66"/>
        <v>3000</v>
      </c>
      <c r="T207" s="1">
        <f t="shared" si="67"/>
        <v>6487.6712328767135</v>
      </c>
      <c r="V207" s="1">
        <f t="shared" si="79"/>
        <v>6487.6712328767135</v>
      </c>
      <c r="W207" s="1">
        <f t="shared" si="80"/>
        <v>3000</v>
      </c>
    </row>
    <row r="208" spans="1:23" x14ac:dyDescent="0.25">
      <c r="A208" s="2">
        <f t="shared" si="81"/>
        <v>19.600000000000009</v>
      </c>
      <c r="B208" s="7">
        <f t="shared" si="64"/>
        <v>23.68</v>
      </c>
      <c r="C208" s="7">
        <f t="shared" si="68"/>
        <v>1.5971479302606444</v>
      </c>
      <c r="D208" s="7">
        <f t="shared" si="69"/>
        <v>1.2323256285356909</v>
      </c>
      <c r="E208" s="7">
        <f t="shared" si="70"/>
        <v>1</v>
      </c>
      <c r="G208" s="4">
        <f t="shared" si="71"/>
        <v>1960.0000000000009</v>
      </c>
      <c r="H208" s="1">
        <f t="shared" si="82"/>
        <v>1.5413851351351699</v>
      </c>
      <c r="I208" s="1">
        <f t="shared" si="83"/>
        <v>358.99807217624493</v>
      </c>
      <c r="J208" s="1">
        <f t="shared" si="72"/>
        <v>11.966602405874831</v>
      </c>
      <c r="K208" s="7">
        <f t="shared" si="73"/>
        <v>0.98355636212669839</v>
      </c>
      <c r="L208" s="4">
        <f t="shared" si="74"/>
        <v>6487.6712328767135</v>
      </c>
      <c r="M208" s="1">
        <f t="shared" si="75"/>
        <v>798.57396513032222</v>
      </c>
      <c r="N208" s="7">
        <f t="shared" si="76"/>
        <v>1.2323256285356909</v>
      </c>
      <c r="O208" s="1">
        <f t="shared" si="77"/>
        <v>3000</v>
      </c>
      <c r="P208" s="2">
        <f t="shared" si="78"/>
        <v>5.1808853409002831</v>
      </c>
      <c r="Q208" s="2">
        <f t="shared" si="65"/>
        <v>80.946763003843571</v>
      </c>
      <c r="S208" s="1">
        <f t="shared" si="66"/>
        <v>3000</v>
      </c>
      <c r="T208" s="1">
        <f t="shared" si="67"/>
        <v>6487.6712328767135</v>
      </c>
      <c r="V208" s="1">
        <f t="shared" si="79"/>
        <v>6487.6712328767135</v>
      </c>
      <c r="W208" s="1">
        <f t="shared" si="80"/>
        <v>3000</v>
      </c>
    </row>
    <row r="209" spans="1:23" x14ac:dyDescent="0.25">
      <c r="A209" s="2">
        <f t="shared" si="81"/>
        <v>19.70000000000001</v>
      </c>
      <c r="B209" s="7">
        <f t="shared" si="64"/>
        <v>23.68</v>
      </c>
      <c r="C209" s="7">
        <f t="shared" si="68"/>
        <v>1.5978604171102977</v>
      </c>
      <c r="D209" s="7">
        <f t="shared" si="69"/>
        <v>1.2398062768487741</v>
      </c>
      <c r="E209" s="7">
        <f t="shared" si="70"/>
        <v>1</v>
      </c>
      <c r="G209" s="4">
        <f t="shared" si="71"/>
        <v>1970.0000000000009</v>
      </c>
      <c r="H209" s="1">
        <f t="shared" si="82"/>
        <v>1.5413851351351349</v>
      </c>
      <c r="I209" s="1">
        <f t="shared" si="83"/>
        <v>360.53945731138009</v>
      </c>
      <c r="J209" s="1">
        <f t="shared" si="72"/>
        <v>12.017981910379337</v>
      </c>
      <c r="K209" s="7">
        <f t="shared" si="73"/>
        <v>0.98777933509967153</v>
      </c>
      <c r="L209" s="4">
        <f t="shared" si="74"/>
        <v>6487.6712328767135</v>
      </c>
      <c r="M209" s="1">
        <f t="shared" si="75"/>
        <v>798.93020855514885</v>
      </c>
      <c r="N209" s="7">
        <f t="shared" si="76"/>
        <v>1.2398062768487741</v>
      </c>
      <c r="O209" s="1">
        <f t="shared" si="77"/>
        <v>3000</v>
      </c>
      <c r="P209" s="2">
        <f t="shared" si="78"/>
        <v>5.1831965311194326</v>
      </c>
      <c r="Q209" s="2">
        <f t="shared" si="65"/>
        <v>81.444306794289318</v>
      </c>
      <c r="S209" s="1">
        <f t="shared" si="66"/>
        <v>3000</v>
      </c>
      <c r="T209" s="1">
        <f t="shared" si="67"/>
        <v>6487.6712328767135</v>
      </c>
      <c r="V209" s="1">
        <f t="shared" si="79"/>
        <v>6487.6712328767135</v>
      </c>
      <c r="W209" s="1">
        <f t="shared" si="80"/>
        <v>3000</v>
      </c>
    </row>
    <row r="210" spans="1:23" x14ac:dyDescent="0.25">
      <c r="A210" s="2">
        <f t="shared" si="81"/>
        <v>19.800000000000011</v>
      </c>
      <c r="B210" s="7">
        <f t="shared" si="64"/>
        <v>23.68</v>
      </c>
      <c r="C210" s="7">
        <f t="shared" si="68"/>
        <v>1.5985732217999593</v>
      </c>
      <c r="D210" s="7">
        <f t="shared" si="69"/>
        <v>1.2473323353179786</v>
      </c>
      <c r="E210" s="7">
        <f t="shared" si="70"/>
        <v>1</v>
      </c>
      <c r="G210" s="4">
        <f t="shared" si="71"/>
        <v>1980.0000000000014</v>
      </c>
      <c r="H210" s="1">
        <f t="shared" si="82"/>
        <v>1.541385135135205</v>
      </c>
      <c r="I210" s="1">
        <f t="shared" si="83"/>
        <v>362.08084244651531</v>
      </c>
      <c r="J210" s="1">
        <f t="shared" si="72"/>
        <v>12.069361414883844</v>
      </c>
      <c r="K210" s="7">
        <f t="shared" si="73"/>
        <v>0.99200230807264467</v>
      </c>
      <c r="L210" s="4">
        <f t="shared" si="74"/>
        <v>6487.6712328767135</v>
      </c>
      <c r="M210" s="1">
        <f t="shared" si="75"/>
        <v>799.28661089997968</v>
      </c>
      <c r="N210" s="7">
        <f t="shared" si="76"/>
        <v>1.2473323353179786</v>
      </c>
      <c r="O210" s="1">
        <f t="shared" si="77"/>
        <v>3000</v>
      </c>
      <c r="P210" s="2">
        <f t="shared" si="78"/>
        <v>5.1855087523593211</v>
      </c>
      <c r="Q210" s="2">
        <f t="shared" si="65"/>
        <v>81.944946916846774</v>
      </c>
      <c r="S210" s="1">
        <f t="shared" si="66"/>
        <v>3000</v>
      </c>
      <c r="T210" s="1">
        <f t="shared" si="67"/>
        <v>6487.6712328767135</v>
      </c>
      <c r="V210" s="1">
        <f t="shared" si="79"/>
        <v>6487.6712328767135</v>
      </c>
      <c r="W210" s="1">
        <f t="shared" si="80"/>
        <v>3000</v>
      </c>
    </row>
    <row r="211" spans="1:23" x14ac:dyDescent="0.25">
      <c r="A211" s="2">
        <f t="shared" si="81"/>
        <v>19.900000000000013</v>
      </c>
      <c r="B211" s="7">
        <f t="shared" si="64"/>
        <v>23.68</v>
      </c>
      <c r="C211" s="7">
        <f t="shared" si="68"/>
        <v>1.5992863444714167</v>
      </c>
      <c r="D211" s="7">
        <f t="shared" si="69"/>
        <v>1.2549040795988615</v>
      </c>
      <c r="E211" s="7">
        <f t="shared" si="70"/>
        <v>1</v>
      </c>
      <c r="G211" s="4">
        <f t="shared" si="71"/>
        <v>1990.0000000000011</v>
      </c>
      <c r="H211" s="1">
        <f t="shared" si="82"/>
        <v>1.5413851351350998</v>
      </c>
      <c r="I211" s="1">
        <f t="shared" si="83"/>
        <v>363.62222758165041</v>
      </c>
      <c r="J211" s="1">
        <f t="shared" si="72"/>
        <v>12.120740919388346</v>
      </c>
      <c r="K211" s="7">
        <f t="shared" si="73"/>
        <v>0.99622528104561758</v>
      </c>
      <c r="L211" s="4">
        <f t="shared" si="74"/>
        <v>6487.6712328767135</v>
      </c>
      <c r="M211" s="1">
        <f t="shared" si="75"/>
        <v>799.64317223570833</v>
      </c>
      <c r="N211" s="7">
        <f t="shared" si="76"/>
        <v>1.2549040795988615</v>
      </c>
      <c r="O211" s="1">
        <f t="shared" si="77"/>
        <v>3000</v>
      </c>
      <c r="P211" s="2">
        <f t="shared" si="78"/>
        <v>5.1878220050798838</v>
      </c>
      <c r="Q211" s="2">
        <f t="shared" si="65"/>
        <v>82.448703111251064</v>
      </c>
      <c r="S211" s="1">
        <f t="shared" si="66"/>
        <v>3000</v>
      </c>
      <c r="T211" s="1">
        <f t="shared" si="67"/>
        <v>6487.6712328767135</v>
      </c>
      <c r="V211" s="1">
        <f t="shared" si="79"/>
        <v>6487.6712328767135</v>
      </c>
      <c r="W211" s="1">
        <f t="shared" si="80"/>
        <v>3000</v>
      </c>
    </row>
    <row r="212" spans="1:23" x14ac:dyDescent="0.25">
      <c r="A212" s="2">
        <f t="shared" si="81"/>
        <v>20.000000000000014</v>
      </c>
      <c r="B212" s="7">
        <f t="shared" si="64"/>
        <v>23.68</v>
      </c>
      <c r="C212" s="7">
        <f t="shared" si="68"/>
        <v>1.599999785266522</v>
      </c>
      <c r="D212" s="7">
        <f t="shared" si="69"/>
        <v>1.2625217870203058</v>
      </c>
      <c r="E212" s="7">
        <f t="shared" si="70"/>
        <v>1</v>
      </c>
      <c r="G212" s="4">
        <f t="shared" si="71"/>
        <v>2000.0000000000014</v>
      </c>
      <c r="H212" s="1">
        <f t="shared" si="82"/>
        <v>1.5413851351351699</v>
      </c>
      <c r="I212" s="1">
        <f t="shared" si="83"/>
        <v>365.16361271678556</v>
      </c>
      <c r="J212" s="1">
        <f t="shared" si="72"/>
        <v>12.172120423892853</v>
      </c>
      <c r="K212" s="7">
        <f t="shared" si="73"/>
        <v>1.0004482540185906</v>
      </c>
      <c r="L212" s="4">
        <f t="shared" si="74"/>
        <v>6487.6712328767135</v>
      </c>
      <c r="M212" s="1">
        <f t="shared" si="75"/>
        <v>799.99989263326097</v>
      </c>
      <c r="N212" s="7">
        <f t="shared" si="76"/>
        <v>1.2625217870203058</v>
      </c>
      <c r="O212" s="1">
        <f t="shared" si="77"/>
        <v>3000</v>
      </c>
      <c r="P212" s="2">
        <f t="shared" si="78"/>
        <v>5.1901362897412664</v>
      </c>
      <c r="Q212" s="2">
        <f t="shared" si="65"/>
        <v>82.955595248886979</v>
      </c>
      <c r="S212" s="1">
        <f t="shared" si="66"/>
        <v>3000</v>
      </c>
      <c r="T212" s="1">
        <f t="shared" si="67"/>
        <v>6487.6712328767135</v>
      </c>
      <c r="V212" s="1">
        <f t="shared" si="79"/>
        <v>6487.6712328767135</v>
      </c>
      <c r="W212" s="1">
        <f t="shared" si="80"/>
        <v>3000</v>
      </c>
    </row>
    <row r="213" spans="1:23" x14ac:dyDescent="0.25">
      <c r="A213" s="2">
        <f t="shared" si="81"/>
        <v>20.100000000000016</v>
      </c>
      <c r="B213" s="7">
        <f t="shared" si="64"/>
        <v>23.68</v>
      </c>
      <c r="C213" s="7">
        <f t="shared" si="68"/>
        <v>1.60071354432719</v>
      </c>
      <c r="D213" s="7">
        <f t="shared" si="69"/>
        <v>1.2701857365946783</v>
      </c>
      <c r="E213" s="7">
        <f t="shared" si="70"/>
        <v>1</v>
      </c>
      <c r="G213" s="4">
        <f t="shared" si="71"/>
        <v>2010.0000000000016</v>
      </c>
      <c r="H213" s="1">
        <f t="shared" si="82"/>
        <v>1.5413851351351699</v>
      </c>
      <c r="I213" s="1">
        <f t="shared" si="83"/>
        <v>366.70499785192072</v>
      </c>
      <c r="J213" s="1">
        <f t="shared" si="72"/>
        <v>12.223499928397358</v>
      </c>
      <c r="K213" s="7">
        <f t="shared" si="73"/>
        <v>1.0046712269915636</v>
      </c>
      <c r="L213" s="4">
        <f t="shared" si="74"/>
        <v>6487.6712328767135</v>
      </c>
      <c r="M213" s="1">
        <f t="shared" si="75"/>
        <v>800.356772163595</v>
      </c>
      <c r="N213" s="7">
        <f t="shared" si="76"/>
        <v>1.2701857365946783</v>
      </c>
      <c r="O213" s="1">
        <f t="shared" si="77"/>
        <v>3000</v>
      </c>
      <c r="P213" s="2">
        <f t="shared" si="78"/>
        <v>5.192451606803818</v>
      </c>
      <c r="Q213" s="2">
        <f t="shared" si="65"/>
        <v>83.465643333738242</v>
      </c>
      <c r="S213" s="1">
        <f t="shared" si="66"/>
        <v>3000</v>
      </c>
      <c r="T213" s="1">
        <f t="shared" si="67"/>
        <v>6487.6712328767135</v>
      </c>
      <c r="V213" s="1">
        <f t="shared" si="79"/>
        <v>6487.6712328767135</v>
      </c>
      <c r="W213" s="1">
        <f t="shared" si="80"/>
        <v>3000</v>
      </c>
    </row>
    <row r="214" spans="1:23" x14ac:dyDescent="0.25">
      <c r="A214" s="2">
        <f t="shared" si="81"/>
        <v>20.200000000000017</v>
      </c>
      <c r="B214" s="7">
        <f t="shared" si="64"/>
        <v>23.68</v>
      </c>
      <c r="C214" s="7">
        <f t="shared" si="68"/>
        <v>1.6014276217953984</v>
      </c>
      <c r="D214" s="7">
        <f t="shared" si="69"/>
        <v>1.2778962090280475</v>
      </c>
      <c r="E214" s="7">
        <f t="shared" si="70"/>
        <v>1</v>
      </c>
      <c r="G214" s="4">
        <f t="shared" si="71"/>
        <v>2020.0000000000018</v>
      </c>
      <c r="H214" s="1">
        <f t="shared" si="82"/>
        <v>1.5413851351351699</v>
      </c>
      <c r="I214" s="1">
        <f t="shared" si="83"/>
        <v>368.24638298705588</v>
      </c>
      <c r="J214" s="1">
        <f t="shared" si="72"/>
        <v>12.274879432901862</v>
      </c>
      <c r="K214" s="7">
        <f t="shared" si="73"/>
        <v>1.0088941999645367</v>
      </c>
      <c r="L214" s="4">
        <f t="shared" si="74"/>
        <v>6487.6712328767135</v>
      </c>
      <c r="M214" s="1">
        <f t="shared" si="75"/>
        <v>800.7138108976992</v>
      </c>
      <c r="N214" s="7">
        <f t="shared" si="76"/>
        <v>1.2778962090280475</v>
      </c>
      <c r="O214" s="1">
        <f t="shared" si="77"/>
        <v>3000</v>
      </c>
      <c r="P214" s="2">
        <f t="shared" si="78"/>
        <v>5.1947679567280876</v>
      </c>
      <c r="Q214" s="2">
        <f t="shared" si="65"/>
        <v>83.978867503344645</v>
      </c>
      <c r="S214" s="1">
        <f t="shared" si="66"/>
        <v>3000</v>
      </c>
      <c r="T214" s="1">
        <f t="shared" si="67"/>
        <v>6487.6712328767135</v>
      </c>
      <c r="V214" s="1">
        <f t="shared" si="79"/>
        <v>6487.6712328767135</v>
      </c>
      <c r="W214" s="1">
        <f t="shared" si="80"/>
        <v>3000</v>
      </c>
    </row>
    <row r="215" spans="1:23" x14ac:dyDescent="0.25">
      <c r="A215" s="2">
        <f t="shared" si="81"/>
        <v>20.300000000000018</v>
      </c>
      <c r="B215" s="7">
        <f t="shared" si="64"/>
        <v>23.68</v>
      </c>
      <c r="C215" s="7">
        <f t="shared" si="68"/>
        <v>1.6021420178131893</v>
      </c>
      <c r="D215" s="7">
        <f t="shared" si="69"/>
        <v>1.2856534867304681</v>
      </c>
      <c r="E215" s="7">
        <f t="shared" si="70"/>
        <v>1</v>
      </c>
      <c r="G215" s="4">
        <f t="shared" si="71"/>
        <v>2030.000000000002</v>
      </c>
      <c r="H215" s="1">
        <f t="shared" si="82"/>
        <v>1.5413851351351699</v>
      </c>
      <c r="I215" s="1">
        <f t="shared" si="83"/>
        <v>369.78776812219104</v>
      </c>
      <c r="J215" s="1">
        <f t="shared" si="72"/>
        <v>12.326258937406369</v>
      </c>
      <c r="K215" s="7">
        <f t="shared" si="73"/>
        <v>1.0131171729375097</v>
      </c>
      <c r="L215" s="4">
        <f t="shared" si="74"/>
        <v>6487.6712328767135</v>
      </c>
      <c r="M215" s="1">
        <f t="shared" si="75"/>
        <v>801.07100890659467</v>
      </c>
      <c r="N215" s="7">
        <f t="shared" si="76"/>
        <v>1.2856534867304681</v>
      </c>
      <c r="O215" s="1">
        <f t="shared" si="77"/>
        <v>3000</v>
      </c>
      <c r="P215" s="2">
        <f t="shared" si="78"/>
        <v>5.1970853399748398</v>
      </c>
      <c r="Q215" s="2">
        <f t="shared" si="65"/>
        <v>84.495288029766655</v>
      </c>
      <c r="S215" s="1">
        <f t="shared" si="66"/>
        <v>3000</v>
      </c>
      <c r="T215" s="1">
        <f t="shared" si="67"/>
        <v>6487.6712328767135</v>
      </c>
      <c r="V215" s="1">
        <f t="shared" si="79"/>
        <v>6487.6712328767135</v>
      </c>
      <c r="W215" s="1">
        <f t="shared" si="80"/>
        <v>3000</v>
      </c>
    </row>
    <row r="216" spans="1:23" x14ac:dyDescent="0.25">
      <c r="A216" s="2">
        <f t="shared" si="81"/>
        <v>20.40000000000002</v>
      </c>
      <c r="B216" s="7">
        <f t="shared" si="64"/>
        <v>23.68</v>
      </c>
      <c r="C216" s="7">
        <f t="shared" si="68"/>
        <v>1.6028567325226668</v>
      </c>
      <c r="D216" s="7">
        <f t="shared" si="69"/>
        <v>1.2934578538263206</v>
      </c>
      <c r="E216" s="7">
        <f t="shared" si="70"/>
        <v>1</v>
      </c>
      <c r="G216" s="4">
        <f t="shared" si="71"/>
        <v>2040.0000000000023</v>
      </c>
      <c r="H216" s="1">
        <f t="shared" si="82"/>
        <v>1.5413851351351699</v>
      </c>
      <c r="I216" s="1">
        <f t="shared" si="83"/>
        <v>371.3291532573262</v>
      </c>
      <c r="J216" s="1">
        <f t="shared" si="72"/>
        <v>12.377638441910873</v>
      </c>
      <c r="K216" s="7">
        <f t="shared" si="73"/>
        <v>1.0173401459104827</v>
      </c>
      <c r="L216" s="4">
        <f t="shared" si="74"/>
        <v>6487.6712328767135</v>
      </c>
      <c r="M216" s="1">
        <f t="shared" si="75"/>
        <v>801.42836626133339</v>
      </c>
      <c r="N216" s="7">
        <f t="shared" si="76"/>
        <v>1.2934578538263206</v>
      </c>
      <c r="O216" s="1">
        <f t="shared" si="77"/>
        <v>3000</v>
      </c>
      <c r="P216" s="2">
        <f t="shared" si="78"/>
        <v>5.1994037570050349</v>
      </c>
      <c r="Q216" s="2">
        <f t="shared" si="65"/>
        <v>85.014925320558078</v>
      </c>
      <c r="S216" s="1">
        <f t="shared" si="66"/>
        <v>3000</v>
      </c>
      <c r="T216" s="1">
        <f t="shared" si="67"/>
        <v>6487.6712328767135</v>
      </c>
      <c r="V216" s="1">
        <f t="shared" si="79"/>
        <v>6487.6712328767135</v>
      </c>
      <c r="W216" s="1">
        <f t="shared" si="80"/>
        <v>3000</v>
      </c>
    </row>
    <row r="217" spans="1:23" x14ac:dyDescent="0.25">
      <c r="A217" s="2">
        <f t="shared" si="81"/>
        <v>20.500000000000021</v>
      </c>
      <c r="B217" s="7">
        <f t="shared" si="64"/>
        <v>23.68</v>
      </c>
      <c r="C217" s="7">
        <f t="shared" si="68"/>
        <v>1.6035717660659996</v>
      </c>
      <c r="D217" s="7">
        <f t="shared" si="69"/>
        <v>1.3013095961647212</v>
      </c>
      <c r="E217" s="7">
        <f t="shared" si="70"/>
        <v>1</v>
      </c>
      <c r="G217" s="4">
        <f t="shared" si="71"/>
        <v>2050.0000000000018</v>
      </c>
      <c r="H217" s="1">
        <f t="shared" si="82"/>
        <v>1.5413851351350647</v>
      </c>
      <c r="I217" s="1">
        <f t="shared" si="83"/>
        <v>372.87053839246124</v>
      </c>
      <c r="J217" s="1">
        <f t="shared" si="72"/>
        <v>12.429017946415374</v>
      </c>
      <c r="K217" s="7">
        <f t="shared" si="73"/>
        <v>1.0215631188834555</v>
      </c>
      <c r="L217" s="4">
        <f t="shared" si="74"/>
        <v>6487.6712328767135</v>
      </c>
      <c r="M217" s="1">
        <f t="shared" si="75"/>
        <v>801.78588303299978</v>
      </c>
      <c r="N217" s="7">
        <f t="shared" si="76"/>
        <v>1.3013095961647212</v>
      </c>
      <c r="O217" s="1">
        <f t="shared" si="77"/>
        <v>3000</v>
      </c>
      <c r="P217" s="2">
        <f t="shared" si="78"/>
        <v>5.2017232082798461</v>
      </c>
      <c r="Q217" s="2">
        <f t="shared" si="65"/>
        <v>85.53779991974659</v>
      </c>
      <c r="S217" s="1">
        <f t="shared" si="66"/>
        <v>3000</v>
      </c>
      <c r="T217" s="1">
        <f t="shared" si="67"/>
        <v>6487.6712328767135</v>
      </c>
      <c r="V217" s="1">
        <f t="shared" si="79"/>
        <v>6487.6712328767135</v>
      </c>
      <c r="W217" s="1">
        <f t="shared" si="80"/>
        <v>3000</v>
      </c>
    </row>
    <row r="218" spans="1:23" x14ac:dyDescent="0.25">
      <c r="A218" s="2">
        <f t="shared" si="81"/>
        <v>20.600000000000023</v>
      </c>
      <c r="B218" s="7">
        <f t="shared" si="64"/>
        <v>23.68</v>
      </c>
      <c r="C218" s="7">
        <f t="shared" si="68"/>
        <v>1.6042871185854188</v>
      </c>
      <c r="D218" s="7">
        <f t="shared" si="69"/>
        <v>1.3092090013299906</v>
      </c>
      <c r="E218" s="7">
        <f t="shared" si="70"/>
        <v>1</v>
      </c>
      <c r="G218" s="4">
        <f t="shared" si="71"/>
        <v>2060.0000000000023</v>
      </c>
      <c r="H218" s="1">
        <f t="shared" si="82"/>
        <v>1.541385135135205</v>
      </c>
      <c r="I218" s="1">
        <f t="shared" si="83"/>
        <v>374.41192352759646</v>
      </c>
      <c r="J218" s="1">
        <f t="shared" si="72"/>
        <v>12.480397450919883</v>
      </c>
      <c r="K218" s="7">
        <f t="shared" si="73"/>
        <v>1.0257860918564286</v>
      </c>
      <c r="L218" s="4">
        <f t="shared" si="74"/>
        <v>6487.6712328767135</v>
      </c>
      <c r="M218" s="1">
        <f t="shared" si="75"/>
        <v>802.14355929270937</v>
      </c>
      <c r="N218" s="7">
        <f t="shared" si="76"/>
        <v>1.3092090013299906</v>
      </c>
      <c r="O218" s="1">
        <f t="shared" si="77"/>
        <v>3000</v>
      </c>
      <c r="P218" s="2">
        <f t="shared" si="78"/>
        <v>5.2040436942606467</v>
      </c>
      <c r="Q218" s="2">
        <f t="shared" si="65"/>
        <v>86.06393250882239</v>
      </c>
      <c r="S218" s="1">
        <f t="shared" si="66"/>
        <v>3000</v>
      </c>
      <c r="T218" s="1">
        <f t="shared" si="67"/>
        <v>6487.6712328767135</v>
      </c>
      <c r="V218" s="1">
        <f t="shared" si="79"/>
        <v>6487.6712328767135</v>
      </c>
      <c r="W218" s="1">
        <f t="shared" si="80"/>
        <v>3000</v>
      </c>
    </row>
    <row r="219" spans="1:23" x14ac:dyDescent="0.25">
      <c r="A219" s="2">
        <f t="shared" si="81"/>
        <v>20.700000000000024</v>
      </c>
      <c r="B219" s="7">
        <f t="shared" si="64"/>
        <v>23.68</v>
      </c>
      <c r="C219" s="7">
        <f t="shared" si="68"/>
        <v>1.6050027902232198</v>
      </c>
      <c r="D219" s="7">
        <f t="shared" si="69"/>
        <v>1.3171563586521862</v>
      </c>
      <c r="E219" s="7">
        <f t="shared" si="70"/>
        <v>1</v>
      </c>
      <c r="G219" s="4">
        <f t="shared" si="71"/>
        <v>2070.0000000000027</v>
      </c>
      <c r="H219" s="1">
        <f t="shared" si="82"/>
        <v>1.541385135135205</v>
      </c>
      <c r="I219" s="1">
        <f t="shared" si="83"/>
        <v>375.95330866273167</v>
      </c>
      <c r="J219" s="1">
        <f t="shared" si="72"/>
        <v>12.531776955424389</v>
      </c>
      <c r="K219" s="7">
        <f t="shared" si="73"/>
        <v>1.0300090648294018</v>
      </c>
      <c r="L219" s="4">
        <f t="shared" si="74"/>
        <v>6487.6712328767135</v>
      </c>
      <c r="M219" s="1">
        <f t="shared" si="75"/>
        <v>802.5013951116099</v>
      </c>
      <c r="N219" s="7">
        <f t="shared" si="76"/>
        <v>1.3171563586521862</v>
      </c>
      <c r="O219" s="1">
        <f t="shared" si="77"/>
        <v>3000</v>
      </c>
      <c r="P219" s="2">
        <f t="shared" si="78"/>
        <v>5.2063652154090212</v>
      </c>
      <c r="Q219" s="2">
        <f t="shared" si="65"/>
        <v>86.593343907734592</v>
      </c>
      <c r="S219" s="1">
        <f t="shared" si="66"/>
        <v>3000</v>
      </c>
      <c r="T219" s="1">
        <f t="shared" si="67"/>
        <v>6487.6712328767135</v>
      </c>
      <c r="V219" s="1">
        <f t="shared" si="79"/>
        <v>6487.6712328767135</v>
      </c>
      <c r="W219" s="1">
        <f t="shared" si="80"/>
        <v>3000</v>
      </c>
    </row>
    <row r="220" spans="1:23" x14ac:dyDescent="0.25">
      <c r="A220" s="2">
        <f t="shared" si="81"/>
        <v>20.800000000000026</v>
      </c>
      <c r="B220" s="7">
        <f t="shared" si="64"/>
        <v>23.68</v>
      </c>
      <c r="C220" s="7">
        <f t="shared" si="68"/>
        <v>1.6057187811217615</v>
      </c>
      <c r="D220" s="7">
        <f t="shared" si="69"/>
        <v>1.3251519592177008</v>
      </c>
      <c r="E220" s="7">
        <f t="shared" si="70"/>
        <v>1</v>
      </c>
      <c r="G220" s="4">
        <f t="shared" si="71"/>
        <v>2080.0000000000027</v>
      </c>
      <c r="H220" s="1">
        <f t="shared" si="82"/>
        <v>1.5413851351351349</v>
      </c>
      <c r="I220" s="1">
        <f t="shared" si="83"/>
        <v>377.49469379786683</v>
      </c>
      <c r="J220" s="1">
        <f t="shared" si="72"/>
        <v>12.583156459928894</v>
      </c>
      <c r="K220" s="7">
        <f t="shared" si="73"/>
        <v>1.0342320378023748</v>
      </c>
      <c r="L220" s="4">
        <f t="shared" si="74"/>
        <v>6487.6712328767135</v>
      </c>
      <c r="M220" s="1">
        <f t="shared" si="75"/>
        <v>802.85939056088068</v>
      </c>
      <c r="N220" s="7">
        <f t="shared" si="76"/>
        <v>1.3251519592177008</v>
      </c>
      <c r="O220" s="1">
        <f t="shared" si="77"/>
        <v>3000</v>
      </c>
      <c r="P220" s="2">
        <f t="shared" si="78"/>
        <v>5.2086877721867548</v>
      </c>
      <c r="Q220" s="2">
        <f t="shared" si="65"/>
        <v>87.126055075896275</v>
      </c>
      <c r="S220" s="1">
        <f t="shared" si="66"/>
        <v>3000</v>
      </c>
      <c r="T220" s="1">
        <f t="shared" si="67"/>
        <v>6487.6712328767135</v>
      </c>
      <c r="V220" s="1">
        <f t="shared" si="79"/>
        <v>6487.6712328767135</v>
      </c>
      <c r="W220" s="1">
        <f t="shared" si="80"/>
        <v>3000</v>
      </c>
    </row>
    <row r="221" spans="1:23" x14ac:dyDescent="0.25">
      <c r="A221" s="2">
        <f t="shared" si="81"/>
        <v>20.900000000000027</v>
      </c>
      <c r="B221" s="7">
        <f t="shared" si="64"/>
        <v>23.68</v>
      </c>
      <c r="C221" s="7">
        <f t="shared" si="68"/>
        <v>1.6064350914234653</v>
      </c>
      <c r="D221" s="7">
        <f t="shared" si="69"/>
        <v>1.3331960958799238</v>
      </c>
      <c r="E221" s="7">
        <f t="shared" si="70"/>
        <v>1</v>
      </c>
      <c r="G221" s="4">
        <f t="shared" si="71"/>
        <v>2090.0000000000027</v>
      </c>
      <c r="H221" s="1">
        <f t="shared" si="82"/>
        <v>1.5413851351351349</v>
      </c>
      <c r="I221" s="1">
        <f t="shared" si="83"/>
        <v>379.03607893300199</v>
      </c>
      <c r="J221" s="1">
        <f t="shared" si="72"/>
        <v>12.6345359644334</v>
      </c>
      <c r="K221" s="7">
        <f t="shared" si="73"/>
        <v>1.0384550107753479</v>
      </c>
      <c r="L221" s="4">
        <f t="shared" si="74"/>
        <v>6487.6712328767135</v>
      </c>
      <c r="M221" s="1">
        <f t="shared" si="75"/>
        <v>803.21754571173267</v>
      </c>
      <c r="N221" s="7">
        <f t="shared" si="76"/>
        <v>1.3331960958799238</v>
      </c>
      <c r="O221" s="1">
        <f t="shared" si="77"/>
        <v>3000</v>
      </c>
      <c r="P221" s="2">
        <f t="shared" si="78"/>
        <v>5.2110113650558443</v>
      </c>
      <c r="Q221" s="2">
        <f t="shared" si="65"/>
        <v>87.662087113197273</v>
      </c>
      <c r="S221" s="1">
        <f t="shared" si="66"/>
        <v>3000</v>
      </c>
      <c r="T221" s="1">
        <f t="shared" si="67"/>
        <v>6487.6712328767135</v>
      </c>
      <c r="V221" s="1">
        <f t="shared" si="79"/>
        <v>6487.6712328767135</v>
      </c>
      <c r="W221" s="1">
        <f t="shared" si="80"/>
        <v>3000</v>
      </c>
    </row>
    <row r="222" spans="1:23" x14ac:dyDescent="0.25">
      <c r="A222" s="2">
        <f t="shared" si="81"/>
        <v>21.000000000000028</v>
      </c>
      <c r="B222" s="7">
        <f t="shared" si="64"/>
        <v>23.68</v>
      </c>
      <c r="C222" s="7">
        <f t="shared" si="68"/>
        <v>1.6071517212708168</v>
      </c>
      <c r="D222" s="7">
        <f t="shared" si="69"/>
        <v>1.3412890632699663</v>
      </c>
      <c r="E222" s="7">
        <f t="shared" si="70"/>
        <v>1</v>
      </c>
      <c r="G222" s="4">
        <f t="shared" si="71"/>
        <v>2100.0000000000032</v>
      </c>
      <c r="H222" s="1">
        <f t="shared" si="82"/>
        <v>1.541385135135205</v>
      </c>
      <c r="I222" s="1">
        <f t="shared" si="83"/>
        <v>380.5774640681372</v>
      </c>
      <c r="J222" s="1">
        <f t="shared" si="72"/>
        <v>12.685915468937907</v>
      </c>
      <c r="K222" s="7">
        <f t="shared" si="73"/>
        <v>1.0426779837483211</v>
      </c>
      <c r="L222" s="4">
        <f t="shared" si="74"/>
        <v>6487.6712328767135</v>
      </c>
      <c r="M222" s="1">
        <f t="shared" si="75"/>
        <v>803.57586063540839</v>
      </c>
      <c r="N222" s="7">
        <f t="shared" si="76"/>
        <v>1.3412890632699663</v>
      </c>
      <c r="O222" s="1">
        <f t="shared" si="77"/>
        <v>3000</v>
      </c>
      <c r="P222" s="2">
        <f t="shared" si="78"/>
        <v>5.2133359944784861</v>
      </c>
      <c r="Q222" s="2">
        <f t="shared" si="65"/>
        <v>88.201461261025571</v>
      </c>
      <c r="S222" s="1">
        <f t="shared" si="66"/>
        <v>3000</v>
      </c>
      <c r="T222" s="1">
        <f t="shared" si="67"/>
        <v>6487.6712328767135</v>
      </c>
      <c r="V222" s="1">
        <f t="shared" si="79"/>
        <v>6487.6712328767135</v>
      </c>
      <c r="W222" s="1">
        <f t="shared" si="80"/>
        <v>3000</v>
      </c>
    </row>
    <row r="223" spans="1:23" x14ac:dyDescent="0.25">
      <c r="A223" s="2">
        <f t="shared" si="81"/>
        <v>21.10000000000003</v>
      </c>
      <c r="B223" s="7">
        <f t="shared" si="64"/>
        <v>23.68</v>
      </c>
      <c r="C223" s="7">
        <f t="shared" si="68"/>
        <v>1.6078686708063659</v>
      </c>
      <c r="D223" s="7">
        <f t="shared" si="69"/>
        <v>1.3494311578074547</v>
      </c>
      <c r="E223" s="7">
        <f t="shared" si="70"/>
        <v>1</v>
      </c>
      <c r="G223" s="4">
        <f t="shared" si="71"/>
        <v>2110.0000000000032</v>
      </c>
      <c r="H223" s="1">
        <f t="shared" si="82"/>
        <v>1.5413851351351349</v>
      </c>
      <c r="I223" s="1">
        <f t="shared" si="83"/>
        <v>382.11884920327236</v>
      </c>
      <c r="J223" s="1">
        <f t="shared" si="72"/>
        <v>12.737294973442411</v>
      </c>
      <c r="K223" s="7">
        <f t="shared" si="73"/>
        <v>1.0469009567212941</v>
      </c>
      <c r="L223" s="4">
        <f t="shared" si="74"/>
        <v>6487.6712328767135</v>
      </c>
      <c r="M223" s="1">
        <f t="shared" si="75"/>
        <v>803.9343354031829</v>
      </c>
      <c r="N223" s="7">
        <f t="shared" si="76"/>
        <v>1.3494311578074547</v>
      </c>
      <c r="O223" s="1">
        <f t="shared" si="77"/>
        <v>3000</v>
      </c>
      <c r="P223" s="2">
        <f t="shared" si="78"/>
        <v>5.2156616609170889</v>
      </c>
      <c r="Q223" s="2">
        <f t="shared" si="65"/>
        <v>88.744198903297118</v>
      </c>
      <c r="S223" s="1">
        <f t="shared" si="66"/>
        <v>3000</v>
      </c>
      <c r="T223" s="1">
        <f t="shared" si="67"/>
        <v>6487.6712328767135</v>
      </c>
      <c r="V223" s="1">
        <f t="shared" si="79"/>
        <v>6487.6712328767135</v>
      </c>
      <c r="W223" s="1">
        <f t="shared" si="80"/>
        <v>3000</v>
      </c>
    </row>
    <row r="224" spans="1:23" x14ac:dyDescent="0.25">
      <c r="A224" s="2">
        <f t="shared" si="81"/>
        <v>21.200000000000031</v>
      </c>
      <c r="B224" s="7">
        <f t="shared" si="64"/>
        <v>23.68</v>
      </c>
      <c r="C224" s="7">
        <f t="shared" si="68"/>
        <v>1.6085859401727243</v>
      </c>
      <c r="D224" s="7">
        <f t="shared" si="69"/>
        <v>1.3576226777113856</v>
      </c>
      <c r="E224" s="7">
        <f t="shared" si="70"/>
        <v>1</v>
      </c>
      <c r="G224" s="4">
        <f t="shared" si="71"/>
        <v>2120.0000000000027</v>
      </c>
      <c r="H224" s="1">
        <f t="shared" si="82"/>
        <v>1.5413851351350647</v>
      </c>
      <c r="I224" s="1">
        <f t="shared" si="83"/>
        <v>383.66023433840741</v>
      </c>
      <c r="J224" s="1">
        <f t="shared" si="72"/>
        <v>12.788674477946914</v>
      </c>
      <c r="K224" s="7">
        <f t="shared" si="73"/>
        <v>1.0511239296942669</v>
      </c>
      <c r="L224" s="4">
        <f t="shared" si="74"/>
        <v>6487.6712328767135</v>
      </c>
      <c r="M224" s="1">
        <f t="shared" si="75"/>
        <v>804.29297008636217</v>
      </c>
      <c r="N224" s="7">
        <f t="shared" si="76"/>
        <v>1.3576226777113856</v>
      </c>
      <c r="O224" s="1">
        <f t="shared" si="77"/>
        <v>3000</v>
      </c>
      <c r="P224" s="2">
        <f t="shared" si="78"/>
        <v>5.2179883648342633</v>
      </c>
      <c r="Q224" s="2">
        <f t="shared" si="65"/>
        <v>89.29032156749382</v>
      </c>
      <c r="S224" s="1">
        <f t="shared" si="66"/>
        <v>3000</v>
      </c>
      <c r="T224" s="1">
        <f t="shared" si="67"/>
        <v>6487.6712328767135</v>
      </c>
      <c r="V224" s="1">
        <f t="shared" si="79"/>
        <v>6487.6712328767135</v>
      </c>
      <c r="W224" s="1">
        <f t="shared" si="80"/>
        <v>3000</v>
      </c>
    </row>
    <row r="225" spans="1:23" x14ac:dyDescent="0.25">
      <c r="A225" s="2">
        <f t="shared" si="81"/>
        <v>21.300000000000033</v>
      </c>
      <c r="B225" s="7">
        <f t="shared" si="64"/>
        <v>23.68</v>
      </c>
      <c r="C225" s="7">
        <f t="shared" si="68"/>
        <v>1.6093035295125693</v>
      </c>
      <c r="D225" s="7">
        <f t="shared" si="69"/>
        <v>1.3658639230110494</v>
      </c>
      <c r="E225" s="7">
        <f t="shared" si="70"/>
        <v>1</v>
      </c>
      <c r="G225" s="4">
        <f t="shared" si="71"/>
        <v>2130.0000000000036</v>
      </c>
      <c r="H225" s="1">
        <f t="shared" si="82"/>
        <v>1.541385135135275</v>
      </c>
      <c r="I225" s="1">
        <f t="shared" si="83"/>
        <v>385.20161947354268</v>
      </c>
      <c r="J225" s="1">
        <f t="shared" si="72"/>
        <v>12.840053982451423</v>
      </c>
      <c r="K225" s="7">
        <f t="shared" si="73"/>
        <v>1.0553469026672402</v>
      </c>
      <c r="L225" s="4">
        <f t="shared" si="74"/>
        <v>6487.6712328767135</v>
      </c>
      <c r="M225" s="1">
        <f t="shared" si="75"/>
        <v>804.65176475628459</v>
      </c>
      <c r="N225" s="7">
        <f t="shared" si="76"/>
        <v>1.3658639230110494</v>
      </c>
      <c r="O225" s="1">
        <f t="shared" si="77"/>
        <v>3000</v>
      </c>
      <c r="P225" s="2">
        <f t="shared" si="78"/>
        <v>5.2203161066928283</v>
      </c>
      <c r="Q225" s="2">
        <f t="shared" si="65"/>
        <v>89.83985092571038</v>
      </c>
      <c r="S225" s="1">
        <f t="shared" si="66"/>
        <v>3000</v>
      </c>
      <c r="T225" s="1">
        <f t="shared" si="67"/>
        <v>6487.6712328767135</v>
      </c>
      <c r="V225" s="1">
        <f t="shared" si="79"/>
        <v>6487.6712328767135</v>
      </c>
      <c r="W225" s="1">
        <f t="shared" si="80"/>
        <v>3000</v>
      </c>
    </row>
    <row r="226" spans="1:23" x14ac:dyDescent="0.25">
      <c r="A226" s="2">
        <f t="shared" si="81"/>
        <v>21.400000000000034</v>
      </c>
      <c r="B226" s="7">
        <f t="shared" si="64"/>
        <v>23.68</v>
      </c>
      <c r="C226" s="7">
        <f t="shared" si="68"/>
        <v>1.6100214389686403</v>
      </c>
      <c r="D226" s="7">
        <f t="shared" si="69"/>
        <v>1.3741551955570197</v>
      </c>
      <c r="E226" s="7">
        <f t="shared" si="70"/>
        <v>1</v>
      </c>
      <c r="G226" s="4">
        <f t="shared" si="71"/>
        <v>2140.0000000000032</v>
      </c>
      <c r="H226" s="1">
        <f t="shared" si="82"/>
        <v>1.5413851351350647</v>
      </c>
      <c r="I226" s="1">
        <f t="shared" si="83"/>
        <v>386.74300460867772</v>
      </c>
      <c r="J226" s="1">
        <f t="shared" si="72"/>
        <v>12.891433486955924</v>
      </c>
      <c r="K226" s="7">
        <f t="shared" si="73"/>
        <v>1.059569875640213</v>
      </c>
      <c r="L226" s="4">
        <f t="shared" si="74"/>
        <v>6487.6712328767135</v>
      </c>
      <c r="M226" s="1">
        <f t="shared" si="75"/>
        <v>805.01071948432013</v>
      </c>
      <c r="N226" s="7">
        <f t="shared" si="76"/>
        <v>1.3741551955570197</v>
      </c>
      <c r="O226" s="1">
        <f t="shared" si="77"/>
        <v>3000</v>
      </c>
      <c r="P226" s="2">
        <f t="shared" si="78"/>
        <v>5.22264488695581</v>
      </c>
      <c r="Q226" s="2">
        <f t="shared" si="65"/>
        <v>90.392808795709684</v>
      </c>
      <c r="S226" s="1">
        <f t="shared" si="66"/>
        <v>3000</v>
      </c>
      <c r="T226" s="1">
        <f t="shared" si="67"/>
        <v>6487.6712328767135</v>
      </c>
      <c r="V226" s="1">
        <f t="shared" si="79"/>
        <v>6487.6712328767135</v>
      </c>
      <c r="W226" s="1">
        <f t="shared" si="80"/>
        <v>3000</v>
      </c>
    </row>
    <row r="227" spans="1:23" x14ac:dyDescent="0.25">
      <c r="A227" s="2">
        <f t="shared" si="81"/>
        <v>21.500000000000036</v>
      </c>
      <c r="B227" s="7">
        <f t="shared" si="64"/>
        <v>23.68</v>
      </c>
      <c r="C227" s="7">
        <f t="shared" si="68"/>
        <v>1.6107396686837412</v>
      </c>
      <c r="D227" s="7">
        <f t="shared" si="69"/>
        <v>1.3824967990322088</v>
      </c>
      <c r="E227" s="7">
        <f t="shared" si="70"/>
        <v>1</v>
      </c>
      <c r="G227" s="4">
        <f t="shared" si="71"/>
        <v>2150.0000000000036</v>
      </c>
      <c r="H227" s="1">
        <f t="shared" si="82"/>
        <v>1.541385135135205</v>
      </c>
      <c r="I227" s="1">
        <f t="shared" si="83"/>
        <v>388.28438974381294</v>
      </c>
      <c r="J227" s="1">
        <f t="shared" si="72"/>
        <v>12.942812991460432</v>
      </c>
      <c r="K227" s="7">
        <f t="shared" si="73"/>
        <v>1.0637928486131862</v>
      </c>
      <c r="L227" s="4">
        <f t="shared" si="74"/>
        <v>6487.6712328767135</v>
      </c>
      <c r="M227" s="1">
        <f t="shared" si="75"/>
        <v>805.36983434187061</v>
      </c>
      <c r="N227" s="7">
        <f t="shared" si="76"/>
        <v>1.3824967990322088</v>
      </c>
      <c r="O227" s="1">
        <f t="shared" si="77"/>
        <v>3000</v>
      </c>
      <c r="P227" s="2">
        <f t="shared" si="78"/>
        <v>5.2249747060864378</v>
      </c>
      <c r="Q227" s="2">
        <f t="shared" si="65"/>
        <v>90.949217141986821</v>
      </c>
      <c r="S227" s="1">
        <f t="shared" si="66"/>
        <v>3000</v>
      </c>
      <c r="T227" s="1">
        <f t="shared" si="67"/>
        <v>6487.6712328767135</v>
      </c>
      <c r="V227" s="1">
        <f t="shared" si="79"/>
        <v>6487.6712328767135</v>
      </c>
      <c r="W227" s="1">
        <f t="shared" si="80"/>
        <v>3000</v>
      </c>
    </row>
    <row r="228" spans="1:23" x14ac:dyDescent="0.25">
      <c r="A228" s="2">
        <f t="shared" si="81"/>
        <v>21.600000000000037</v>
      </c>
      <c r="B228" s="7">
        <f t="shared" si="64"/>
        <v>23.68</v>
      </c>
      <c r="C228" s="7">
        <f t="shared" si="68"/>
        <v>1.6114582188007394</v>
      </c>
      <c r="D228" s="7">
        <f t="shared" si="69"/>
        <v>1.3908890389629909</v>
      </c>
      <c r="E228" s="7">
        <f t="shared" si="70"/>
        <v>1</v>
      </c>
      <c r="G228" s="4">
        <f t="shared" si="71"/>
        <v>2160.0000000000036</v>
      </c>
      <c r="H228" s="1">
        <f t="shared" si="82"/>
        <v>1.5413851351351349</v>
      </c>
      <c r="I228" s="1">
        <f t="shared" si="83"/>
        <v>389.8257748789481</v>
      </c>
      <c r="J228" s="1">
        <f t="shared" si="72"/>
        <v>12.994192495964937</v>
      </c>
      <c r="K228" s="7">
        <f t="shared" si="73"/>
        <v>1.0680158215861593</v>
      </c>
      <c r="L228" s="4">
        <f t="shared" si="74"/>
        <v>6487.6712328767135</v>
      </c>
      <c r="M228" s="1">
        <f t="shared" si="75"/>
        <v>805.72910940036968</v>
      </c>
      <c r="N228" s="7">
        <f t="shared" si="76"/>
        <v>1.3908890389629909</v>
      </c>
      <c r="O228" s="1">
        <f t="shared" si="77"/>
        <v>3000</v>
      </c>
      <c r="P228" s="2">
        <f t="shared" si="78"/>
        <v>5.2273055645481525</v>
      </c>
      <c r="Q228" s="2">
        <f t="shared" si="65"/>
        <v>91.509098076842037</v>
      </c>
      <c r="S228" s="1">
        <f t="shared" si="66"/>
        <v>3000</v>
      </c>
      <c r="T228" s="1">
        <f t="shared" si="67"/>
        <v>6487.6712328767135</v>
      </c>
      <c r="V228" s="1">
        <f t="shared" si="79"/>
        <v>6487.6712328767135</v>
      </c>
      <c r="W228" s="1">
        <f t="shared" si="80"/>
        <v>3000</v>
      </c>
    </row>
    <row r="229" spans="1:23" x14ac:dyDescent="0.25">
      <c r="A229" s="2">
        <f t="shared" si="81"/>
        <v>21.700000000000038</v>
      </c>
      <c r="B229" s="7">
        <f t="shared" si="64"/>
        <v>23.68</v>
      </c>
      <c r="C229" s="7">
        <f t="shared" si="68"/>
        <v>1.6121770894625658</v>
      </c>
      <c r="D229" s="7">
        <f t="shared" si="69"/>
        <v>1.3993322227303917</v>
      </c>
      <c r="E229" s="7">
        <f t="shared" si="70"/>
        <v>1</v>
      </c>
      <c r="G229" s="4">
        <f t="shared" si="71"/>
        <v>2170.0000000000041</v>
      </c>
      <c r="H229" s="1">
        <f t="shared" si="82"/>
        <v>1.541385135135205</v>
      </c>
      <c r="I229" s="1">
        <f t="shared" si="83"/>
        <v>391.36716001408331</v>
      </c>
      <c r="J229" s="1">
        <f t="shared" si="72"/>
        <v>13.045572000469443</v>
      </c>
      <c r="K229" s="7">
        <f t="shared" si="73"/>
        <v>1.0722387945591323</v>
      </c>
      <c r="L229" s="4">
        <f t="shared" si="74"/>
        <v>6487.6712328767135</v>
      </c>
      <c r="M229" s="1">
        <f t="shared" si="75"/>
        <v>806.08854473128292</v>
      </c>
      <c r="N229" s="7">
        <f t="shared" si="76"/>
        <v>1.3993322227303917</v>
      </c>
      <c r="O229" s="1">
        <f t="shared" si="77"/>
        <v>3000</v>
      </c>
      <c r="P229" s="2">
        <f t="shared" si="78"/>
        <v>5.2296374628045976</v>
      </c>
      <c r="Q229" s="2">
        <f t="shared" si="65"/>
        <v>92.072473861462385</v>
      </c>
      <c r="S229" s="1">
        <f t="shared" si="66"/>
        <v>3000</v>
      </c>
      <c r="T229" s="1">
        <f t="shared" si="67"/>
        <v>6487.6712328767135</v>
      </c>
      <c r="V229" s="1">
        <f t="shared" si="79"/>
        <v>6487.6712328767135</v>
      </c>
      <c r="W229" s="1">
        <f t="shared" si="80"/>
        <v>3000</v>
      </c>
    </row>
    <row r="230" spans="1:23" x14ac:dyDescent="0.25">
      <c r="A230" s="2">
        <f t="shared" si="81"/>
        <v>21.80000000000004</v>
      </c>
      <c r="B230" s="7">
        <f t="shared" si="64"/>
        <v>23.68</v>
      </c>
      <c r="C230" s="7">
        <f t="shared" si="68"/>
        <v>1.6128962808122156</v>
      </c>
      <c r="D230" s="7">
        <f t="shared" si="69"/>
        <v>1.4078266595813473</v>
      </c>
      <c r="E230" s="7">
        <f t="shared" si="70"/>
        <v>1</v>
      </c>
      <c r="G230" s="4">
        <f t="shared" si="71"/>
        <v>2180.0000000000036</v>
      </c>
      <c r="H230" s="1">
        <f t="shared" si="82"/>
        <v>1.5413851351350647</v>
      </c>
      <c r="I230" s="1">
        <f t="shared" si="83"/>
        <v>392.90854514921836</v>
      </c>
      <c r="J230" s="1">
        <f t="shared" si="72"/>
        <v>13.096951504973946</v>
      </c>
      <c r="K230" s="7">
        <f t="shared" si="73"/>
        <v>1.0764617675321051</v>
      </c>
      <c r="L230" s="4">
        <f t="shared" si="74"/>
        <v>6487.6712328767135</v>
      </c>
      <c r="M230" s="1">
        <f t="shared" si="75"/>
        <v>806.44814040610777</v>
      </c>
      <c r="N230" s="7">
        <f t="shared" si="76"/>
        <v>1.4078266595813473</v>
      </c>
      <c r="O230" s="1">
        <f t="shared" si="77"/>
        <v>3000</v>
      </c>
      <c r="P230" s="2">
        <f t="shared" si="78"/>
        <v>5.231970401319626</v>
      </c>
      <c r="Q230" s="2">
        <f t="shared" si="65"/>
        <v>92.639366907012558</v>
      </c>
      <c r="S230" s="1">
        <f t="shared" si="66"/>
        <v>3000</v>
      </c>
      <c r="T230" s="1">
        <f t="shared" si="67"/>
        <v>6487.6712328767135</v>
      </c>
      <c r="V230" s="1">
        <f t="shared" si="79"/>
        <v>6487.6712328767135</v>
      </c>
      <c r="W230" s="1">
        <f t="shared" si="80"/>
        <v>3000</v>
      </c>
    </row>
    <row r="231" spans="1:23" x14ac:dyDescent="0.25">
      <c r="A231" s="2">
        <f t="shared" si="81"/>
        <v>21.900000000000041</v>
      </c>
      <c r="B231" s="7">
        <f t="shared" si="64"/>
        <v>23.68</v>
      </c>
      <c r="C231" s="7">
        <f t="shared" si="68"/>
        <v>1.613615792992747</v>
      </c>
      <c r="D231" s="7">
        <f t="shared" si="69"/>
        <v>1.4163726606400326</v>
      </c>
      <c r="E231" s="7">
        <f t="shared" si="70"/>
        <v>1</v>
      </c>
      <c r="G231" s="4">
        <f t="shared" si="71"/>
        <v>2190.0000000000041</v>
      </c>
      <c r="H231" s="1">
        <f t="shared" si="82"/>
        <v>1.541385135135205</v>
      </c>
      <c r="I231" s="1">
        <f t="shared" si="83"/>
        <v>394.44993028435357</v>
      </c>
      <c r="J231" s="1">
        <f t="shared" si="72"/>
        <v>13.148331009478452</v>
      </c>
      <c r="K231" s="7">
        <f t="shared" si="73"/>
        <v>1.0806847405050783</v>
      </c>
      <c r="L231" s="4">
        <f t="shared" si="74"/>
        <v>6487.6712328767135</v>
      </c>
      <c r="M231" s="1">
        <f t="shared" si="75"/>
        <v>806.80789649637347</v>
      </c>
      <c r="N231" s="7">
        <f t="shared" si="76"/>
        <v>1.4163726606400326</v>
      </c>
      <c r="O231" s="1">
        <f t="shared" si="77"/>
        <v>3000</v>
      </c>
      <c r="P231" s="2">
        <f t="shared" si="78"/>
        <v>5.2343043805572949</v>
      </c>
      <c r="Q231" s="2">
        <f t="shared" si="65"/>
        <v>93.209799775734737</v>
      </c>
      <c r="S231" s="1">
        <f t="shared" si="66"/>
        <v>3000</v>
      </c>
      <c r="T231" s="1">
        <f t="shared" si="67"/>
        <v>6487.6712328767135</v>
      </c>
      <c r="V231" s="1">
        <f t="shared" si="79"/>
        <v>6487.6712328767135</v>
      </c>
      <c r="W231" s="1">
        <f t="shared" si="80"/>
        <v>3000</v>
      </c>
    </row>
    <row r="232" spans="1:23" x14ac:dyDescent="0.25">
      <c r="A232" s="2">
        <f t="shared" si="81"/>
        <v>22.000000000000043</v>
      </c>
      <c r="B232" s="7">
        <f t="shared" si="64"/>
        <v>23.68</v>
      </c>
      <c r="C232" s="7">
        <f t="shared" si="68"/>
        <v>1.6143356261472832</v>
      </c>
      <c r="D232" s="7">
        <f t="shared" si="69"/>
        <v>1.4249705389192533</v>
      </c>
      <c r="E232" s="7">
        <f t="shared" si="70"/>
        <v>1</v>
      </c>
      <c r="G232" s="4">
        <f t="shared" si="71"/>
        <v>2200.0000000000041</v>
      </c>
      <c r="H232" s="1">
        <f t="shared" si="82"/>
        <v>1.5413851351351349</v>
      </c>
      <c r="I232" s="1">
        <f t="shared" si="83"/>
        <v>395.99131541948873</v>
      </c>
      <c r="J232" s="1">
        <f t="shared" si="72"/>
        <v>13.199710513982957</v>
      </c>
      <c r="K232" s="7">
        <f t="shared" si="73"/>
        <v>1.0849077134780514</v>
      </c>
      <c r="L232" s="4">
        <f t="shared" si="74"/>
        <v>6487.6712328767135</v>
      </c>
      <c r="M232" s="1">
        <f t="shared" si="75"/>
        <v>807.16781307364158</v>
      </c>
      <c r="N232" s="7">
        <f t="shared" si="76"/>
        <v>1.4249705389192533</v>
      </c>
      <c r="O232" s="1">
        <f t="shared" si="77"/>
        <v>3000</v>
      </c>
      <c r="P232" s="2">
        <f t="shared" si="78"/>
        <v>5.2366394009818729</v>
      </c>
      <c r="Q232" s="2">
        <f t="shared" si="65"/>
        <v>93.783795182057361</v>
      </c>
      <c r="S232" s="1">
        <f t="shared" si="66"/>
        <v>3000</v>
      </c>
      <c r="T232" s="1">
        <f t="shared" si="67"/>
        <v>6487.6712328767135</v>
      </c>
      <c r="V232" s="1">
        <f t="shared" si="79"/>
        <v>6487.6712328767135</v>
      </c>
      <c r="W232" s="1">
        <f t="shared" si="80"/>
        <v>3000</v>
      </c>
    </row>
    <row r="233" spans="1:23" x14ac:dyDescent="0.25">
      <c r="A233" s="2">
        <f t="shared" si="81"/>
        <v>22.100000000000044</v>
      </c>
      <c r="B233" s="7">
        <f t="shared" si="64"/>
        <v>23.68</v>
      </c>
      <c r="C233" s="7">
        <f t="shared" si="68"/>
        <v>1.61505578041901</v>
      </c>
      <c r="D233" s="7">
        <f t="shared" si="69"/>
        <v>1.4336206093319133</v>
      </c>
      <c r="E233" s="7">
        <f t="shared" si="70"/>
        <v>1</v>
      </c>
      <c r="G233" s="4">
        <f t="shared" si="71"/>
        <v>2210.0000000000045</v>
      </c>
      <c r="H233" s="1">
        <f t="shared" si="82"/>
        <v>1.541385135135205</v>
      </c>
      <c r="I233" s="1">
        <f t="shared" si="83"/>
        <v>397.53270055462394</v>
      </c>
      <c r="J233" s="1">
        <f t="shared" si="72"/>
        <v>13.251090018487465</v>
      </c>
      <c r="K233" s="7">
        <f t="shared" si="73"/>
        <v>1.0891306864510244</v>
      </c>
      <c r="L233" s="4">
        <f t="shared" si="74"/>
        <v>6487.6712328767135</v>
      </c>
      <c r="M233" s="1">
        <f t="shared" si="75"/>
        <v>807.52789020950502</v>
      </c>
      <c r="N233" s="7">
        <f t="shared" si="76"/>
        <v>1.4336206093319133</v>
      </c>
      <c r="O233" s="1">
        <f t="shared" si="77"/>
        <v>3000</v>
      </c>
      <c r="P233" s="2">
        <f t="shared" si="78"/>
        <v>5.2389754630578311</v>
      </c>
      <c r="Q233" s="2">
        <f t="shared" si="65"/>
        <v>94.361375993713438</v>
      </c>
      <c r="S233" s="1">
        <f t="shared" si="66"/>
        <v>3000</v>
      </c>
      <c r="T233" s="1">
        <f t="shared" si="67"/>
        <v>6487.6712328767135</v>
      </c>
      <c r="V233" s="1">
        <f t="shared" si="79"/>
        <v>6487.6712328767135</v>
      </c>
      <c r="W233" s="1">
        <f t="shared" si="80"/>
        <v>3000</v>
      </c>
    </row>
    <row r="234" spans="1:23" x14ac:dyDescent="0.25">
      <c r="A234" s="2">
        <f t="shared" si="81"/>
        <v>22.200000000000045</v>
      </c>
      <c r="B234" s="7">
        <f t="shared" si="64"/>
        <v>23.68</v>
      </c>
      <c r="C234" s="7">
        <f t="shared" si="68"/>
        <v>1.6157762559511775</v>
      </c>
      <c r="D234" s="7">
        <f t="shared" si="69"/>
        <v>1.4423231887025487</v>
      </c>
      <c r="E234" s="7">
        <f t="shared" si="70"/>
        <v>1</v>
      </c>
      <c r="G234" s="4">
        <f t="shared" si="71"/>
        <v>2220.0000000000045</v>
      </c>
      <c r="H234" s="1">
        <f t="shared" si="82"/>
        <v>1.5413851351351349</v>
      </c>
      <c r="I234" s="1">
        <f t="shared" si="83"/>
        <v>399.0740856897591</v>
      </c>
      <c r="J234" s="1">
        <f t="shared" si="72"/>
        <v>13.30246952299197</v>
      </c>
      <c r="K234" s="7">
        <f t="shared" si="73"/>
        <v>1.0933536594239976</v>
      </c>
      <c r="L234" s="4">
        <f t="shared" si="74"/>
        <v>6487.6712328767135</v>
      </c>
      <c r="M234" s="1">
        <f t="shared" si="75"/>
        <v>807.88812797558876</v>
      </c>
      <c r="N234" s="7">
        <f t="shared" si="76"/>
        <v>1.4423231887025487</v>
      </c>
      <c r="O234" s="1">
        <f t="shared" si="77"/>
        <v>3000</v>
      </c>
      <c r="P234" s="2">
        <f t="shared" si="78"/>
        <v>5.2413125672498477</v>
      </c>
      <c r="Q234" s="2">
        <f t="shared" si="65"/>
        <v>94.942565232868063</v>
      </c>
      <c r="S234" s="1">
        <f t="shared" si="66"/>
        <v>3000</v>
      </c>
      <c r="T234" s="1">
        <f t="shared" si="67"/>
        <v>6487.6712328767135</v>
      </c>
      <c r="V234" s="1">
        <f t="shared" si="79"/>
        <v>6487.6712328767135</v>
      </c>
      <c r="W234" s="1">
        <f t="shared" si="80"/>
        <v>3000</v>
      </c>
    </row>
    <row r="235" spans="1:23" x14ac:dyDescent="0.25">
      <c r="A235" s="2">
        <f t="shared" si="81"/>
        <v>22.300000000000047</v>
      </c>
      <c r="B235" s="7">
        <f t="shared" si="64"/>
        <v>23.68</v>
      </c>
      <c r="C235" s="7">
        <f t="shared" si="68"/>
        <v>1.6164970528871003</v>
      </c>
      <c r="D235" s="7">
        <f t="shared" si="69"/>
        <v>1.4510785957789307</v>
      </c>
      <c r="E235" s="7">
        <f t="shared" si="70"/>
        <v>1</v>
      </c>
      <c r="G235" s="4">
        <f t="shared" si="71"/>
        <v>2230.000000000005</v>
      </c>
      <c r="H235" s="1">
        <f t="shared" si="82"/>
        <v>1.541385135135205</v>
      </c>
      <c r="I235" s="1">
        <f t="shared" si="83"/>
        <v>400.61547082489432</v>
      </c>
      <c r="J235" s="1">
        <f t="shared" si="72"/>
        <v>13.353849027496477</v>
      </c>
      <c r="K235" s="7">
        <f t="shared" si="73"/>
        <v>1.0975766323969707</v>
      </c>
      <c r="L235" s="4">
        <f t="shared" si="74"/>
        <v>6487.6712328767135</v>
      </c>
      <c r="M235" s="1">
        <f t="shared" si="75"/>
        <v>808.24852644355019</v>
      </c>
      <c r="N235" s="7">
        <f t="shared" si="76"/>
        <v>1.4510785957789307</v>
      </c>
      <c r="O235" s="1">
        <f t="shared" si="77"/>
        <v>3000</v>
      </c>
      <c r="P235" s="2">
        <f t="shared" si="78"/>
        <v>5.2436507140228139</v>
      </c>
      <c r="Q235" s="2">
        <f t="shared" si="65"/>
        <v>95.527386077255215</v>
      </c>
      <c r="S235" s="1">
        <f t="shared" si="66"/>
        <v>3000</v>
      </c>
      <c r="T235" s="1">
        <f t="shared" si="67"/>
        <v>6487.6712328767135</v>
      </c>
      <c r="V235" s="1">
        <f t="shared" si="79"/>
        <v>6487.6712328767135</v>
      </c>
      <c r="W235" s="1">
        <f t="shared" si="80"/>
        <v>3000</v>
      </c>
    </row>
    <row r="236" spans="1:23" x14ac:dyDescent="0.25">
      <c r="A236" s="2">
        <f t="shared" si="81"/>
        <v>22.400000000000048</v>
      </c>
      <c r="B236" s="7">
        <f t="shared" ref="B236:B299" si="84">IF(A236&lt;=$B$2,$B$3*EXP(A236*$B$4),IF(A236&lt;$B$7,$B$6,IF($B$8*EXP(A236*$B$9)&gt;$B$6,$B$6,$B$8*EXP(A236*$B$9))))</f>
        <v>23.68</v>
      </c>
      <c r="C236" s="7">
        <f t="shared" si="68"/>
        <v>1.6172181713701561</v>
      </c>
      <c r="D236" s="7">
        <f t="shared" si="69"/>
        <v>1.4598871512437419</v>
      </c>
      <c r="E236" s="7">
        <f t="shared" si="70"/>
        <v>1</v>
      </c>
      <c r="G236" s="4">
        <f t="shared" si="71"/>
        <v>2240.0000000000045</v>
      </c>
      <c r="H236" s="1">
        <f t="shared" si="82"/>
        <v>1.5413851351350647</v>
      </c>
      <c r="I236" s="1">
        <f t="shared" si="83"/>
        <v>402.15685596002936</v>
      </c>
      <c r="J236" s="1">
        <f t="shared" si="72"/>
        <v>13.405228532000979</v>
      </c>
      <c r="K236" s="7">
        <f t="shared" si="73"/>
        <v>1.1017996053699435</v>
      </c>
      <c r="L236" s="4">
        <f t="shared" si="74"/>
        <v>6487.6712328767135</v>
      </c>
      <c r="M236" s="1">
        <f t="shared" si="75"/>
        <v>808.60908568507807</v>
      </c>
      <c r="N236" s="7">
        <f t="shared" si="76"/>
        <v>1.4598871512437419</v>
      </c>
      <c r="O236" s="1">
        <f t="shared" si="77"/>
        <v>3000</v>
      </c>
      <c r="P236" s="2">
        <f t="shared" si="78"/>
        <v>5.2459899038418225</v>
      </c>
      <c r="Q236" s="2">
        <f t="shared" si="65"/>
        <v>96.115861861324248</v>
      </c>
      <c r="S236" s="1">
        <f t="shared" si="66"/>
        <v>3000</v>
      </c>
      <c r="T236" s="1">
        <f t="shared" si="67"/>
        <v>6487.6712328767135</v>
      </c>
      <c r="V236" s="1">
        <f t="shared" si="79"/>
        <v>6487.6712328767135</v>
      </c>
      <c r="W236" s="1">
        <f t="shared" si="80"/>
        <v>3000</v>
      </c>
    </row>
    <row r="237" spans="1:23" x14ac:dyDescent="0.25">
      <c r="A237" s="2">
        <f t="shared" si="81"/>
        <v>22.50000000000005</v>
      </c>
      <c r="B237" s="7">
        <f t="shared" si="84"/>
        <v>23.68</v>
      </c>
      <c r="C237" s="7">
        <f t="shared" si="68"/>
        <v>1.6179396115437874</v>
      </c>
      <c r="D237" s="7">
        <f t="shared" si="69"/>
        <v>1.4687491777263204</v>
      </c>
      <c r="E237" s="7">
        <f t="shared" si="70"/>
        <v>1</v>
      </c>
      <c r="G237" s="4">
        <f t="shared" si="71"/>
        <v>2250.000000000005</v>
      </c>
      <c r="H237" s="1">
        <f t="shared" si="82"/>
        <v>1.541385135135205</v>
      </c>
      <c r="I237" s="1">
        <f t="shared" si="83"/>
        <v>403.69824109516458</v>
      </c>
      <c r="J237" s="1">
        <f t="shared" si="72"/>
        <v>13.456608036505486</v>
      </c>
      <c r="K237" s="7">
        <f t="shared" si="73"/>
        <v>1.1060225783429167</v>
      </c>
      <c r="L237" s="4">
        <f t="shared" si="74"/>
        <v>6487.6712328767135</v>
      </c>
      <c r="M237" s="1">
        <f t="shared" si="75"/>
        <v>808.96980577189368</v>
      </c>
      <c r="N237" s="7">
        <f t="shared" si="76"/>
        <v>1.4687491777263204</v>
      </c>
      <c r="O237" s="1">
        <f t="shared" si="77"/>
        <v>3000</v>
      </c>
      <c r="P237" s="2">
        <f t="shared" si="78"/>
        <v>5.2483301371721769</v>
      </c>
      <c r="Q237" s="2">
        <f t="shared" si="65"/>
        <v>96.708016077395953</v>
      </c>
      <c r="S237" s="1">
        <f t="shared" si="66"/>
        <v>3000</v>
      </c>
      <c r="T237" s="1">
        <f t="shared" si="67"/>
        <v>6487.6712328767135</v>
      </c>
      <c r="V237" s="1">
        <f t="shared" si="79"/>
        <v>6487.6712328767135</v>
      </c>
      <c r="W237" s="1">
        <f t="shared" si="80"/>
        <v>3000</v>
      </c>
    </row>
    <row r="238" spans="1:23" x14ac:dyDescent="0.25">
      <c r="A238" s="2">
        <f t="shared" si="81"/>
        <v>22.600000000000051</v>
      </c>
      <c r="B238" s="7">
        <f t="shared" si="84"/>
        <v>23.68</v>
      </c>
      <c r="C238" s="7">
        <f t="shared" si="68"/>
        <v>1.6186613735514992</v>
      </c>
      <c r="D238" s="7">
        <f t="shared" si="69"/>
        <v>1.4776649998144773</v>
      </c>
      <c r="E238" s="7">
        <f t="shared" si="70"/>
        <v>1</v>
      </c>
      <c r="G238" s="4">
        <f t="shared" si="71"/>
        <v>2260.000000000005</v>
      </c>
      <c r="H238" s="1">
        <f t="shared" si="82"/>
        <v>1.5413851351351349</v>
      </c>
      <c r="I238" s="1">
        <f t="shared" si="83"/>
        <v>405.23962623029973</v>
      </c>
      <c r="J238" s="1">
        <f t="shared" si="72"/>
        <v>13.507987541009991</v>
      </c>
      <c r="K238" s="7">
        <f t="shared" si="73"/>
        <v>1.1102455513158898</v>
      </c>
      <c r="L238" s="4">
        <f t="shared" si="74"/>
        <v>6487.6712328767135</v>
      </c>
      <c r="M238" s="1">
        <f t="shared" si="75"/>
        <v>809.33068677574954</v>
      </c>
      <c r="N238" s="7">
        <f t="shared" si="76"/>
        <v>1.4776649998144773</v>
      </c>
      <c r="O238" s="1">
        <f t="shared" si="77"/>
        <v>3000</v>
      </c>
      <c r="P238" s="2">
        <f t="shared" si="78"/>
        <v>5.2506714144793838</v>
      </c>
      <c r="Q238" s="2">
        <f t="shared" si="65"/>
        <v>97.303872376828124</v>
      </c>
      <c r="S238" s="1">
        <f t="shared" si="66"/>
        <v>3000</v>
      </c>
      <c r="T238" s="1">
        <f t="shared" si="67"/>
        <v>6487.6712328767135</v>
      </c>
      <c r="V238" s="1">
        <f t="shared" si="79"/>
        <v>6487.6712328767135</v>
      </c>
      <c r="W238" s="1">
        <f t="shared" si="80"/>
        <v>3000</v>
      </c>
    </row>
    <row r="239" spans="1:23" x14ac:dyDescent="0.25">
      <c r="A239" s="2">
        <f t="shared" si="81"/>
        <v>22.700000000000053</v>
      </c>
      <c r="B239" s="7">
        <f t="shared" si="84"/>
        <v>23.68</v>
      </c>
      <c r="C239" s="7">
        <f t="shared" si="68"/>
        <v>1.6193834575368626</v>
      </c>
      <c r="D239" s="7">
        <f t="shared" si="69"/>
        <v>1.4866349440663866</v>
      </c>
      <c r="E239" s="7">
        <f t="shared" si="70"/>
        <v>1</v>
      </c>
      <c r="G239" s="4">
        <f t="shared" si="71"/>
        <v>2270.0000000000055</v>
      </c>
      <c r="H239" s="1">
        <f t="shared" si="82"/>
        <v>1.541385135135205</v>
      </c>
      <c r="I239" s="1">
        <f t="shared" si="83"/>
        <v>406.78101136543495</v>
      </c>
      <c r="J239" s="1">
        <f t="shared" si="72"/>
        <v>13.559367045514499</v>
      </c>
      <c r="K239" s="7">
        <f t="shared" si="73"/>
        <v>1.1144685242888628</v>
      </c>
      <c r="L239" s="4">
        <f t="shared" si="74"/>
        <v>6487.6712328767135</v>
      </c>
      <c r="M239" s="1">
        <f t="shared" si="75"/>
        <v>809.69172876843129</v>
      </c>
      <c r="N239" s="7">
        <f t="shared" si="76"/>
        <v>1.4866349440663866</v>
      </c>
      <c r="O239" s="1">
        <f t="shared" si="77"/>
        <v>3000</v>
      </c>
      <c r="P239" s="2">
        <f t="shared" si="78"/>
        <v>5.2530137362291667</v>
      </c>
      <c r="Q239" s="2">
        <f t="shared" si="65"/>
        <v>97.903454571191276</v>
      </c>
      <c r="S239" s="1">
        <f t="shared" si="66"/>
        <v>3000</v>
      </c>
      <c r="T239" s="1">
        <f t="shared" si="67"/>
        <v>6487.6712328767135</v>
      </c>
      <c r="V239" s="1">
        <f t="shared" si="79"/>
        <v>6487.6712328767135</v>
      </c>
      <c r="W239" s="1">
        <f t="shared" si="80"/>
        <v>3000</v>
      </c>
    </row>
    <row r="240" spans="1:23" x14ac:dyDescent="0.25">
      <c r="A240" s="2">
        <f t="shared" si="81"/>
        <v>22.800000000000054</v>
      </c>
      <c r="B240" s="7">
        <f t="shared" si="84"/>
        <v>23.68</v>
      </c>
      <c r="C240" s="7">
        <f t="shared" si="68"/>
        <v>1.6201058636435108</v>
      </c>
      <c r="D240" s="7">
        <f t="shared" si="69"/>
        <v>1.4956593390225439</v>
      </c>
      <c r="E240" s="7">
        <f t="shared" si="70"/>
        <v>1</v>
      </c>
      <c r="G240" s="4">
        <f t="shared" si="71"/>
        <v>2280.0000000000055</v>
      </c>
      <c r="H240" s="1">
        <f t="shared" si="82"/>
        <v>1.5413851351351349</v>
      </c>
      <c r="I240" s="1">
        <f t="shared" si="83"/>
        <v>408.32239650057011</v>
      </c>
      <c r="J240" s="1">
        <f t="shared" si="72"/>
        <v>13.610746550019003</v>
      </c>
      <c r="K240" s="7">
        <f t="shared" si="73"/>
        <v>1.1186914972618358</v>
      </c>
      <c r="L240" s="4">
        <f t="shared" si="74"/>
        <v>6487.6712328767135</v>
      </c>
      <c r="M240" s="1">
        <f t="shared" si="75"/>
        <v>810.05293182175546</v>
      </c>
      <c r="N240" s="7">
        <f t="shared" si="76"/>
        <v>1.4956593390225439</v>
      </c>
      <c r="O240" s="1">
        <f t="shared" si="77"/>
        <v>3000</v>
      </c>
      <c r="P240" s="2">
        <f t="shared" si="78"/>
        <v>5.2553571028874444</v>
      </c>
      <c r="Q240" s="2">
        <f t="shared" ref="Q240:Q303" si="85">IFERROR(N240/100*L240/(1-N240/100),L240*100)</f>
        <v>98.506786633453856</v>
      </c>
      <c r="S240" s="1">
        <f t="shared" si="66"/>
        <v>3000</v>
      </c>
      <c r="T240" s="1">
        <f t="shared" si="67"/>
        <v>6487.6712328767135</v>
      </c>
      <c r="V240" s="1">
        <f t="shared" si="79"/>
        <v>6487.6712328767135</v>
      </c>
      <c r="W240" s="1">
        <f t="shared" si="80"/>
        <v>3000</v>
      </c>
    </row>
    <row r="241" spans="1:23" x14ac:dyDescent="0.25">
      <c r="A241" s="2">
        <f t="shared" si="81"/>
        <v>22.900000000000055</v>
      </c>
      <c r="B241" s="7">
        <f t="shared" si="84"/>
        <v>23.68</v>
      </c>
      <c r="C241" s="7">
        <f t="shared" si="68"/>
        <v>1.6208285920151426</v>
      </c>
      <c r="D241" s="7">
        <f t="shared" si="69"/>
        <v>1.5047385152178003</v>
      </c>
      <c r="E241" s="7">
        <f t="shared" si="70"/>
        <v>1</v>
      </c>
      <c r="G241" s="4">
        <f t="shared" si="71"/>
        <v>2290.0000000000059</v>
      </c>
      <c r="H241" s="1">
        <f t="shared" si="82"/>
        <v>1.541385135135205</v>
      </c>
      <c r="I241" s="1">
        <f t="shared" si="83"/>
        <v>409.86378163570532</v>
      </c>
      <c r="J241" s="1">
        <f t="shared" si="72"/>
        <v>13.66212605452351</v>
      </c>
      <c r="K241" s="7">
        <f t="shared" si="73"/>
        <v>1.1229144702348091</v>
      </c>
      <c r="L241" s="4">
        <f t="shared" si="74"/>
        <v>6487.6712328767135</v>
      </c>
      <c r="M241" s="1">
        <f t="shared" si="75"/>
        <v>810.41429600757135</v>
      </c>
      <c r="N241" s="7">
        <f t="shared" si="76"/>
        <v>1.5047385152178003</v>
      </c>
      <c r="O241" s="1">
        <f t="shared" si="77"/>
        <v>3000</v>
      </c>
      <c r="P241" s="2">
        <f t="shared" si="78"/>
        <v>5.2577015149203543</v>
      </c>
      <c r="Q241" s="2">
        <f t="shared" si="85"/>
        <v>99.113892699177569</v>
      </c>
      <c r="S241" s="1">
        <f t="shared" si="66"/>
        <v>3000</v>
      </c>
      <c r="T241" s="1">
        <f t="shared" si="67"/>
        <v>6487.6712328767135</v>
      </c>
      <c r="V241" s="1">
        <f t="shared" si="79"/>
        <v>6487.6712328767135</v>
      </c>
      <c r="W241" s="1">
        <f t="shared" si="80"/>
        <v>3000</v>
      </c>
    </row>
    <row r="242" spans="1:23" x14ac:dyDescent="0.25">
      <c r="A242" s="2">
        <f t="shared" si="81"/>
        <v>23.000000000000057</v>
      </c>
      <c r="B242" s="7">
        <f t="shared" si="84"/>
        <v>23.68</v>
      </c>
      <c r="C242" s="7">
        <f t="shared" si="68"/>
        <v>1.6215516427955199</v>
      </c>
      <c r="D242" s="7">
        <f t="shared" si="69"/>
        <v>1.5138728051934707</v>
      </c>
      <c r="E242" s="7">
        <f t="shared" si="70"/>
        <v>1</v>
      </c>
      <c r="G242" s="4">
        <f t="shared" si="71"/>
        <v>2300.0000000000055</v>
      </c>
      <c r="H242" s="1">
        <f t="shared" si="82"/>
        <v>1.5413851351350647</v>
      </c>
      <c r="I242" s="1">
        <f t="shared" si="83"/>
        <v>411.40516677084037</v>
      </c>
      <c r="J242" s="1">
        <f t="shared" si="72"/>
        <v>13.713505559028013</v>
      </c>
      <c r="K242" s="7">
        <f t="shared" si="73"/>
        <v>1.1271374432077819</v>
      </c>
      <c r="L242" s="4">
        <f t="shared" si="74"/>
        <v>6487.6712328767135</v>
      </c>
      <c r="M242" s="1">
        <f t="shared" si="75"/>
        <v>810.77582139775996</v>
      </c>
      <c r="N242" s="7">
        <f t="shared" si="76"/>
        <v>1.5138728051934707</v>
      </c>
      <c r="O242" s="1">
        <f t="shared" si="77"/>
        <v>3000</v>
      </c>
      <c r="P242" s="2">
        <f t="shared" si="78"/>
        <v>5.2600469727942354</v>
      </c>
      <c r="Q242" s="2">
        <f t="shared" si="85"/>
        <v>99.724797067723173</v>
      </c>
      <c r="S242" s="1">
        <f t="shared" si="66"/>
        <v>3000</v>
      </c>
      <c r="T242" s="1">
        <f t="shared" si="67"/>
        <v>6487.6712328767135</v>
      </c>
      <c r="V242" s="1">
        <f t="shared" si="79"/>
        <v>6487.6712328767135</v>
      </c>
      <c r="W242" s="1">
        <f t="shared" si="80"/>
        <v>3000</v>
      </c>
    </row>
    <row r="243" spans="1:23" x14ac:dyDescent="0.25">
      <c r="A243" s="2">
        <f t="shared" si="81"/>
        <v>23.100000000000058</v>
      </c>
      <c r="B243" s="7">
        <f t="shared" si="84"/>
        <v>23.68</v>
      </c>
      <c r="C243" s="7">
        <f t="shared" si="68"/>
        <v>1.6222750161284691</v>
      </c>
      <c r="D243" s="7">
        <f t="shared" si="69"/>
        <v>1.5230625435095111</v>
      </c>
      <c r="E243" s="7">
        <f t="shared" si="70"/>
        <v>1</v>
      </c>
      <c r="G243" s="4">
        <f t="shared" si="71"/>
        <v>2310.0000000000059</v>
      </c>
      <c r="H243" s="1">
        <f t="shared" si="82"/>
        <v>1.541385135135205</v>
      </c>
      <c r="I243" s="1">
        <f t="shared" si="83"/>
        <v>412.94655190597558</v>
      </c>
      <c r="J243" s="1">
        <f t="shared" si="72"/>
        <v>13.764885063532519</v>
      </c>
      <c r="K243" s="7">
        <f t="shared" si="73"/>
        <v>1.1313604161807551</v>
      </c>
      <c r="L243" s="4">
        <f t="shared" si="74"/>
        <v>6487.6712328767135</v>
      </c>
      <c r="M243" s="1">
        <f t="shared" si="75"/>
        <v>811.13750806423457</v>
      </c>
      <c r="N243" s="7">
        <f t="shared" si="76"/>
        <v>1.5230625435095111</v>
      </c>
      <c r="O243" s="1">
        <f t="shared" si="77"/>
        <v>3000</v>
      </c>
      <c r="P243" s="2">
        <f t="shared" si="78"/>
        <v>5.2623934769756371</v>
      </c>
      <c r="Q243" s="2">
        <f t="shared" si="85"/>
        <v>100.33952420346557</v>
      </c>
      <c r="S243" s="1">
        <f t="shared" si="66"/>
        <v>3000</v>
      </c>
      <c r="T243" s="1">
        <f t="shared" si="67"/>
        <v>6487.6712328767135</v>
      </c>
      <c r="V243" s="1">
        <f t="shared" si="79"/>
        <v>6487.6712328767135</v>
      </c>
      <c r="W243" s="1">
        <f t="shared" si="80"/>
        <v>3000</v>
      </c>
    </row>
    <row r="244" spans="1:23" x14ac:dyDescent="0.25">
      <c r="A244" s="2">
        <f t="shared" si="81"/>
        <v>23.20000000000006</v>
      </c>
      <c r="B244" s="7">
        <f t="shared" si="84"/>
        <v>23.68</v>
      </c>
      <c r="C244" s="7">
        <f t="shared" si="68"/>
        <v>1.6229987121578808</v>
      </c>
      <c r="D244" s="7">
        <f t="shared" si="69"/>
        <v>1.5323080667567741</v>
      </c>
      <c r="E244" s="7">
        <f t="shared" si="70"/>
        <v>1</v>
      </c>
      <c r="G244" s="4">
        <f t="shared" si="71"/>
        <v>2320.0000000000059</v>
      </c>
      <c r="H244" s="1">
        <f t="shared" si="82"/>
        <v>1.5413851351351349</v>
      </c>
      <c r="I244" s="1">
        <f t="shared" si="83"/>
        <v>414.48793704111074</v>
      </c>
      <c r="J244" s="1">
        <f t="shared" si="72"/>
        <v>13.816264568037024</v>
      </c>
      <c r="K244" s="7">
        <f t="shared" si="73"/>
        <v>1.1355833891537281</v>
      </c>
      <c r="L244" s="4">
        <f t="shared" si="74"/>
        <v>6487.6712328767135</v>
      </c>
      <c r="M244" s="1">
        <f t="shared" si="75"/>
        <v>811.49935607894042</v>
      </c>
      <c r="N244" s="7">
        <f t="shared" si="76"/>
        <v>1.5323080667567741</v>
      </c>
      <c r="O244" s="1">
        <f t="shared" si="77"/>
        <v>3000</v>
      </c>
      <c r="P244" s="2">
        <f t="shared" si="78"/>
        <v>5.2647410279313185</v>
      </c>
      <c r="Q244" s="2">
        <f t="shared" si="85"/>
        <v>100.95809873702018</v>
      </c>
      <c r="S244" s="1">
        <f t="shared" si="66"/>
        <v>3000</v>
      </c>
      <c r="T244" s="1">
        <f t="shared" si="67"/>
        <v>6487.6712328767135</v>
      </c>
      <c r="V244" s="1">
        <f t="shared" si="79"/>
        <v>6487.6712328767135</v>
      </c>
      <c r="W244" s="1">
        <f t="shared" si="80"/>
        <v>3000</v>
      </c>
    </row>
    <row r="245" spans="1:23" x14ac:dyDescent="0.25">
      <c r="A245" s="2">
        <f t="shared" si="81"/>
        <v>23.300000000000061</v>
      </c>
      <c r="B245" s="7">
        <f t="shared" si="84"/>
        <v>23.68</v>
      </c>
      <c r="C245" s="7">
        <f t="shared" si="68"/>
        <v>1.6237227310277096</v>
      </c>
      <c r="D245" s="7">
        <f t="shared" si="69"/>
        <v>1.5416097135693365</v>
      </c>
      <c r="E245" s="7">
        <f t="shared" si="70"/>
        <v>1</v>
      </c>
      <c r="G245" s="4">
        <f t="shared" si="71"/>
        <v>2330.0000000000064</v>
      </c>
      <c r="H245" s="1">
        <f t="shared" si="82"/>
        <v>1.541385135135205</v>
      </c>
      <c r="I245" s="1">
        <f t="shared" si="83"/>
        <v>416.02932217624596</v>
      </c>
      <c r="J245" s="1">
        <f t="shared" si="72"/>
        <v>13.867644072541532</v>
      </c>
      <c r="K245" s="7">
        <f t="shared" si="73"/>
        <v>1.1398063621267012</v>
      </c>
      <c r="L245" s="4">
        <f t="shared" si="74"/>
        <v>6487.6712328767135</v>
      </c>
      <c r="M245" s="1">
        <f t="shared" si="75"/>
        <v>811.86136551385482</v>
      </c>
      <c r="N245" s="7">
        <f t="shared" si="76"/>
        <v>1.5416097135693365</v>
      </c>
      <c r="O245" s="1">
        <f t="shared" si="77"/>
        <v>3000</v>
      </c>
      <c r="P245" s="2">
        <f t="shared" si="78"/>
        <v>5.2670896261282421</v>
      </c>
      <c r="Q245" s="2">
        <f t="shared" si="85"/>
        <v>101.5805454664789</v>
      </c>
      <c r="S245" s="1">
        <f t="shared" si="66"/>
        <v>3000</v>
      </c>
      <c r="T245" s="1">
        <f t="shared" si="67"/>
        <v>6487.6712328767135</v>
      </c>
      <c r="V245" s="1">
        <f t="shared" si="79"/>
        <v>6487.6712328767135</v>
      </c>
      <c r="W245" s="1">
        <f t="shared" si="80"/>
        <v>3000</v>
      </c>
    </row>
    <row r="246" spans="1:23" x14ac:dyDescent="0.25">
      <c r="A246" s="2">
        <f t="shared" si="81"/>
        <v>23.400000000000063</v>
      </c>
      <c r="B246" s="7">
        <f t="shared" si="84"/>
        <v>23.68</v>
      </c>
      <c r="C246" s="7">
        <f t="shared" si="68"/>
        <v>1.6244470728819747</v>
      </c>
      <c r="D246" s="7">
        <f t="shared" si="69"/>
        <v>1.5509678246369021</v>
      </c>
      <c r="E246" s="7">
        <f t="shared" si="70"/>
        <v>1</v>
      </c>
      <c r="G246" s="4">
        <f t="shared" si="71"/>
        <v>2340.0000000000059</v>
      </c>
      <c r="H246" s="1">
        <f t="shared" si="82"/>
        <v>1.5413851351350647</v>
      </c>
      <c r="I246" s="1">
        <f t="shared" si="83"/>
        <v>417.570707311381</v>
      </c>
      <c r="J246" s="1">
        <f t="shared" si="72"/>
        <v>13.919023577046033</v>
      </c>
      <c r="K246" s="7">
        <f t="shared" si="73"/>
        <v>1.144029335099674</v>
      </c>
      <c r="L246" s="4">
        <f t="shared" si="74"/>
        <v>6487.6712328767135</v>
      </c>
      <c r="M246" s="1">
        <f t="shared" si="75"/>
        <v>812.22353644098735</v>
      </c>
      <c r="N246" s="7">
        <f t="shared" si="76"/>
        <v>1.5509678246369021</v>
      </c>
      <c r="O246" s="1">
        <f t="shared" si="77"/>
        <v>3000</v>
      </c>
      <c r="P246" s="2">
        <f t="shared" si="78"/>
        <v>5.2694392720335843</v>
      </c>
      <c r="Q246" s="2">
        <f t="shared" si="85"/>
        <v>102.20688935865707</v>
      </c>
      <c r="S246" s="1">
        <f t="shared" si="66"/>
        <v>3000</v>
      </c>
      <c r="T246" s="1">
        <f t="shared" si="67"/>
        <v>6487.6712328767135</v>
      </c>
      <c r="V246" s="1">
        <f t="shared" si="79"/>
        <v>6487.6712328767135</v>
      </c>
      <c r="W246" s="1">
        <f t="shared" si="80"/>
        <v>3000</v>
      </c>
    </row>
    <row r="247" spans="1:23" x14ac:dyDescent="0.25">
      <c r="A247" s="2">
        <f t="shared" si="81"/>
        <v>23.500000000000064</v>
      </c>
      <c r="B247" s="7">
        <f t="shared" si="84"/>
        <v>23.68</v>
      </c>
      <c r="C247" s="7">
        <f t="shared" si="68"/>
        <v>1.6251717378647588</v>
      </c>
      <c r="D247" s="7">
        <f t="shared" si="69"/>
        <v>1.5603827427172823</v>
      </c>
      <c r="E247" s="7">
        <f t="shared" si="70"/>
        <v>1</v>
      </c>
      <c r="G247" s="4">
        <f t="shared" si="71"/>
        <v>2350.0000000000068</v>
      </c>
      <c r="H247" s="1">
        <f t="shared" si="82"/>
        <v>1.541385135135275</v>
      </c>
      <c r="I247" s="1">
        <f t="shared" si="83"/>
        <v>419.11209244651627</v>
      </c>
      <c r="J247" s="1">
        <f t="shared" si="72"/>
        <v>13.970403081550542</v>
      </c>
      <c r="K247" s="7">
        <f t="shared" si="73"/>
        <v>1.1482523080726472</v>
      </c>
      <c r="L247" s="4">
        <f t="shared" si="74"/>
        <v>6487.6712328767135</v>
      </c>
      <c r="M247" s="1">
        <f t="shared" si="75"/>
        <v>812.58586893237941</v>
      </c>
      <c r="N247" s="7">
        <f t="shared" si="76"/>
        <v>1.5603827427172823</v>
      </c>
      <c r="O247" s="1">
        <f t="shared" si="77"/>
        <v>3000</v>
      </c>
      <c r="P247" s="2">
        <f t="shared" si="78"/>
        <v>5.2717899661147252</v>
      </c>
      <c r="Q247" s="2">
        <f t="shared" si="85"/>
        <v>102.83715555035079</v>
      </c>
      <c r="S247" s="1">
        <f t="shared" si="66"/>
        <v>3000</v>
      </c>
      <c r="T247" s="1">
        <f t="shared" si="67"/>
        <v>6487.6712328767135</v>
      </c>
      <c r="V247" s="1">
        <f t="shared" si="79"/>
        <v>6487.6712328767135</v>
      </c>
      <c r="W247" s="1">
        <f t="shared" si="80"/>
        <v>3000</v>
      </c>
    </row>
    <row r="248" spans="1:23" x14ac:dyDescent="0.25">
      <c r="A248" s="2">
        <f t="shared" si="81"/>
        <v>23.600000000000065</v>
      </c>
      <c r="B248" s="7">
        <f t="shared" si="84"/>
        <v>23.68</v>
      </c>
      <c r="C248" s="7">
        <f t="shared" si="68"/>
        <v>1.6258967261202097</v>
      </c>
      <c r="D248" s="7">
        <f t="shared" si="69"/>
        <v>1.5698548126489467</v>
      </c>
      <c r="E248" s="7">
        <f t="shared" si="70"/>
        <v>1</v>
      </c>
      <c r="G248" s="4">
        <f t="shared" si="71"/>
        <v>2360.0000000000064</v>
      </c>
      <c r="H248" s="1">
        <f t="shared" si="82"/>
        <v>1.5413851351350647</v>
      </c>
      <c r="I248" s="1">
        <f t="shared" si="83"/>
        <v>420.65347758165132</v>
      </c>
      <c r="J248" s="1">
        <f t="shared" si="72"/>
        <v>14.021782586055044</v>
      </c>
      <c r="K248" s="7">
        <f t="shared" si="73"/>
        <v>1.15247528104562</v>
      </c>
      <c r="L248" s="4">
        <f t="shared" si="74"/>
        <v>6487.6712328767135</v>
      </c>
      <c r="M248" s="1">
        <f t="shared" si="75"/>
        <v>812.94836306010484</v>
      </c>
      <c r="N248" s="7">
        <f t="shared" si="76"/>
        <v>1.5698548126489467</v>
      </c>
      <c r="O248" s="1">
        <f t="shared" si="77"/>
        <v>3000</v>
      </c>
      <c r="P248" s="2">
        <f t="shared" si="78"/>
        <v>5.2741417088392559</v>
      </c>
      <c r="Q248" s="2">
        <f t="shared" si="85"/>
        <v>103.4713693496049</v>
      </c>
      <c r="S248" s="1">
        <f t="shared" si="66"/>
        <v>3000</v>
      </c>
      <c r="T248" s="1">
        <f t="shared" si="67"/>
        <v>6487.6712328767135</v>
      </c>
      <c r="V248" s="1">
        <f t="shared" si="79"/>
        <v>6487.6712328767135</v>
      </c>
      <c r="W248" s="1">
        <f t="shared" si="80"/>
        <v>3000</v>
      </c>
    </row>
    <row r="249" spans="1:23" x14ac:dyDescent="0.25">
      <c r="A249" s="2">
        <f t="shared" si="81"/>
        <v>23.700000000000067</v>
      </c>
      <c r="B249" s="7">
        <f t="shared" si="84"/>
        <v>23.68</v>
      </c>
      <c r="C249" s="7">
        <f t="shared" si="68"/>
        <v>1.6266220377925393</v>
      </c>
      <c r="D249" s="7">
        <f t="shared" si="69"/>
        <v>1.5793843813636552</v>
      </c>
      <c r="E249" s="7">
        <f t="shared" si="70"/>
        <v>1</v>
      </c>
      <c r="G249" s="4">
        <f t="shared" si="71"/>
        <v>2370.0000000000064</v>
      </c>
      <c r="H249" s="1">
        <f t="shared" si="82"/>
        <v>1.5413851351351349</v>
      </c>
      <c r="I249" s="1">
        <f t="shared" si="83"/>
        <v>422.19486271678647</v>
      </c>
      <c r="J249" s="1">
        <f t="shared" si="72"/>
        <v>14.073162090559549</v>
      </c>
      <c r="K249" s="7">
        <f t="shared" si="73"/>
        <v>1.1566982540185931</v>
      </c>
      <c r="L249" s="4">
        <f t="shared" si="74"/>
        <v>6487.6712328767135</v>
      </c>
      <c r="M249" s="1">
        <f t="shared" si="75"/>
        <v>813.31101889626962</v>
      </c>
      <c r="N249" s="7">
        <f t="shared" si="76"/>
        <v>1.5793843813636552</v>
      </c>
      <c r="O249" s="1">
        <f t="shared" si="77"/>
        <v>3000</v>
      </c>
      <c r="P249" s="2">
        <f t="shared" si="78"/>
        <v>5.2764945006749775</v>
      </c>
      <c r="Q249" s="2">
        <f t="shared" si="85"/>
        <v>104.10955623699176</v>
      </c>
      <c r="S249" s="1">
        <f t="shared" si="66"/>
        <v>3000</v>
      </c>
      <c r="T249" s="1">
        <f t="shared" si="67"/>
        <v>6487.6712328767135</v>
      </c>
      <c r="V249" s="1">
        <f t="shared" si="79"/>
        <v>6487.6712328767135</v>
      </c>
      <c r="W249" s="1">
        <f t="shared" si="80"/>
        <v>3000</v>
      </c>
    </row>
    <row r="250" spans="1:23" x14ac:dyDescent="0.25">
      <c r="A250" s="2">
        <f t="shared" si="81"/>
        <v>23.800000000000068</v>
      </c>
      <c r="B250" s="7">
        <f t="shared" si="84"/>
        <v>23.68</v>
      </c>
      <c r="C250" s="7">
        <f t="shared" si="68"/>
        <v>1.6273476730260235</v>
      </c>
      <c r="D250" s="7">
        <f t="shared" si="69"/>
        <v>1.5889717978991671</v>
      </c>
      <c r="E250" s="7">
        <f t="shared" si="70"/>
        <v>1</v>
      </c>
      <c r="G250" s="4">
        <f t="shared" si="71"/>
        <v>2380.0000000000068</v>
      </c>
      <c r="H250" s="1">
        <f t="shared" si="82"/>
        <v>1.541385135135205</v>
      </c>
      <c r="I250" s="1">
        <f t="shared" si="83"/>
        <v>423.73624785192169</v>
      </c>
      <c r="J250" s="1">
        <f t="shared" si="72"/>
        <v>14.124541595064056</v>
      </c>
      <c r="K250" s="7">
        <f t="shared" si="73"/>
        <v>1.1609212269915663</v>
      </c>
      <c r="L250" s="4">
        <f t="shared" si="74"/>
        <v>6487.6712328767135</v>
      </c>
      <c r="M250" s="1">
        <f t="shared" si="75"/>
        <v>813.67383651301168</v>
      </c>
      <c r="N250" s="7">
        <f t="shared" si="76"/>
        <v>1.5889717978991671</v>
      </c>
      <c r="O250" s="1">
        <f t="shared" si="77"/>
        <v>3000</v>
      </c>
      <c r="P250" s="2">
        <f t="shared" si="78"/>
        <v>5.278848342089896</v>
      </c>
      <c r="Q250" s="2">
        <f t="shared" si="85"/>
        <v>104.75174186690136</v>
      </c>
      <c r="S250" s="1">
        <f t="shared" si="66"/>
        <v>3000</v>
      </c>
      <c r="T250" s="1">
        <f t="shared" si="67"/>
        <v>6487.6712328767135</v>
      </c>
      <c r="V250" s="1">
        <f t="shared" si="79"/>
        <v>6487.6712328767135</v>
      </c>
      <c r="W250" s="1">
        <f t="shared" si="80"/>
        <v>3000</v>
      </c>
    </row>
    <row r="251" spans="1:23" x14ac:dyDescent="0.25">
      <c r="A251" s="2">
        <f t="shared" si="81"/>
        <v>23.90000000000007</v>
      </c>
      <c r="B251" s="7">
        <f t="shared" si="84"/>
        <v>23.68</v>
      </c>
      <c r="C251" s="7">
        <f t="shared" si="68"/>
        <v>1.6280736319650027</v>
      </c>
      <c r="D251" s="7">
        <f t="shared" si="69"/>
        <v>1.5986174134120208</v>
      </c>
      <c r="E251" s="7">
        <f t="shared" si="70"/>
        <v>1</v>
      </c>
      <c r="G251" s="4">
        <f t="shared" si="71"/>
        <v>2390.0000000000068</v>
      </c>
      <c r="H251" s="1">
        <f t="shared" si="82"/>
        <v>1.5413851351351349</v>
      </c>
      <c r="I251" s="1">
        <f t="shared" si="83"/>
        <v>425.27763298705685</v>
      </c>
      <c r="J251" s="1">
        <f t="shared" si="72"/>
        <v>14.175921099568562</v>
      </c>
      <c r="K251" s="7">
        <f t="shared" si="73"/>
        <v>1.1651441999645393</v>
      </c>
      <c r="L251" s="4">
        <f t="shared" si="74"/>
        <v>6487.6712328767135</v>
      </c>
      <c r="M251" s="1">
        <f t="shared" si="75"/>
        <v>814.03681598250137</v>
      </c>
      <c r="N251" s="7">
        <f t="shared" si="76"/>
        <v>1.5986174134120208</v>
      </c>
      <c r="O251" s="1">
        <f t="shared" si="77"/>
        <v>3000</v>
      </c>
      <c r="P251" s="2">
        <f t="shared" si="78"/>
        <v>5.2812032335522288</v>
      </c>
      <c r="Q251" s="2">
        <f t="shared" si="85"/>
        <v>105.39795206884162</v>
      </c>
      <c r="S251" s="1">
        <f t="shared" si="66"/>
        <v>3000</v>
      </c>
      <c r="T251" s="1">
        <f t="shared" si="67"/>
        <v>6487.6712328767135</v>
      </c>
      <c r="V251" s="1">
        <f t="shared" si="79"/>
        <v>6487.6712328767135</v>
      </c>
      <c r="W251" s="1">
        <f t="shared" si="80"/>
        <v>3000</v>
      </c>
    </row>
    <row r="252" spans="1:23" x14ac:dyDescent="0.25">
      <c r="A252" s="2">
        <f t="shared" si="81"/>
        <v>24.000000000000071</v>
      </c>
      <c r="B252" s="7">
        <f t="shared" si="84"/>
        <v>23.68</v>
      </c>
      <c r="C252" s="7">
        <f t="shared" si="68"/>
        <v>1.6287999147538819</v>
      </c>
      <c r="D252" s="7">
        <f t="shared" si="69"/>
        <v>1.6083215811903993</v>
      </c>
      <c r="E252" s="7">
        <f t="shared" si="70"/>
        <v>1</v>
      </c>
      <c r="G252" s="4">
        <f t="shared" si="71"/>
        <v>2400.0000000000068</v>
      </c>
      <c r="H252" s="1">
        <f t="shared" si="82"/>
        <v>1.5413851351351349</v>
      </c>
      <c r="I252" s="1">
        <f t="shared" si="83"/>
        <v>426.81901812219201</v>
      </c>
      <c r="J252" s="1">
        <f t="shared" si="72"/>
        <v>14.227300604073067</v>
      </c>
      <c r="K252" s="7">
        <f t="shared" si="73"/>
        <v>1.1693671729375124</v>
      </c>
      <c r="L252" s="4">
        <f t="shared" si="74"/>
        <v>6487.6712328767135</v>
      </c>
      <c r="M252" s="1">
        <f t="shared" si="75"/>
        <v>814.39995737694096</v>
      </c>
      <c r="N252" s="7">
        <f t="shared" si="76"/>
        <v>1.6083215811903993</v>
      </c>
      <c r="O252" s="1">
        <f t="shared" si="77"/>
        <v>3000</v>
      </c>
      <c r="P252" s="2">
        <f t="shared" si="78"/>
        <v>5.2835591755304012</v>
      </c>
      <c r="Q252" s="2">
        <f t="shared" si="85"/>
        <v>106.04821284875062</v>
      </c>
      <c r="S252" s="1">
        <f t="shared" si="66"/>
        <v>3000</v>
      </c>
      <c r="T252" s="1">
        <f t="shared" si="67"/>
        <v>6487.6712328767135</v>
      </c>
      <c r="V252" s="1">
        <f t="shared" si="79"/>
        <v>6487.6712328767135</v>
      </c>
      <c r="W252" s="1">
        <f t="shared" si="80"/>
        <v>3000</v>
      </c>
    </row>
    <row r="253" spans="1:23" x14ac:dyDescent="0.25">
      <c r="A253" s="2">
        <f t="shared" si="81"/>
        <v>24.100000000000072</v>
      </c>
      <c r="B253" s="7">
        <f t="shared" si="84"/>
        <v>23.68</v>
      </c>
      <c r="C253" s="7">
        <f t="shared" si="68"/>
        <v>1.6295265215371304</v>
      </c>
      <c r="D253" s="7">
        <f t="shared" si="69"/>
        <v>1.6180846566670681</v>
      </c>
      <c r="E253" s="7">
        <f t="shared" si="70"/>
        <v>1</v>
      </c>
      <c r="G253" s="4">
        <f t="shared" si="71"/>
        <v>2410.0000000000073</v>
      </c>
      <c r="H253" s="1">
        <f t="shared" si="82"/>
        <v>1.541385135135205</v>
      </c>
      <c r="I253" s="1">
        <f t="shared" si="83"/>
        <v>428.36040325732722</v>
      </c>
      <c r="J253" s="1">
        <f t="shared" si="72"/>
        <v>14.278680108577573</v>
      </c>
      <c r="K253" s="7">
        <f t="shared" si="73"/>
        <v>1.1735901459104856</v>
      </c>
      <c r="L253" s="4">
        <f t="shared" si="74"/>
        <v>6487.6712328767135</v>
      </c>
      <c r="M253" s="1">
        <f t="shared" si="75"/>
        <v>814.76326076856515</v>
      </c>
      <c r="N253" s="7">
        <f t="shared" si="76"/>
        <v>1.6180846566670681</v>
      </c>
      <c r="O253" s="1">
        <f t="shared" si="77"/>
        <v>3000</v>
      </c>
      <c r="P253" s="2">
        <f t="shared" si="78"/>
        <v>5.2859161684930482</v>
      </c>
      <c r="Q253" s="2">
        <f t="shared" si="85"/>
        <v>106.70255039031952</v>
      </c>
      <c r="S253" s="1">
        <f t="shared" si="66"/>
        <v>3000</v>
      </c>
      <c r="T253" s="1">
        <f t="shared" si="67"/>
        <v>6487.6712328767135</v>
      </c>
      <c r="V253" s="1">
        <f t="shared" si="79"/>
        <v>6487.6712328767135</v>
      </c>
      <c r="W253" s="1">
        <f t="shared" si="80"/>
        <v>3000</v>
      </c>
    </row>
    <row r="254" spans="1:23" x14ac:dyDescent="0.25">
      <c r="A254" s="2">
        <f t="shared" si="81"/>
        <v>24.200000000000074</v>
      </c>
      <c r="B254" s="7">
        <f t="shared" si="84"/>
        <v>23.68</v>
      </c>
      <c r="C254" s="7">
        <f t="shared" si="68"/>
        <v>1.6302534524592818</v>
      </c>
      <c r="D254" s="7">
        <f t="shared" si="69"/>
        <v>1.6279069974323939</v>
      </c>
      <c r="E254" s="7">
        <f t="shared" si="70"/>
        <v>1</v>
      </c>
      <c r="G254" s="4">
        <f t="shared" si="71"/>
        <v>2420.0000000000073</v>
      </c>
      <c r="H254" s="1">
        <f t="shared" si="82"/>
        <v>1.5413851351351349</v>
      </c>
      <c r="I254" s="1">
        <f t="shared" si="83"/>
        <v>429.90178839246238</v>
      </c>
      <c r="J254" s="1">
        <f t="shared" si="72"/>
        <v>14.33005961308208</v>
      </c>
      <c r="K254" s="7">
        <f t="shared" si="73"/>
        <v>1.1778131188834586</v>
      </c>
      <c r="L254" s="4">
        <f t="shared" si="74"/>
        <v>6487.6712328767135</v>
      </c>
      <c r="M254" s="1">
        <f t="shared" si="75"/>
        <v>815.12672622964089</v>
      </c>
      <c r="N254" s="7">
        <f t="shared" si="76"/>
        <v>1.6279069974323939</v>
      </c>
      <c r="O254" s="1">
        <f t="shared" si="77"/>
        <v>3000</v>
      </c>
      <c r="P254" s="2">
        <f t="shared" si="78"/>
        <v>5.2882742129090143</v>
      </c>
      <c r="Q254" s="2">
        <f t="shared" si="85"/>
        <v>107.36099105632718</v>
      </c>
      <c r="S254" s="1">
        <f t="shared" si="66"/>
        <v>3000</v>
      </c>
      <c r="T254" s="1">
        <f t="shared" si="67"/>
        <v>6487.6712328767135</v>
      </c>
      <c r="V254" s="1">
        <f t="shared" si="79"/>
        <v>6487.6712328767135</v>
      </c>
      <c r="W254" s="1">
        <f t="shared" si="80"/>
        <v>3000</v>
      </c>
    </row>
    <row r="255" spans="1:23" x14ac:dyDescent="0.25">
      <c r="A255" s="2">
        <f t="shared" si="81"/>
        <v>24.300000000000075</v>
      </c>
      <c r="B255" s="7">
        <f t="shared" si="84"/>
        <v>23.68</v>
      </c>
      <c r="C255" s="7">
        <f t="shared" si="68"/>
        <v>1.6309807076649343</v>
      </c>
      <c r="D255" s="7">
        <f t="shared" si="69"/>
        <v>1.6377889632474436</v>
      </c>
      <c r="E255" s="7">
        <f t="shared" si="70"/>
        <v>1</v>
      </c>
      <c r="G255" s="4">
        <f t="shared" si="71"/>
        <v>2430.0000000000073</v>
      </c>
      <c r="H255" s="1">
        <f t="shared" si="82"/>
        <v>1.5413851351351349</v>
      </c>
      <c r="I255" s="1">
        <f t="shared" si="83"/>
        <v>431.44317352759754</v>
      </c>
      <c r="J255" s="1">
        <f t="shared" si="72"/>
        <v>14.381439117586584</v>
      </c>
      <c r="K255" s="7">
        <f t="shared" si="73"/>
        <v>1.1820360918564317</v>
      </c>
      <c r="L255" s="4">
        <f t="shared" si="74"/>
        <v>6487.6712328767135</v>
      </c>
      <c r="M255" s="1">
        <f t="shared" si="75"/>
        <v>815.49035383246712</v>
      </c>
      <c r="N255" s="7">
        <f t="shared" si="76"/>
        <v>1.6377889632474436</v>
      </c>
      <c r="O255" s="1">
        <f t="shared" si="77"/>
        <v>3000</v>
      </c>
      <c r="P255" s="2">
        <f t="shared" si="78"/>
        <v>5.2906333092473492</v>
      </c>
      <c r="Q255" s="2">
        <f t="shared" si="85"/>
        <v>108.0235613899862</v>
      </c>
      <c r="S255" s="1">
        <f t="shared" si="66"/>
        <v>3000</v>
      </c>
      <c r="T255" s="1">
        <f t="shared" si="67"/>
        <v>6487.6712328767135</v>
      </c>
      <c r="V255" s="1">
        <f t="shared" si="79"/>
        <v>6487.6712328767135</v>
      </c>
      <c r="W255" s="1">
        <f t="shared" si="80"/>
        <v>3000</v>
      </c>
    </row>
    <row r="256" spans="1:23" x14ac:dyDescent="0.25">
      <c r="A256" s="2">
        <f t="shared" si="81"/>
        <v>24.400000000000077</v>
      </c>
      <c r="B256" s="7">
        <f t="shared" si="84"/>
        <v>23.68</v>
      </c>
      <c r="C256" s="7">
        <f t="shared" si="68"/>
        <v>1.6317082872987505</v>
      </c>
      <c r="D256" s="7">
        <f t="shared" si="69"/>
        <v>1.6477309160571576</v>
      </c>
      <c r="E256" s="7">
        <f t="shared" si="70"/>
        <v>1</v>
      </c>
      <c r="G256" s="4">
        <f t="shared" si="71"/>
        <v>2440.0000000000073</v>
      </c>
      <c r="H256" s="1">
        <f t="shared" si="82"/>
        <v>1.5413851351351349</v>
      </c>
      <c r="I256" s="1">
        <f t="shared" si="83"/>
        <v>432.9845586627327</v>
      </c>
      <c r="J256" s="1">
        <f t="shared" si="72"/>
        <v>14.432818622091089</v>
      </c>
      <c r="K256" s="7">
        <f t="shared" si="73"/>
        <v>1.1862590648294047</v>
      </c>
      <c r="L256" s="4">
        <f t="shared" si="74"/>
        <v>6487.6712328767135</v>
      </c>
      <c r="M256" s="1">
        <f t="shared" si="75"/>
        <v>815.85414364937526</v>
      </c>
      <c r="N256" s="7">
        <f t="shared" si="76"/>
        <v>1.6477309160571576</v>
      </c>
      <c r="O256" s="1">
        <f t="shared" si="77"/>
        <v>3000</v>
      </c>
      <c r="P256" s="2">
        <f t="shared" si="78"/>
        <v>5.2929934579773175</v>
      </c>
      <c r="Q256" s="2">
        <f t="shared" si="85"/>
        <v>108.69028811630004</v>
      </c>
      <c r="S256" s="1">
        <f t="shared" si="66"/>
        <v>3000</v>
      </c>
      <c r="T256" s="1">
        <f t="shared" si="67"/>
        <v>6487.6712328767135</v>
      </c>
      <c r="V256" s="1">
        <f t="shared" si="79"/>
        <v>6487.6712328767135</v>
      </c>
      <c r="W256" s="1">
        <f t="shared" si="80"/>
        <v>3000</v>
      </c>
    </row>
    <row r="257" spans="1:23" x14ac:dyDescent="0.25">
      <c r="A257" s="2">
        <f t="shared" si="81"/>
        <v>24.500000000000078</v>
      </c>
      <c r="B257" s="7">
        <f t="shared" si="84"/>
        <v>23.68</v>
      </c>
      <c r="C257" s="7">
        <f t="shared" si="68"/>
        <v>1.6324361915054579</v>
      </c>
      <c r="D257" s="7">
        <f t="shared" si="69"/>
        <v>1.6577332200036106</v>
      </c>
      <c r="E257" s="7">
        <f t="shared" si="70"/>
        <v>1</v>
      </c>
      <c r="G257" s="4">
        <f t="shared" si="71"/>
        <v>2450.0000000000077</v>
      </c>
      <c r="H257" s="1">
        <f t="shared" si="82"/>
        <v>1.541385135135205</v>
      </c>
      <c r="I257" s="1">
        <f t="shared" si="83"/>
        <v>434.52594379786791</v>
      </c>
      <c r="J257" s="1">
        <f t="shared" si="72"/>
        <v>14.484198126595597</v>
      </c>
      <c r="K257" s="7">
        <f t="shared" si="73"/>
        <v>1.1904820378023779</v>
      </c>
      <c r="L257" s="4">
        <f t="shared" si="74"/>
        <v>6487.6712328767135</v>
      </c>
      <c r="M257" s="1">
        <f t="shared" si="75"/>
        <v>816.21809575272891</v>
      </c>
      <c r="N257" s="7">
        <f t="shared" si="76"/>
        <v>1.6577332200036106</v>
      </c>
      <c r="O257" s="1">
        <f t="shared" si="77"/>
        <v>3000</v>
      </c>
      <c r="P257" s="2">
        <f t="shared" si="78"/>
        <v>5.2953546595683898</v>
      </c>
      <c r="Q257" s="2">
        <f t="shared" si="85"/>
        <v>109.36119814343274</v>
      </c>
      <c r="S257" s="1">
        <f t="shared" si="66"/>
        <v>3000</v>
      </c>
      <c r="T257" s="1">
        <f t="shared" si="67"/>
        <v>6487.6712328767135</v>
      </c>
      <c r="V257" s="1">
        <f t="shared" si="79"/>
        <v>6487.6712328767135</v>
      </c>
      <c r="W257" s="1">
        <f t="shared" si="80"/>
        <v>3000</v>
      </c>
    </row>
    <row r="258" spans="1:23" x14ac:dyDescent="0.25">
      <c r="A258" s="2">
        <f t="shared" si="81"/>
        <v>24.60000000000008</v>
      </c>
      <c r="B258" s="7">
        <f t="shared" si="84"/>
        <v>23.68</v>
      </c>
      <c r="C258" s="7">
        <f t="shared" si="68"/>
        <v>1.6331644204298479</v>
      </c>
      <c r="D258" s="7">
        <f t="shared" si="69"/>
        <v>1.667796241439347</v>
      </c>
      <c r="E258" s="7">
        <f t="shared" si="70"/>
        <v>1</v>
      </c>
      <c r="G258" s="4">
        <f t="shared" si="71"/>
        <v>2460.0000000000082</v>
      </c>
      <c r="H258" s="1">
        <f t="shared" si="82"/>
        <v>1.541385135135205</v>
      </c>
      <c r="I258" s="1">
        <f t="shared" si="83"/>
        <v>436.06732893300313</v>
      </c>
      <c r="J258" s="1">
        <f t="shared" si="72"/>
        <v>14.535577631100104</v>
      </c>
      <c r="K258" s="7">
        <f t="shared" si="73"/>
        <v>1.194705010775351</v>
      </c>
      <c r="L258" s="4">
        <f t="shared" si="74"/>
        <v>6487.6712328767135</v>
      </c>
      <c r="M258" s="1">
        <f t="shared" si="75"/>
        <v>816.58221021492398</v>
      </c>
      <c r="N258" s="7">
        <f t="shared" si="76"/>
        <v>1.667796241439347</v>
      </c>
      <c r="O258" s="1">
        <f t="shared" si="77"/>
        <v>3000</v>
      </c>
      <c r="P258" s="2">
        <f t="shared" si="78"/>
        <v>5.2977169144902474</v>
      </c>
      <c r="Q258" s="2">
        <f t="shared" si="85"/>
        <v>110.03631856408968</v>
      </c>
      <c r="S258" s="1">
        <f t="shared" si="66"/>
        <v>3000</v>
      </c>
      <c r="T258" s="1">
        <f t="shared" si="67"/>
        <v>6487.6712328767135</v>
      </c>
      <c r="V258" s="1">
        <f t="shared" si="79"/>
        <v>6487.6712328767135</v>
      </c>
      <c r="W258" s="1">
        <f t="shared" si="80"/>
        <v>3000</v>
      </c>
    </row>
    <row r="259" spans="1:23" x14ac:dyDescent="0.25">
      <c r="A259" s="2">
        <f t="shared" si="81"/>
        <v>24.700000000000081</v>
      </c>
      <c r="B259" s="7">
        <f t="shared" si="84"/>
        <v>23.68</v>
      </c>
      <c r="C259" s="7">
        <f t="shared" si="68"/>
        <v>1.6338929742167776</v>
      </c>
      <c r="D259" s="7">
        <f t="shared" si="69"/>
        <v>1.6779203489407992</v>
      </c>
      <c r="E259" s="7">
        <f t="shared" si="70"/>
        <v>1</v>
      </c>
      <c r="G259" s="4">
        <f t="shared" si="71"/>
        <v>2470.0000000000082</v>
      </c>
      <c r="H259" s="1">
        <f t="shared" si="82"/>
        <v>1.5413851351351349</v>
      </c>
      <c r="I259" s="1">
        <f t="shared" si="83"/>
        <v>437.60871406813828</v>
      </c>
      <c r="J259" s="1">
        <f t="shared" si="72"/>
        <v>14.58695713560461</v>
      </c>
      <c r="K259" s="7">
        <f t="shared" si="73"/>
        <v>1.198927983748324</v>
      </c>
      <c r="L259" s="4">
        <f t="shared" si="74"/>
        <v>6487.6712328767135</v>
      </c>
      <c r="M259" s="1">
        <f t="shared" si="75"/>
        <v>816.94648710838885</v>
      </c>
      <c r="N259" s="7">
        <f t="shared" si="76"/>
        <v>1.6779203489407992</v>
      </c>
      <c r="O259" s="1">
        <f t="shared" si="77"/>
        <v>3000</v>
      </c>
      <c r="P259" s="2">
        <f t="shared" si="78"/>
        <v>5.300080223212781</v>
      </c>
      <c r="Q259" s="2">
        <f t="shared" si="85"/>
        <v>110.71567665691062</v>
      </c>
      <c r="S259" s="1">
        <f t="shared" si="66"/>
        <v>3000</v>
      </c>
      <c r="T259" s="1">
        <f t="shared" si="67"/>
        <v>6487.6712328767135</v>
      </c>
      <c r="V259" s="1">
        <f t="shared" si="79"/>
        <v>6487.6712328767135</v>
      </c>
      <c r="W259" s="1">
        <f t="shared" si="80"/>
        <v>3000</v>
      </c>
    </row>
    <row r="260" spans="1:23" x14ac:dyDescent="0.25">
      <c r="A260" s="2">
        <f t="shared" si="81"/>
        <v>24.800000000000082</v>
      </c>
      <c r="B260" s="7">
        <f t="shared" si="84"/>
        <v>23.68</v>
      </c>
      <c r="C260" s="7">
        <f t="shared" si="68"/>
        <v>1.6346218530111674</v>
      </c>
      <c r="D260" s="7">
        <f t="shared" si="69"/>
        <v>1.6881059133217871</v>
      </c>
      <c r="E260" s="7">
        <f t="shared" si="70"/>
        <v>1</v>
      </c>
      <c r="G260" s="4">
        <f t="shared" si="71"/>
        <v>2480.0000000000086</v>
      </c>
      <c r="H260" s="1">
        <f t="shared" si="82"/>
        <v>1.541385135135205</v>
      </c>
      <c r="I260" s="1">
        <f t="shared" si="83"/>
        <v>439.1500992032735</v>
      </c>
      <c r="J260" s="1">
        <f t="shared" si="72"/>
        <v>14.638336640109117</v>
      </c>
      <c r="K260" s="7">
        <f t="shared" si="73"/>
        <v>1.2031509567212972</v>
      </c>
      <c r="L260" s="4">
        <f t="shared" si="74"/>
        <v>6487.6712328767135</v>
      </c>
      <c r="M260" s="1">
        <f t="shared" si="75"/>
        <v>817.31092650558367</v>
      </c>
      <c r="N260" s="7">
        <f t="shared" si="76"/>
        <v>1.6881059133217871</v>
      </c>
      <c r="O260" s="1">
        <f t="shared" si="77"/>
        <v>3000</v>
      </c>
      <c r="P260" s="2">
        <f t="shared" si="78"/>
        <v>5.3024445862060885</v>
      </c>
      <c r="Q260" s="2">
        <f t="shared" si="85"/>
        <v>111.39929988787458</v>
      </c>
      <c r="S260" s="1">
        <f t="shared" si="66"/>
        <v>3000</v>
      </c>
      <c r="T260" s="1">
        <f t="shared" si="67"/>
        <v>6487.6712328767135</v>
      </c>
      <c r="V260" s="1">
        <f t="shared" si="79"/>
        <v>6487.6712328767135</v>
      </c>
      <c r="W260" s="1">
        <f t="shared" si="80"/>
        <v>3000</v>
      </c>
    </row>
    <row r="261" spans="1:23" x14ac:dyDescent="0.25">
      <c r="A261" s="2">
        <f t="shared" si="81"/>
        <v>24.900000000000084</v>
      </c>
      <c r="B261" s="7">
        <f t="shared" si="84"/>
        <v>23.68</v>
      </c>
      <c r="C261" s="7">
        <f t="shared" si="68"/>
        <v>1.635351056958003</v>
      </c>
      <c r="D261" s="7">
        <f t="shared" si="69"/>
        <v>1.6983533076471018</v>
      </c>
      <c r="E261" s="7">
        <f t="shared" si="70"/>
        <v>1</v>
      </c>
      <c r="G261" s="4">
        <f t="shared" si="71"/>
        <v>2490.0000000000082</v>
      </c>
      <c r="H261" s="1">
        <f t="shared" si="82"/>
        <v>1.5413851351350647</v>
      </c>
      <c r="I261" s="1">
        <f t="shared" si="83"/>
        <v>440.69148433840854</v>
      </c>
      <c r="J261" s="1">
        <f t="shared" si="72"/>
        <v>14.689716144613618</v>
      </c>
      <c r="K261" s="7">
        <f t="shared" si="73"/>
        <v>1.20737392969427</v>
      </c>
      <c r="L261" s="4">
        <f t="shared" si="74"/>
        <v>6487.6712328767135</v>
      </c>
      <c r="M261" s="1">
        <f t="shared" si="75"/>
        <v>817.67552847900151</v>
      </c>
      <c r="N261" s="7">
        <f t="shared" si="76"/>
        <v>1.6983533076471018</v>
      </c>
      <c r="O261" s="1">
        <f t="shared" si="77"/>
        <v>3000</v>
      </c>
      <c r="P261" s="2">
        <f t="shared" si="78"/>
        <v>5.3048100039404815</v>
      </c>
      <c r="Q261" s="2">
        <f t="shared" si="85"/>
        <v>112.08721591171739</v>
      </c>
      <c r="S261" s="1">
        <f t="shared" si="66"/>
        <v>3000</v>
      </c>
      <c r="T261" s="1">
        <f t="shared" si="67"/>
        <v>6487.6712328767135</v>
      </c>
      <c r="V261" s="1">
        <f t="shared" si="79"/>
        <v>6487.6712328767135</v>
      </c>
      <c r="W261" s="1">
        <f t="shared" si="80"/>
        <v>3000</v>
      </c>
    </row>
    <row r="262" spans="1:23" x14ac:dyDescent="0.25">
      <c r="A262" s="2">
        <f t="shared" si="81"/>
        <v>25.000000000000085</v>
      </c>
      <c r="B262" s="7">
        <f t="shared" si="84"/>
        <v>23.68</v>
      </c>
      <c r="C262" s="7">
        <f t="shared" si="68"/>
        <v>1.6360805862023347</v>
      </c>
      <c r="D262" s="7">
        <f t="shared" si="69"/>
        <v>1.7086629072461665</v>
      </c>
      <c r="E262" s="7">
        <f t="shared" si="70"/>
        <v>1</v>
      </c>
      <c r="G262" s="4">
        <f t="shared" si="71"/>
        <v>2500.0000000000086</v>
      </c>
      <c r="H262" s="1">
        <f t="shared" si="82"/>
        <v>1.541385135135205</v>
      </c>
      <c r="I262" s="1">
        <f t="shared" si="83"/>
        <v>442.23286947354376</v>
      </c>
      <c r="J262" s="1">
        <f t="shared" si="72"/>
        <v>14.741095649118126</v>
      </c>
      <c r="K262" s="7">
        <f t="shared" si="73"/>
        <v>1.2115969026672431</v>
      </c>
      <c r="L262" s="4">
        <f t="shared" si="74"/>
        <v>6487.6712328767135</v>
      </c>
      <c r="M262" s="1">
        <f t="shared" si="75"/>
        <v>818.04029310116732</v>
      </c>
      <c r="N262" s="7">
        <f t="shared" si="76"/>
        <v>1.7086629072461665</v>
      </c>
      <c r="O262" s="1">
        <f t="shared" si="77"/>
        <v>3000</v>
      </c>
      <c r="P262" s="2">
        <f t="shared" si="78"/>
        <v>5.307176476886478</v>
      </c>
      <c r="Q262" s="2">
        <f t="shared" si="85"/>
        <v>112.77945257336074</v>
      </c>
      <c r="S262" s="1">
        <f t="shared" si="66"/>
        <v>3000</v>
      </c>
      <c r="T262" s="1">
        <f t="shared" si="67"/>
        <v>6487.6712328767135</v>
      </c>
      <c r="V262" s="1">
        <f t="shared" si="79"/>
        <v>6487.6712328767135</v>
      </c>
      <c r="W262" s="1">
        <f t="shared" si="80"/>
        <v>3000</v>
      </c>
    </row>
    <row r="263" spans="1:23" x14ac:dyDescent="0.25">
      <c r="A263" s="2">
        <f t="shared" si="81"/>
        <v>25.100000000000087</v>
      </c>
      <c r="B263" s="7">
        <f t="shared" si="84"/>
        <v>23.68</v>
      </c>
      <c r="C263" s="7">
        <f t="shared" si="68"/>
        <v>1.6368104408892779</v>
      </c>
      <c r="D263" s="7">
        <f t="shared" si="69"/>
        <v>1.7190350897267885</v>
      </c>
      <c r="E263" s="7">
        <f t="shared" si="70"/>
        <v>1</v>
      </c>
      <c r="G263" s="4">
        <f t="shared" si="71"/>
        <v>2510.0000000000086</v>
      </c>
      <c r="H263" s="1">
        <f t="shared" si="82"/>
        <v>1.5413851351351349</v>
      </c>
      <c r="I263" s="1">
        <f t="shared" si="83"/>
        <v>443.77425460867892</v>
      </c>
      <c r="J263" s="1">
        <f t="shared" si="72"/>
        <v>14.792475153622631</v>
      </c>
      <c r="K263" s="7">
        <f t="shared" si="73"/>
        <v>1.2158198756402163</v>
      </c>
      <c r="L263" s="4">
        <f t="shared" si="74"/>
        <v>6487.6712328767135</v>
      </c>
      <c r="M263" s="1">
        <f t="shared" si="75"/>
        <v>818.40522044463887</v>
      </c>
      <c r="N263" s="7">
        <f t="shared" si="76"/>
        <v>1.7190350897267885</v>
      </c>
      <c r="O263" s="1">
        <f t="shared" si="77"/>
        <v>3000</v>
      </c>
      <c r="P263" s="2">
        <f t="shared" si="78"/>
        <v>5.3095440055148089</v>
      </c>
      <c r="Q263" s="2">
        <f t="shared" si="85"/>
        <v>113.47603790935474</v>
      </c>
      <c r="S263" s="1">
        <f t="shared" si="66"/>
        <v>3000</v>
      </c>
      <c r="T263" s="1">
        <f t="shared" si="67"/>
        <v>6487.6712328767135</v>
      </c>
      <c r="V263" s="1">
        <f t="shared" si="79"/>
        <v>6487.6712328767135</v>
      </c>
      <c r="W263" s="1">
        <f t="shared" si="80"/>
        <v>3000</v>
      </c>
    </row>
    <row r="264" spans="1:23" x14ac:dyDescent="0.25">
      <c r="A264" s="2">
        <f t="shared" si="81"/>
        <v>25.200000000000088</v>
      </c>
      <c r="B264" s="7">
        <f t="shared" si="84"/>
        <v>23.68</v>
      </c>
      <c r="C264" s="7">
        <f t="shared" si="68"/>
        <v>1.637540621164012</v>
      </c>
      <c r="D264" s="7">
        <f t="shared" si="69"/>
        <v>1.7294702349889832</v>
      </c>
      <c r="E264" s="7">
        <f t="shared" si="70"/>
        <v>1</v>
      </c>
      <c r="G264" s="4">
        <f t="shared" si="71"/>
        <v>2520.0000000000091</v>
      </c>
      <c r="H264" s="1">
        <f t="shared" si="82"/>
        <v>1.541385135135205</v>
      </c>
      <c r="I264" s="1">
        <f t="shared" si="83"/>
        <v>445.31563974381413</v>
      </c>
      <c r="J264" s="1">
        <f t="shared" si="72"/>
        <v>14.843854658127137</v>
      </c>
      <c r="K264" s="7">
        <f t="shared" si="73"/>
        <v>1.2200428486131893</v>
      </c>
      <c r="L264" s="4">
        <f t="shared" si="74"/>
        <v>6487.6712328767135</v>
      </c>
      <c r="M264" s="1">
        <f t="shared" si="75"/>
        <v>818.770310582006</v>
      </c>
      <c r="N264" s="7">
        <f t="shared" si="76"/>
        <v>1.7294702349889832</v>
      </c>
      <c r="O264" s="1">
        <f t="shared" si="77"/>
        <v>3000</v>
      </c>
      <c r="P264" s="2">
        <f t="shared" si="78"/>
        <v>5.3119125902964131</v>
      </c>
      <c r="Q264" s="2">
        <f t="shared" si="85"/>
        <v>114.17700014933156</v>
      </c>
      <c r="S264" s="1">
        <f t="shared" si="66"/>
        <v>3000</v>
      </c>
      <c r="T264" s="1">
        <f t="shared" si="67"/>
        <v>6487.6712328767135</v>
      </c>
      <c r="V264" s="1">
        <f t="shared" si="79"/>
        <v>6487.6712328767135</v>
      </c>
      <c r="W264" s="1">
        <f t="shared" si="80"/>
        <v>3000</v>
      </c>
    </row>
    <row r="265" spans="1:23" x14ac:dyDescent="0.25">
      <c r="A265" s="2">
        <f t="shared" si="81"/>
        <v>25.30000000000009</v>
      </c>
      <c r="B265" s="7">
        <f t="shared" si="84"/>
        <v>23.68</v>
      </c>
      <c r="C265" s="7">
        <f t="shared" si="68"/>
        <v>1.6382711271717818</v>
      </c>
      <c r="D265" s="7">
        <f t="shared" si="69"/>
        <v>1.7399687252388947</v>
      </c>
      <c r="E265" s="7">
        <f t="shared" si="70"/>
        <v>1</v>
      </c>
      <c r="G265" s="4">
        <f t="shared" si="71"/>
        <v>2530.0000000000091</v>
      </c>
      <c r="H265" s="1">
        <f t="shared" si="82"/>
        <v>1.5413851351351349</v>
      </c>
      <c r="I265" s="1">
        <f t="shared" si="83"/>
        <v>446.85702487894929</v>
      </c>
      <c r="J265" s="1">
        <f t="shared" si="72"/>
        <v>14.895234162631644</v>
      </c>
      <c r="K265" s="7">
        <f t="shared" si="73"/>
        <v>1.2242658215861624</v>
      </c>
      <c r="L265" s="4">
        <f t="shared" si="74"/>
        <v>6487.6712328767135</v>
      </c>
      <c r="M265" s="1">
        <f t="shared" si="75"/>
        <v>819.13556358589085</v>
      </c>
      <c r="N265" s="7">
        <f t="shared" si="76"/>
        <v>1.7399687252388947</v>
      </c>
      <c r="O265" s="1">
        <f t="shared" si="77"/>
        <v>3000</v>
      </c>
      <c r="P265" s="2">
        <f t="shared" si="78"/>
        <v>5.3142822317024372</v>
      </c>
      <c r="Q265" s="2">
        <f t="shared" si="85"/>
        <v>114.88236771747343</v>
      </c>
      <c r="S265" s="1">
        <f t="shared" si="66"/>
        <v>3000</v>
      </c>
      <c r="T265" s="1">
        <f t="shared" si="67"/>
        <v>6487.6712328767135</v>
      </c>
      <c r="V265" s="1">
        <f t="shared" si="79"/>
        <v>6487.6712328767135</v>
      </c>
      <c r="W265" s="1">
        <f t="shared" si="80"/>
        <v>3000</v>
      </c>
    </row>
    <row r="266" spans="1:23" x14ac:dyDescent="0.25">
      <c r="A266" s="2">
        <f t="shared" si="81"/>
        <v>25.400000000000091</v>
      </c>
      <c r="B266" s="7">
        <f t="shared" si="84"/>
        <v>23.68</v>
      </c>
      <c r="C266" s="7">
        <f t="shared" si="68"/>
        <v>1.6390019590578966</v>
      </c>
      <c r="D266" s="7">
        <f t="shared" si="69"/>
        <v>1.7505309450027911</v>
      </c>
      <c r="E266" s="7">
        <f t="shared" si="70"/>
        <v>1</v>
      </c>
      <c r="G266" s="4">
        <f t="shared" si="71"/>
        <v>2540.0000000000091</v>
      </c>
      <c r="H266" s="1">
        <f t="shared" si="82"/>
        <v>1.5413851351351349</v>
      </c>
      <c r="I266" s="1">
        <f t="shared" si="83"/>
        <v>448.39841001408445</v>
      </c>
      <c r="J266" s="1">
        <f t="shared" si="72"/>
        <v>14.946613667136148</v>
      </c>
      <c r="K266" s="7">
        <f t="shared" si="73"/>
        <v>1.2284887945591354</v>
      </c>
      <c r="L266" s="4">
        <f t="shared" si="74"/>
        <v>6487.6712328767135</v>
      </c>
      <c r="M266" s="1">
        <f t="shared" si="75"/>
        <v>819.50097952894828</v>
      </c>
      <c r="N266" s="7">
        <f t="shared" si="76"/>
        <v>1.7505309450027911</v>
      </c>
      <c r="O266" s="1">
        <f t="shared" si="77"/>
        <v>3000</v>
      </c>
      <c r="P266" s="2">
        <f t="shared" si="78"/>
        <v>5.3166529302042465</v>
      </c>
      <c r="Q266" s="2">
        <f t="shared" si="85"/>
        <v>115.59216923399198</v>
      </c>
      <c r="S266" s="1">
        <f t="shared" si="66"/>
        <v>3000</v>
      </c>
      <c r="T266" s="1">
        <f t="shared" si="67"/>
        <v>6487.6712328767135</v>
      </c>
      <c r="V266" s="1">
        <f t="shared" si="79"/>
        <v>6487.6712328767135</v>
      </c>
      <c r="W266" s="1">
        <f t="shared" si="80"/>
        <v>3000</v>
      </c>
    </row>
    <row r="267" spans="1:23" x14ac:dyDescent="0.25">
      <c r="A267" s="2">
        <f t="shared" si="81"/>
        <v>25.500000000000092</v>
      </c>
      <c r="B267" s="7">
        <f t="shared" si="84"/>
        <v>23.68</v>
      </c>
      <c r="C267" s="7">
        <f t="shared" si="68"/>
        <v>1.6397331169677305</v>
      </c>
      <c r="D267" s="7">
        <f t="shared" si="69"/>
        <v>1.7611572811411504</v>
      </c>
      <c r="E267" s="7">
        <f t="shared" si="70"/>
        <v>1</v>
      </c>
      <c r="G267" s="4">
        <f t="shared" si="71"/>
        <v>2550.0000000000095</v>
      </c>
      <c r="H267" s="1">
        <f t="shared" si="82"/>
        <v>1.541385135135205</v>
      </c>
      <c r="I267" s="1">
        <f t="shared" si="83"/>
        <v>449.93979514921966</v>
      </c>
      <c r="J267" s="1">
        <f t="shared" si="72"/>
        <v>14.997993171640655</v>
      </c>
      <c r="K267" s="7">
        <f t="shared" si="73"/>
        <v>1.2327117675321086</v>
      </c>
      <c r="L267" s="4">
        <f t="shared" si="74"/>
        <v>6487.6712328767135</v>
      </c>
      <c r="M267" s="1">
        <f t="shared" si="75"/>
        <v>819.86655848386522</v>
      </c>
      <c r="N267" s="7">
        <f t="shared" si="76"/>
        <v>1.7611572811411504</v>
      </c>
      <c r="O267" s="1">
        <f t="shared" si="77"/>
        <v>3000</v>
      </c>
      <c r="P267" s="2">
        <f t="shared" si="78"/>
        <v>5.3190246862734059</v>
      </c>
      <c r="Q267" s="2">
        <f t="shared" si="85"/>
        <v>116.30643351662164</v>
      </c>
      <c r="S267" s="1">
        <f t="shared" si="66"/>
        <v>3000</v>
      </c>
      <c r="T267" s="1">
        <f t="shared" si="67"/>
        <v>6487.6712328767135</v>
      </c>
      <c r="V267" s="1">
        <f t="shared" si="79"/>
        <v>6487.6712328767135</v>
      </c>
      <c r="W267" s="1">
        <f t="shared" si="80"/>
        <v>3000</v>
      </c>
    </row>
    <row r="268" spans="1:23" x14ac:dyDescent="0.25">
      <c r="A268" s="2">
        <f t="shared" si="81"/>
        <v>25.600000000000094</v>
      </c>
      <c r="B268" s="7">
        <f t="shared" si="84"/>
        <v>23.68</v>
      </c>
      <c r="C268" s="7">
        <f t="shared" si="68"/>
        <v>1.6404646010467221</v>
      </c>
      <c r="D268" s="7">
        <f t="shared" si="69"/>
        <v>1.7718481228628282</v>
      </c>
      <c r="E268" s="7">
        <f t="shared" si="70"/>
        <v>1</v>
      </c>
      <c r="G268" s="4">
        <f t="shared" si="71"/>
        <v>2560.0000000000095</v>
      </c>
      <c r="H268" s="1">
        <f t="shared" si="82"/>
        <v>1.5413851351351349</v>
      </c>
      <c r="I268" s="1">
        <f t="shared" si="83"/>
        <v>451.48118028435482</v>
      </c>
      <c r="J268" s="1">
        <f t="shared" si="72"/>
        <v>15.049372676145161</v>
      </c>
      <c r="K268" s="7">
        <f t="shared" si="73"/>
        <v>1.2369347405050817</v>
      </c>
      <c r="L268" s="4">
        <f t="shared" si="74"/>
        <v>6487.6712328767135</v>
      </c>
      <c r="M268" s="1">
        <f t="shared" si="75"/>
        <v>820.232300523361</v>
      </c>
      <c r="N268" s="7">
        <f t="shared" si="76"/>
        <v>1.7718481228628282</v>
      </c>
      <c r="O268" s="1">
        <f t="shared" si="77"/>
        <v>3000</v>
      </c>
      <c r="P268" s="2">
        <f t="shared" si="78"/>
        <v>5.3213975003816962</v>
      </c>
      <c r="Q268" s="2">
        <f t="shared" si="85"/>
        <v>117.02518958212529</v>
      </c>
      <c r="S268" s="1">
        <f t="shared" ref="S268:S331" si="86">E268*$H$3</f>
        <v>3000</v>
      </c>
      <c r="T268" s="1">
        <f t="shared" ref="T268:T331" si="87">B268/100*$H$2/365*1000000</f>
        <v>6487.6712328767135</v>
      </c>
      <c r="V268" s="1">
        <f t="shared" si="79"/>
        <v>6487.6712328767135</v>
      </c>
      <c r="W268" s="1">
        <f t="shared" si="80"/>
        <v>3000</v>
      </c>
    </row>
    <row r="269" spans="1:23" x14ac:dyDescent="0.25">
      <c r="A269" s="2">
        <f t="shared" si="81"/>
        <v>25.700000000000095</v>
      </c>
      <c r="B269" s="7">
        <f t="shared" si="84"/>
        <v>23.68</v>
      </c>
      <c r="C269" s="7">
        <f t="shared" ref="C269:C332" si="88">IF($C$5&lt;$C$7,IF(A269&lt;=$C$2,$C$3*EXP(A269*$C$4),IF(A269&lt;=$C$7,$C$6,IF($C$8*EXP(A269*$C$9)&gt;$C$6,$C$6,$C$8*EXP(A269*$C$9)))),IF(A269&lt;=$C$2,$C$3*EXP(A269*$C$4),IF(A269&lt;=$C$5,$C$6,IF($C$8*EXP(A269*$C$9)&gt;$C$6,$C$6,$C$8*EXP(A269*$C$9)))))</f>
        <v>1.6411964114403761</v>
      </c>
      <c r="D269" s="7">
        <f t="shared" ref="D269:D332" si="89">IF(IF($D$5&lt;$D$7,IF(A269&lt;=$D$2,$D$3*EXP(A269*$D$4),IF(A269&lt;=$D$7,$D$6,IF($D$8*EXP(A269*$D$9)&gt;$D$6,$D$6,$D$8*EXP(A269*$D$9)))),IF(A269&lt;=$D$2,$D$3*EXP(A269*$D$4),IF(A269&lt;=$D$5,$D$6,IF($D$8*EXP(A269*$D$9)&gt;$D$6,$D$6,$D$8*EXP(A269*$D$9)))))&lt;=100,IF($D$5&lt;$D$7,IF(A269&lt;=$D$2,$D$3*EXP(A269*$D$4),IF(A269&lt;=$D$7,$D$6,IF($D$8*EXP(A269*$D$9)&gt;$D$6,$D$6,$D$8*EXP(A269*$D$9)))),IF(A269&lt;=$D$2,$D$3*EXP(A269*$D$4),IF(A269&lt;=$D$5,$D$6,IF($D$8*EXP(A269*$D$9)&gt;$D$6,$D$6,$D$8*EXP(A269*$D$9))))),100)</f>
        <v>1.7826038617393161</v>
      </c>
      <c r="E269" s="7">
        <f t="shared" ref="E269:E332" si="90">IF($E$5&lt;$E$7,IF(A269&lt;=$E$2,$E$3*EXP(A269*$E$4),IF(A269&lt;=$E$7,$E$6,IF($E$8*EXP(A269*$E$9)&gt;$E$6,$E$6,$E$8*EXP(A269*$E$9)))),IF(A269&lt;=$E$2,$E$3*EXP(A269*$E$4),IF(A269&lt;=$E$5,$E$6,IF($E$8*EXP(A269*$E$9)&gt;$E$6,$E$6,$E$8*EXP(A269*$E$9)))))</f>
        <v>1</v>
      </c>
      <c r="G269" s="4">
        <f t="shared" ref="G269:G332" si="91">A269/100*$H$2*1000</f>
        <v>2570.0000000000095</v>
      </c>
      <c r="H269" s="1">
        <f t="shared" si="82"/>
        <v>1.5413851351351349</v>
      </c>
      <c r="I269" s="1">
        <f t="shared" si="83"/>
        <v>453.02256541948998</v>
      </c>
      <c r="J269" s="1">
        <f t="shared" ref="J269:J332" si="92">I269/30</f>
        <v>15.100752180649666</v>
      </c>
      <c r="K269" s="7">
        <f t="shared" ref="K269:K332" si="93">I269/365</f>
        <v>1.2411577134780547</v>
      </c>
      <c r="L269" s="4">
        <f t="shared" ref="L269:L332" si="94">IF(A269&gt;$B$2,IF(AND(B269/100*$H$2/365*1000000&gt;=$H$5,O269&gt;=$H$6,M269&lt;=$L$4,N269&lt;=$L$5),B269/100*$H$2/365*1000000*$L$6/100,#N/A),B269/100*$H$2/365*1000000*$L$6/100)</f>
        <v>6487.6712328767135</v>
      </c>
      <c r="M269" s="1">
        <f t="shared" ref="M269:M332" si="95">C269*$H$4</f>
        <v>820.59820572018805</v>
      </c>
      <c r="N269" s="7">
        <f t="shared" ref="N269:N332" si="96">D269</f>
        <v>1.7826038617393161</v>
      </c>
      <c r="O269" s="1">
        <f t="shared" ref="O269:O332" si="97">E269*$H$3</f>
        <v>3000</v>
      </c>
      <c r="P269" s="2">
        <f t="shared" ref="P269:P332" si="98">L269*M269/1000000</f>
        <v>5.3237713730011116</v>
      </c>
      <c r="Q269" s="2">
        <f t="shared" si="85"/>
        <v>117.74846664781376</v>
      </c>
      <c r="S269" s="1">
        <f t="shared" si="86"/>
        <v>3000</v>
      </c>
      <c r="T269" s="1">
        <f t="shared" si="87"/>
        <v>6487.6712328767135</v>
      </c>
      <c r="V269" s="1">
        <f t="shared" ref="V269:V332" si="99">T269</f>
        <v>6487.6712328767135</v>
      </c>
      <c r="W269" s="1">
        <f t="shared" ref="W269:W332" si="100">S269</f>
        <v>3000</v>
      </c>
    </row>
    <row r="270" spans="1:23" x14ac:dyDescent="0.25">
      <c r="A270" s="2">
        <f t="shared" ref="A270:A333" si="101">A269+0.1</f>
        <v>25.800000000000097</v>
      </c>
      <c r="B270" s="7">
        <f t="shared" si="84"/>
        <v>23.68</v>
      </c>
      <c r="C270" s="7">
        <f t="shared" si="88"/>
        <v>1.6419285482942607</v>
      </c>
      <c r="D270" s="7">
        <f t="shared" si="89"/>
        <v>1.7934248917190792</v>
      </c>
      <c r="E270" s="7">
        <f t="shared" si="90"/>
        <v>1</v>
      </c>
      <c r="G270" s="4">
        <f t="shared" si="91"/>
        <v>2580.0000000000095</v>
      </c>
      <c r="H270" s="1">
        <f t="shared" ref="H270:H333" si="102">(G270-G269)*1000/L270</f>
        <v>1.5413851351351349</v>
      </c>
      <c r="I270" s="1">
        <f t="shared" ref="I270:I333" si="103">H270+I269</f>
        <v>454.56395055462514</v>
      </c>
      <c r="J270" s="1">
        <f t="shared" si="92"/>
        <v>15.152131685154171</v>
      </c>
      <c r="K270" s="7">
        <f t="shared" si="93"/>
        <v>1.2453806864510277</v>
      </c>
      <c r="L270" s="4">
        <f t="shared" si="94"/>
        <v>6487.6712328767135</v>
      </c>
      <c r="M270" s="1">
        <f t="shared" si="95"/>
        <v>820.96427414713037</v>
      </c>
      <c r="N270" s="7">
        <f t="shared" si="96"/>
        <v>1.7934248917190792</v>
      </c>
      <c r="O270" s="1">
        <f t="shared" si="97"/>
        <v>3000</v>
      </c>
      <c r="P270" s="2">
        <f t="shared" si="98"/>
        <v>5.3261463046038493</v>
      </c>
      <c r="Q270" s="2">
        <f t="shared" si="85"/>
        <v>118.47629413307799</v>
      </c>
      <c r="S270" s="1">
        <f t="shared" si="86"/>
        <v>3000</v>
      </c>
      <c r="T270" s="1">
        <f t="shared" si="87"/>
        <v>6487.6712328767135</v>
      </c>
      <c r="V270" s="1">
        <f t="shared" si="99"/>
        <v>6487.6712328767135</v>
      </c>
      <c r="W270" s="1">
        <f t="shared" si="100"/>
        <v>3000</v>
      </c>
    </row>
    <row r="271" spans="1:23" x14ac:dyDescent="0.25">
      <c r="A271" s="2">
        <f t="shared" si="101"/>
        <v>25.900000000000098</v>
      </c>
      <c r="B271" s="7">
        <f t="shared" si="84"/>
        <v>23.68</v>
      </c>
      <c r="C271" s="7">
        <f t="shared" si="88"/>
        <v>1.6426610117540101</v>
      </c>
      <c r="D271" s="7">
        <f t="shared" si="89"/>
        <v>1.8043116091419908</v>
      </c>
      <c r="E271" s="7">
        <f t="shared" si="90"/>
        <v>1</v>
      </c>
      <c r="G271" s="4">
        <f t="shared" si="91"/>
        <v>2590.00000000001</v>
      </c>
      <c r="H271" s="1">
        <f t="shared" si="102"/>
        <v>1.541385135135205</v>
      </c>
      <c r="I271" s="1">
        <f t="shared" si="103"/>
        <v>456.10533568976035</v>
      </c>
      <c r="J271" s="1">
        <f t="shared" si="92"/>
        <v>15.203511189658679</v>
      </c>
      <c r="K271" s="7">
        <f t="shared" si="93"/>
        <v>1.249603659424001</v>
      </c>
      <c r="L271" s="4">
        <f t="shared" si="94"/>
        <v>6487.6712328767135</v>
      </c>
      <c r="M271" s="1">
        <f t="shared" si="95"/>
        <v>821.33050587700507</v>
      </c>
      <c r="N271" s="7">
        <f t="shared" si="96"/>
        <v>1.8043116091419908</v>
      </c>
      <c r="O271" s="1">
        <f t="shared" si="97"/>
        <v>3000</v>
      </c>
      <c r="P271" s="2">
        <f t="shared" si="98"/>
        <v>5.3285222956623244</v>
      </c>
      <c r="Q271" s="2">
        <f t="shared" si="85"/>
        <v>119.20870166093557</v>
      </c>
      <c r="S271" s="1">
        <f t="shared" si="86"/>
        <v>3000</v>
      </c>
      <c r="T271" s="1">
        <f t="shared" si="87"/>
        <v>6487.6712328767135</v>
      </c>
      <c r="V271" s="1">
        <f t="shared" si="99"/>
        <v>6487.6712328767135</v>
      </c>
      <c r="W271" s="1">
        <f t="shared" si="100"/>
        <v>3000</v>
      </c>
    </row>
    <row r="272" spans="1:23" x14ac:dyDescent="0.25">
      <c r="A272" s="2">
        <f t="shared" si="101"/>
        <v>26.000000000000099</v>
      </c>
      <c r="B272" s="7">
        <f t="shared" si="84"/>
        <v>23.68</v>
      </c>
      <c r="C272" s="7">
        <f t="shared" si="88"/>
        <v>1.6433938019653225</v>
      </c>
      <c r="D272" s="7">
        <f t="shared" si="89"/>
        <v>1.8152644127538435</v>
      </c>
      <c r="E272" s="7">
        <f t="shared" si="90"/>
        <v>1</v>
      </c>
      <c r="G272" s="4">
        <f t="shared" si="91"/>
        <v>2600.0000000000105</v>
      </c>
      <c r="H272" s="1">
        <f t="shared" si="102"/>
        <v>1.541385135135205</v>
      </c>
      <c r="I272" s="1">
        <f t="shared" si="103"/>
        <v>457.64672082489557</v>
      </c>
      <c r="J272" s="1">
        <f t="shared" si="92"/>
        <v>15.254890694163185</v>
      </c>
      <c r="K272" s="7">
        <f t="shared" si="93"/>
        <v>1.2538266323969742</v>
      </c>
      <c r="L272" s="4">
        <f t="shared" si="94"/>
        <v>6487.6712328767135</v>
      </c>
      <c r="M272" s="1">
        <f t="shared" si="95"/>
        <v>821.69690098266119</v>
      </c>
      <c r="N272" s="7">
        <f t="shared" si="96"/>
        <v>1.8152644127538435</v>
      </c>
      <c r="O272" s="1">
        <f t="shared" si="97"/>
        <v>3000</v>
      </c>
      <c r="P272" s="2">
        <f t="shared" si="98"/>
        <v>5.3308993466491561</v>
      </c>
      <c r="Q272" s="2">
        <f t="shared" si="85"/>
        <v>119.94571905958995</v>
      </c>
      <c r="S272" s="1">
        <f t="shared" si="86"/>
        <v>3000</v>
      </c>
      <c r="T272" s="1">
        <f t="shared" si="87"/>
        <v>6487.6712328767135</v>
      </c>
      <c r="V272" s="1">
        <f t="shared" si="99"/>
        <v>6487.6712328767135</v>
      </c>
      <c r="W272" s="1">
        <f t="shared" si="100"/>
        <v>3000</v>
      </c>
    </row>
    <row r="273" spans="1:23" x14ac:dyDescent="0.25">
      <c r="A273" s="2">
        <f t="shared" si="101"/>
        <v>26.100000000000101</v>
      </c>
      <c r="B273" s="7">
        <f t="shared" si="84"/>
        <v>23.68</v>
      </c>
      <c r="C273" s="7">
        <f t="shared" si="88"/>
        <v>1.6441269190739618</v>
      </c>
      <c r="D273" s="7">
        <f t="shared" si="89"/>
        <v>1.8262837037209576</v>
      </c>
      <c r="E273" s="7">
        <f t="shared" si="90"/>
        <v>1</v>
      </c>
      <c r="G273" s="4">
        <f t="shared" si="91"/>
        <v>2610.00000000001</v>
      </c>
      <c r="H273" s="1">
        <f t="shared" si="102"/>
        <v>1.5413851351350647</v>
      </c>
      <c r="I273" s="1">
        <f t="shared" si="103"/>
        <v>459.18810596003061</v>
      </c>
      <c r="J273" s="1">
        <f t="shared" si="92"/>
        <v>15.306270198667686</v>
      </c>
      <c r="K273" s="7">
        <f t="shared" si="93"/>
        <v>1.2580496053699468</v>
      </c>
      <c r="L273" s="4">
        <f t="shared" si="94"/>
        <v>6487.6712328767135</v>
      </c>
      <c r="M273" s="1">
        <f t="shared" si="95"/>
        <v>822.06345953698087</v>
      </c>
      <c r="N273" s="7">
        <f t="shared" si="96"/>
        <v>1.8262837037209576</v>
      </c>
      <c r="O273" s="1">
        <f t="shared" si="97"/>
        <v>3000</v>
      </c>
      <c r="P273" s="2">
        <f t="shared" si="98"/>
        <v>5.3332774580371805</v>
      </c>
      <c r="Q273" s="2">
        <f t="shared" si="85"/>
        <v>120.68737636400414</v>
      </c>
      <c r="S273" s="1">
        <f t="shared" si="86"/>
        <v>3000</v>
      </c>
      <c r="T273" s="1">
        <f t="shared" si="87"/>
        <v>6487.6712328767135</v>
      </c>
      <c r="V273" s="1">
        <f t="shared" si="99"/>
        <v>6487.6712328767135</v>
      </c>
      <c r="W273" s="1">
        <f t="shared" si="100"/>
        <v>3000</v>
      </c>
    </row>
    <row r="274" spans="1:23" x14ac:dyDescent="0.25">
      <c r="A274" s="2">
        <f t="shared" si="101"/>
        <v>26.200000000000102</v>
      </c>
      <c r="B274" s="7">
        <f t="shared" si="84"/>
        <v>23.68</v>
      </c>
      <c r="C274" s="7">
        <f t="shared" si="88"/>
        <v>1.644860363225757</v>
      </c>
      <c r="D274" s="7">
        <f t="shared" si="89"/>
        <v>1.8373698856448746</v>
      </c>
      <c r="E274" s="7">
        <f t="shared" si="90"/>
        <v>1</v>
      </c>
      <c r="G274" s="4">
        <f t="shared" si="91"/>
        <v>2620.00000000001</v>
      </c>
      <c r="H274" s="1">
        <f t="shared" si="102"/>
        <v>1.5413851351351349</v>
      </c>
      <c r="I274" s="1">
        <f t="shared" si="103"/>
        <v>460.72949109516577</v>
      </c>
      <c r="J274" s="1">
        <f t="shared" si="92"/>
        <v>15.357649703172193</v>
      </c>
      <c r="K274" s="7">
        <f t="shared" si="93"/>
        <v>1.2622725783429198</v>
      </c>
      <c r="L274" s="4">
        <f t="shared" si="94"/>
        <v>6487.6712328767135</v>
      </c>
      <c r="M274" s="1">
        <f t="shared" si="95"/>
        <v>822.43018161287853</v>
      </c>
      <c r="N274" s="7">
        <f t="shared" si="96"/>
        <v>1.8373698856448746</v>
      </c>
      <c r="O274" s="1">
        <f t="shared" si="97"/>
        <v>3000</v>
      </c>
      <c r="P274" s="2">
        <f t="shared" si="98"/>
        <v>5.335656630299443</v>
      </c>
      <c r="Q274" s="2">
        <f t="shared" si="85"/>
        <v>121.43370381748801</v>
      </c>
      <c r="S274" s="1">
        <f t="shared" si="86"/>
        <v>3000</v>
      </c>
      <c r="T274" s="1">
        <f t="shared" si="87"/>
        <v>6487.6712328767135</v>
      </c>
      <c r="V274" s="1">
        <f t="shared" si="99"/>
        <v>6487.6712328767135</v>
      </c>
      <c r="W274" s="1">
        <f t="shared" si="100"/>
        <v>3000</v>
      </c>
    </row>
    <row r="275" spans="1:23" x14ac:dyDescent="0.25">
      <c r="A275" s="2">
        <f t="shared" si="101"/>
        <v>26.300000000000104</v>
      </c>
      <c r="B275" s="7">
        <f t="shared" si="84"/>
        <v>23.68</v>
      </c>
      <c r="C275" s="7">
        <f t="shared" si="88"/>
        <v>1.6455941345666014</v>
      </c>
      <c r="D275" s="7">
        <f t="shared" si="89"/>
        <v>1.8485233645771364</v>
      </c>
      <c r="E275" s="7">
        <f t="shared" si="90"/>
        <v>1</v>
      </c>
      <c r="G275" s="4">
        <f t="shared" si="91"/>
        <v>2630.00000000001</v>
      </c>
      <c r="H275" s="1">
        <f t="shared" si="102"/>
        <v>1.5413851351351349</v>
      </c>
      <c r="I275" s="1">
        <f t="shared" si="103"/>
        <v>462.27087623030093</v>
      </c>
      <c r="J275" s="1">
        <f t="shared" si="92"/>
        <v>15.409029207676697</v>
      </c>
      <c r="K275" s="7">
        <f t="shared" si="93"/>
        <v>1.2664955513158929</v>
      </c>
      <c r="L275" s="4">
        <f t="shared" si="94"/>
        <v>6487.6712328767135</v>
      </c>
      <c r="M275" s="1">
        <f t="shared" si="95"/>
        <v>822.79706728330075</v>
      </c>
      <c r="N275" s="7">
        <f t="shared" si="96"/>
        <v>1.8485233645771364</v>
      </c>
      <c r="O275" s="1">
        <f t="shared" si="97"/>
        <v>3000</v>
      </c>
      <c r="P275" s="2">
        <f t="shared" si="98"/>
        <v>5.3380368639091964</v>
      </c>
      <c r="Q275" s="2">
        <f t="shared" si="85"/>
        <v>122.18473187329947</v>
      </c>
      <c r="S275" s="1">
        <f t="shared" si="86"/>
        <v>3000</v>
      </c>
      <c r="T275" s="1">
        <f t="shared" si="87"/>
        <v>6487.6712328767135</v>
      </c>
      <c r="V275" s="1">
        <f t="shared" si="99"/>
        <v>6487.6712328767135</v>
      </c>
      <c r="W275" s="1">
        <f t="shared" si="100"/>
        <v>3000</v>
      </c>
    </row>
    <row r="276" spans="1:23" x14ac:dyDescent="0.25">
      <c r="A276" s="2">
        <f t="shared" si="101"/>
        <v>26.400000000000105</v>
      </c>
      <c r="B276" s="7">
        <f t="shared" si="84"/>
        <v>23.68</v>
      </c>
      <c r="C276" s="7">
        <f t="shared" si="88"/>
        <v>1.646328233242454</v>
      </c>
      <c r="D276" s="7">
        <f t="shared" si="89"/>
        <v>1.8597445490341615</v>
      </c>
      <c r="E276" s="7">
        <f t="shared" si="90"/>
        <v>1</v>
      </c>
      <c r="G276" s="4">
        <f t="shared" si="91"/>
        <v>2640.0000000000109</v>
      </c>
      <c r="H276" s="1">
        <f t="shared" si="102"/>
        <v>1.541385135135275</v>
      </c>
      <c r="I276" s="1">
        <f t="shared" si="103"/>
        <v>463.8122613654362</v>
      </c>
      <c r="J276" s="1">
        <f t="shared" si="92"/>
        <v>15.460408712181207</v>
      </c>
      <c r="K276" s="7">
        <f t="shared" si="93"/>
        <v>1.2707185242888663</v>
      </c>
      <c r="L276" s="4">
        <f t="shared" si="94"/>
        <v>6487.6712328767135</v>
      </c>
      <c r="M276" s="1">
        <f t="shared" si="95"/>
        <v>823.16411662122698</v>
      </c>
      <c r="N276" s="7">
        <f t="shared" si="96"/>
        <v>1.8597445490341615</v>
      </c>
      <c r="O276" s="1">
        <f t="shared" si="97"/>
        <v>3000</v>
      </c>
      <c r="P276" s="2">
        <f t="shared" si="98"/>
        <v>5.3404181593399063</v>
      </c>
      <c r="Q276" s="2">
        <f t="shared" si="85"/>
        <v>122.94049119626033</v>
      </c>
      <c r="S276" s="1">
        <f t="shared" si="86"/>
        <v>3000</v>
      </c>
      <c r="T276" s="1">
        <f t="shared" si="87"/>
        <v>6487.6712328767135</v>
      </c>
      <c r="V276" s="1">
        <f t="shared" si="99"/>
        <v>6487.6712328767135</v>
      </c>
      <c r="W276" s="1">
        <f t="shared" si="100"/>
        <v>3000</v>
      </c>
    </row>
    <row r="277" spans="1:23" x14ac:dyDescent="0.25">
      <c r="A277" s="2">
        <f t="shared" si="101"/>
        <v>26.500000000000107</v>
      </c>
      <c r="B277" s="7">
        <f t="shared" si="84"/>
        <v>23.68</v>
      </c>
      <c r="C277" s="7">
        <f t="shared" si="88"/>
        <v>1.6470626593993394</v>
      </c>
      <c r="D277" s="7">
        <f t="shared" si="89"/>
        <v>1.8710338500122066</v>
      </c>
      <c r="E277" s="7">
        <f t="shared" si="90"/>
        <v>1</v>
      </c>
      <c r="G277" s="4">
        <f t="shared" si="91"/>
        <v>2650.0000000000105</v>
      </c>
      <c r="H277" s="1">
        <f t="shared" si="102"/>
        <v>1.5413851351350647</v>
      </c>
      <c r="I277" s="1">
        <f t="shared" si="103"/>
        <v>465.35364650057124</v>
      </c>
      <c r="J277" s="1">
        <f t="shared" si="92"/>
        <v>15.511788216685709</v>
      </c>
      <c r="K277" s="7">
        <f t="shared" si="93"/>
        <v>1.2749414972618389</v>
      </c>
      <c r="L277" s="4">
        <f t="shared" si="94"/>
        <v>6487.6712328767135</v>
      </c>
      <c r="M277" s="1">
        <f t="shared" si="95"/>
        <v>823.53132969966964</v>
      </c>
      <c r="N277" s="7">
        <f t="shared" si="96"/>
        <v>1.8710338500122066</v>
      </c>
      <c r="O277" s="1">
        <f t="shared" si="97"/>
        <v>3000</v>
      </c>
      <c r="P277" s="2">
        <f t="shared" si="98"/>
        <v>5.3428005170652551</v>
      </c>
      <c r="Q277" s="2">
        <f t="shared" si="85"/>
        <v>123.70101266438611</v>
      </c>
      <c r="S277" s="1">
        <f t="shared" si="86"/>
        <v>3000</v>
      </c>
      <c r="T277" s="1">
        <f t="shared" si="87"/>
        <v>6487.6712328767135</v>
      </c>
      <c r="V277" s="1">
        <f t="shared" si="99"/>
        <v>6487.6712328767135</v>
      </c>
      <c r="W277" s="1">
        <f t="shared" si="100"/>
        <v>3000</v>
      </c>
    </row>
    <row r="278" spans="1:23" x14ac:dyDescent="0.25">
      <c r="A278" s="2">
        <f t="shared" si="101"/>
        <v>26.600000000000108</v>
      </c>
      <c r="B278" s="7">
        <f t="shared" si="84"/>
        <v>23.68</v>
      </c>
      <c r="C278" s="7">
        <f t="shared" si="88"/>
        <v>1.6477974131833457</v>
      </c>
      <c r="D278" s="7">
        <f t="shared" si="89"/>
        <v>1.8823916810024186</v>
      </c>
      <c r="E278" s="7">
        <f t="shared" si="90"/>
        <v>1</v>
      </c>
      <c r="G278" s="4">
        <f t="shared" si="91"/>
        <v>2660.0000000000109</v>
      </c>
      <c r="H278" s="1">
        <f t="shared" si="102"/>
        <v>1.541385135135205</v>
      </c>
      <c r="I278" s="1">
        <f t="shared" si="103"/>
        <v>466.89503163570646</v>
      </c>
      <c r="J278" s="1">
        <f t="shared" si="92"/>
        <v>15.563167721190215</v>
      </c>
      <c r="K278" s="7">
        <f t="shared" si="93"/>
        <v>1.2791644702348122</v>
      </c>
      <c r="L278" s="4">
        <f t="shared" si="94"/>
        <v>6487.6712328767135</v>
      </c>
      <c r="M278" s="1">
        <f t="shared" si="95"/>
        <v>823.89870659167286</v>
      </c>
      <c r="N278" s="7">
        <f t="shared" si="96"/>
        <v>1.8823916810024186</v>
      </c>
      <c r="O278" s="1">
        <f t="shared" si="97"/>
        <v>3000</v>
      </c>
      <c r="P278" s="2">
        <f t="shared" si="98"/>
        <v>5.3451839375591277</v>
      </c>
      <c r="Q278" s="2">
        <f t="shared" si="85"/>
        <v>124.46632737053039</v>
      </c>
      <c r="S278" s="1">
        <f t="shared" si="86"/>
        <v>3000</v>
      </c>
      <c r="T278" s="1">
        <f t="shared" si="87"/>
        <v>6487.6712328767135</v>
      </c>
      <c r="V278" s="1">
        <f t="shared" si="99"/>
        <v>6487.6712328767135</v>
      </c>
      <c r="W278" s="1">
        <f t="shared" si="100"/>
        <v>3000</v>
      </c>
    </row>
    <row r="279" spans="1:23" x14ac:dyDescent="0.25">
      <c r="A279" s="2">
        <f t="shared" si="101"/>
        <v>26.700000000000109</v>
      </c>
      <c r="B279" s="7">
        <f t="shared" si="84"/>
        <v>23.68</v>
      </c>
      <c r="C279" s="7">
        <f t="shared" si="88"/>
        <v>1.6485324947406277</v>
      </c>
      <c r="D279" s="7">
        <f t="shared" si="89"/>
        <v>1.8938184580059814</v>
      </c>
      <c r="E279" s="7">
        <f t="shared" si="90"/>
        <v>1</v>
      </c>
      <c r="G279" s="4">
        <f t="shared" si="91"/>
        <v>2670.0000000000105</v>
      </c>
      <c r="H279" s="1">
        <f t="shared" si="102"/>
        <v>1.5413851351350647</v>
      </c>
      <c r="I279" s="1">
        <f t="shared" si="103"/>
        <v>468.4364167708415</v>
      </c>
      <c r="J279" s="1">
        <f t="shared" si="92"/>
        <v>15.614547225694716</v>
      </c>
      <c r="K279" s="7">
        <f t="shared" si="93"/>
        <v>1.283387443207785</v>
      </c>
      <c r="L279" s="4">
        <f t="shared" si="94"/>
        <v>6487.6712328767135</v>
      </c>
      <c r="M279" s="1">
        <f t="shared" si="95"/>
        <v>824.26624737031386</v>
      </c>
      <c r="N279" s="7">
        <f t="shared" si="96"/>
        <v>1.8938184580059814</v>
      </c>
      <c r="O279" s="1">
        <f t="shared" si="97"/>
        <v>3000</v>
      </c>
      <c r="P279" s="2">
        <f t="shared" si="98"/>
        <v>5.3475684212956258</v>
      </c>
      <c r="Q279" s="2">
        <f t="shared" si="85"/>
        <v>125.23646662404406</v>
      </c>
      <c r="S279" s="1">
        <f t="shared" si="86"/>
        <v>3000</v>
      </c>
      <c r="T279" s="1">
        <f t="shared" si="87"/>
        <v>6487.6712328767135</v>
      </c>
      <c r="V279" s="1">
        <f t="shared" si="99"/>
        <v>6487.6712328767135</v>
      </c>
      <c r="W279" s="1">
        <f t="shared" si="100"/>
        <v>3000</v>
      </c>
    </row>
    <row r="280" spans="1:23" x14ac:dyDescent="0.25">
      <c r="A280" s="2">
        <f t="shared" si="101"/>
        <v>26.800000000000111</v>
      </c>
      <c r="B280" s="7">
        <f t="shared" si="84"/>
        <v>23.68</v>
      </c>
      <c r="C280" s="7">
        <f t="shared" si="88"/>
        <v>1.6492679042174052</v>
      </c>
      <c r="D280" s="7">
        <f t="shared" si="89"/>
        <v>1.9053145995493512</v>
      </c>
      <c r="E280" s="7">
        <f t="shared" si="90"/>
        <v>1</v>
      </c>
      <c r="G280" s="4">
        <f t="shared" si="91"/>
        <v>2680.0000000000114</v>
      </c>
      <c r="H280" s="1">
        <f t="shared" si="102"/>
        <v>1.541385135135275</v>
      </c>
      <c r="I280" s="1">
        <f t="shared" si="103"/>
        <v>469.97780190597678</v>
      </c>
      <c r="J280" s="1">
        <f t="shared" si="92"/>
        <v>15.665926730199226</v>
      </c>
      <c r="K280" s="7">
        <f t="shared" si="93"/>
        <v>1.2876104161807582</v>
      </c>
      <c r="L280" s="4">
        <f t="shared" si="94"/>
        <v>6487.6712328767135</v>
      </c>
      <c r="M280" s="1">
        <f t="shared" si="95"/>
        <v>824.6339521087026</v>
      </c>
      <c r="N280" s="7">
        <f t="shared" si="96"/>
        <v>1.9053145995493512</v>
      </c>
      <c r="O280" s="1">
        <f t="shared" si="97"/>
        <v>3000</v>
      </c>
      <c r="P280" s="2">
        <f t="shared" si="98"/>
        <v>5.3499539687490634</v>
      </c>
      <c r="Q280" s="2">
        <f t="shared" si="85"/>
        <v>126.01146195244898</v>
      </c>
      <c r="S280" s="1">
        <f t="shared" si="86"/>
        <v>3000</v>
      </c>
      <c r="T280" s="1">
        <f t="shared" si="87"/>
        <v>6487.6712328767135</v>
      </c>
      <c r="V280" s="1">
        <f t="shared" si="99"/>
        <v>6487.6712328767135</v>
      </c>
      <c r="W280" s="1">
        <f t="shared" si="100"/>
        <v>3000</v>
      </c>
    </row>
    <row r="281" spans="1:23" x14ac:dyDescent="0.25">
      <c r="A281" s="2">
        <f t="shared" si="101"/>
        <v>26.900000000000112</v>
      </c>
      <c r="B281" s="7">
        <f t="shared" si="84"/>
        <v>23.68</v>
      </c>
      <c r="C281" s="7">
        <f t="shared" si="88"/>
        <v>1.6500036417599619</v>
      </c>
      <c r="D281" s="7">
        <f t="shared" si="89"/>
        <v>1.9168805266995861</v>
      </c>
      <c r="E281" s="7">
        <f t="shared" si="90"/>
        <v>1</v>
      </c>
      <c r="G281" s="4">
        <f t="shared" si="91"/>
        <v>2690.0000000000109</v>
      </c>
      <c r="H281" s="1">
        <f t="shared" si="102"/>
        <v>1.5413851351350647</v>
      </c>
      <c r="I281" s="1">
        <f t="shared" si="103"/>
        <v>471.51918704111182</v>
      </c>
      <c r="J281" s="1">
        <f t="shared" si="92"/>
        <v>15.717306234703727</v>
      </c>
      <c r="K281" s="7">
        <f t="shared" si="93"/>
        <v>1.291833389153731</v>
      </c>
      <c r="L281" s="4">
        <f t="shared" si="94"/>
        <v>6487.6712328767135</v>
      </c>
      <c r="M281" s="1">
        <f t="shared" si="95"/>
        <v>825.00182087998098</v>
      </c>
      <c r="N281" s="7">
        <f t="shared" si="96"/>
        <v>1.9168805266995861</v>
      </c>
      <c r="O281" s="1">
        <f t="shared" si="97"/>
        <v>3000</v>
      </c>
      <c r="P281" s="2">
        <f t="shared" si="98"/>
        <v>5.3523405803939594</v>
      </c>
      <c r="Q281" s="2">
        <f t="shared" si="85"/>
        <v>126.79134510312699</v>
      </c>
      <c r="S281" s="1">
        <f t="shared" si="86"/>
        <v>3000</v>
      </c>
      <c r="T281" s="1">
        <f t="shared" si="87"/>
        <v>6487.6712328767135</v>
      </c>
      <c r="V281" s="1">
        <f t="shared" si="99"/>
        <v>6487.6712328767135</v>
      </c>
      <c r="W281" s="1">
        <f t="shared" si="100"/>
        <v>3000</v>
      </c>
    </row>
    <row r="282" spans="1:23" x14ac:dyDescent="0.25">
      <c r="A282" s="2">
        <f t="shared" si="101"/>
        <v>27.000000000000114</v>
      </c>
      <c r="B282" s="7">
        <f t="shared" si="84"/>
        <v>23.68</v>
      </c>
      <c r="C282" s="7">
        <f t="shared" si="88"/>
        <v>1.650739707514649</v>
      </c>
      <c r="D282" s="7">
        <f t="shared" si="89"/>
        <v>1.9285166630797701</v>
      </c>
      <c r="E282" s="7">
        <f t="shared" si="90"/>
        <v>1</v>
      </c>
      <c r="G282" s="4">
        <f t="shared" si="91"/>
        <v>2700.0000000000114</v>
      </c>
      <c r="H282" s="1">
        <f t="shared" si="102"/>
        <v>1.541385135135205</v>
      </c>
      <c r="I282" s="1">
        <f t="shared" si="103"/>
        <v>473.06057217624704</v>
      </c>
      <c r="J282" s="1">
        <f t="shared" si="92"/>
        <v>15.768685739208234</v>
      </c>
      <c r="K282" s="7">
        <f t="shared" si="93"/>
        <v>1.2960563621267043</v>
      </c>
      <c r="L282" s="4">
        <f t="shared" si="94"/>
        <v>6487.6712328767135</v>
      </c>
      <c r="M282" s="1">
        <f t="shared" si="95"/>
        <v>825.36985375732456</v>
      </c>
      <c r="N282" s="7">
        <f t="shared" si="96"/>
        <v>1.9285166630797701</v>
      </c>
      <c r="O282" s="1">
        <f t="shared" si="97"/>
        <v>3000</v>
      </c>
      <c r="P282" s="2">
        <f t="shared" si="98"/>
        <v>5.3547282567050551</v>
      </c>
      <c r="Q282" s="2">
        <f t="shared" si="85"/>
        <v>127.57614804502379</v>
      </c>
      <c r="S282" s="1">
        <f t="shared" si="86"/>
        <v>3000</v>
      </c>
      <c r="T282" s="1">
        <f t="shared" si="87"/>
        <v>6487.6712328767135</v>
      </c>
      <c r="V282" s="1">
        <f t="shared" si="99"/>
        <v>6487.6712328767135</v>
      </c>
      <c r="W282" s="1">
        <f t="shared" si="100"/>
        <v>3000</v>
      </c>
    </row>
    <row r="283" spans="1:23" x14ac:dyDescent="0.25">
      <c r="A283" s="2">
        <f t="shared" si="101"/>
        <v>27.100000000000115</v>
      </c>
      <c r="B283" s="7">
        <f t="shared" si="84"/>
        <v>23.68</v>
      </c>
      <c r="C283" s="7">
        <f t="shared" si="88"/>
        <v>1.6514761016278809</v>
      </c>
      <c r="D283" s="7">
        <f t="shared" si="89"/>
        <v>1.9402234348845266</v>
      </c>
      <c r="E283" s="7">
        <f t="shared" si="90"/>
        <v>1</v>
      </c>
      <c r="G283" s="4">
        <f t="shared" si="91"/>
        <v>2710.0000000000114</v>
      </c>
      <c r="H283" s="1">
        <f t="shared" si="102"/>
        <v>1.5413851351351349</v>
      </c>
      <c r="I283" s="1">
        <f t="shared" si="103"/>
        <v>474.60195731138219</v>
      </c>
      <c r="J283" s="1">
        <f t="shared" si="92"/>
        <v>15.82006524371274</v>
      </c>
      <c r="K283" s="7">
        <f t="shared" si="93"/>
        <v>1.3002793350996773</v>
      </c>
      <c r="L283" s="4">
        <f t="shared" si="94"/>
        <v>6487.6712328767135</v>
      </c>
      <c r="M283" s="1">
        <f t="shared" si="95"/>
        <v>825.7380508139405</v>
      </c>
      <c r="N283" s="7">
        <f t="shared" si="96"/>
        <v>1.9402234348845266</v>
      </c>
      <c r="O283" s="1">
        <f t="shared" si="97"/>
        <v>3000</v>
      </c>
      <c r="P283" s="2">
        <f t="shared" si="98"/>
        <v>5.3571169981572915</v>
      </c>
      <c r="Q283" s="2">
        <f t="shared" si="85"/>
        <v>128.3659029703681</v>
      </c>
      <c r="S283" s="1">
        <f t="shared" si="86"/>
        <v>3000</v>
      </c>
      <c r="T283" s="1">
        <f t="shared" si="87"/>
        <v>6487.6712328767135</v>
      </c>
      <c r="V283" s="1">
        <f t="shared" si="99"/>
        <v>6487.6712328767135</v>
      </c>
      <c r="W283" s="1">
        <f t="shared" si="100"/>
        <v>3000</v>
      </c>
    </row>
    <row r="284" spans="1:23" x14ac:dyDescent="0.25">
      <c r="A284" s="2">
        <f t="shared" si="101"/>
        <v>27.200000000000117</v>
      </c>
      <c r="B284" s="7">
        <f t="shared" si="84"/>
        <v>23.68</v>
      </c>
      <c r="C284" s="7">
        <f t="shared" si="88"/>
        <v>1.6522128242461391</v>
      </c>
      <c r="D284" s="7">
        <f t="shared" si="89"/>
        <v>1.9520012708956298</v>
      </c>
      <c r="E284" s="7">
        <f t="shared" si="90"/>
        <v>1</v>
      </c>
      <c r="G284" s="4">
        <f t="shared" si="91"/>
        <v>2720.0000000000118</v>
      </c>
      <c r="H284" s="1">
        <f t="shared" si="102"/>
        <v>1.541385135135205</v>
      </c>
      <c r="I284" s="1">
        <f t="shared" si="103"/>
        <v>476.14334244651741</v>
      </c>
      <c r="J284" s="1">
        <f t="shared" si="92"/>
        <v>15.871444748217247</v>
      </c>
      <c r="K284" s="7">
        <f t="shared" si="93"/>
        <v>1.3045023080726503</v>
      </c>
      <c r="L284" s="4">
        <f t="shared" si="94"/>
        <v>6487.6712328767135</v>
      </c>
      <c r="M284" s="1">
        <f t="shared" si="95"/>
        <v>826.10641212306962</v>
      </c>
      <c r="N284" s="7">
        <f t="shared" si="96"/>
        <v>1.9520012708956298</v>
      </c>
      <c r="O284" s="1">
        <f t="shared" si="97"/>
        <v>3000</v>
      </c>
      <c r="P284" s="2">
        <f t="shared" si="98"/>
        <v>5.3595068052258332</v>
      </c>
      <c r="Q284" s="2">
        <f t="shared" si="85"/>
        <v>129.16064229640645</v>
      </c>
      <c r="S284" s="1">
        <f t="shared" si="86"/>
        <v>3000</v>
      </c>
      <c r="T284" s="1">
        <f t="shared" si="87"/>
        <v>6487.6712328767135</v>
      </c>
      <c r="V284" s="1">
        <f t="shared" si="99"/>
        <v>6487.6712328767135</v>
      </c>
      <c r="W284" s="1">
        <f t="shared" si="100"/>
        <v>3000</v>
      </c>
    </row>
    <row r="285" spans="1:23" x14ac:dyDescent="0.25">
      <c r="A285" s="2">
        <f t="shared" si="101"/>
        <v>27.300000000000118</v>
      </c>
      <c r="B285" s="7">
        <f t="shared" si="84"/>
        <v>23.68</v>
      </c>
      <c r="C285" s="7">
        <f t="shared" si="88"/>
        <v>1.6529498755159684</v>
      </c>
      <c r="D285" s="7">
        <f t="shared" si="89"/>
        <v>1.9638506024977103</v>
      </c>
      <c r="E285" s="7">
        <f t="shared" si="90"/>
        <v>1</v>
      </c>
      <c r="G285" s="4">
        <f t="shared" si="91"/>
        <v>2730.0000000000118</v>
      </c>
      <c r="H285" s="1">
        <f t="shared" si="102"/>
        <v>1.5413851351351349</v>
      </c>
      <c r="I285" s="1">
        <f t="shared" si="103"/>
        <v>477.68472758165257</v>
      </c>
      <c r="J285" s="1">
        <f t="shared" si="92"/>
        <v>15.922824252721751</v>
      </c>
      <c r="K285" s="7">
        <f t="shared" si="93"/>
        <v>1.3087252810456236</v>
      </c>
      <c r="L285" s="4">
        <f t="shared" si="94"/>
        <v>6487.6712328767135</v>
      </c>
      <c r="M285" s="1">
        <f t="shared" si="95"/>
        <v>826.47493775798421</v>
      </c>
      <c r="N285" s="7">
        <f t="shared" si="96"/>
        <v>1.9638506024977103</v>
      </c>
      <c r="O285" s="1">
        <f t="shared" si="97"/>
        <v>3000</v>
      </c>
      <c r="P285" s="2">
        <f t="shared" si="98"/>
        <v>5.3618976783860468</v>
      </c>
      <c r="Q285" s="2">
        <f t="shared" si="85"/>
        <v>129.96039866715327</v>
      </c>
      <c r="S285" s="1">
        <f t="shared" si="86"/>
        <v>3000</v>
      </c>
      <c r="T285" s="1">
        <f t="shared" si="87"/>
        <v>6487.6712328767135</v>
      </c>
      <c r="V285" s="1">
        <f t="shared" si="99"/>
        <v>6487.6712328767135</v>
      </c>
      <c r="W285" s="1">
        <f t="shared" si="100"/>
        <v>3000</v>
      </c>
    </row>
    <row r="286" spans="1:23" x14ac:dyDescent="0.25">
      <c r="A286" s="2">
        <f t="shared" si="101"/>
        <v>27.400000000000119</v>
      </c>
      <c r="B286" s="7">
        <f t="shared" si="84"/>
        <v>23.68</v>
      </c>
      <c r="C286" s="7">
        <f t="shared" si="88"/>
        <v>1.6536872555839806</v>
      </c>
      <c r="D286" s="7">
        <f t="shared" si="89"/>
        <v>1.9757718636940533</v>
      </c>
      <c r="E286" s="7">
        <f t="shared" si="90"/>
        <v>1</v>
      </c>
      <c r="G286" s="4">
        <f t="shared" si="91"/>
        <v>2740.0000000000118</v>
      </c>
      <c r="H286" s="1">
        <f t="shared" si="102"/>
        <v>1.5413851351351349</v>
      </c>
      <c r="I286" s="1">
        <f t="shared" si="103"/>
        <v>479.22611271678772</v>
      </c>
      <c r="J286" s="1">
        <f t="shared" si="92"/>
        <v>15.974203757226258</v>
      </c>
      <c r="K286" s="7">
        <f t="shared" si="93"/>
        <v>1.3129482540185966</v>
      </c>
      <c r="L286" s="4">
        <f t="shared" si="94"/>
        <v>6487.6712328767135</v>
      </c>
      <c r="M286" s="1">
        <f t="shared" si="95"/>
        <v>826.84362779199023</v>
      </c>
      <c r="N286" s="7">
        <f t="shared" si="96"/>
        <v>1.9757718636940533</v>
      </c>
      <c r="O286" s="1">
        <f t="shared" si="97"/>
        <v>3000</v>
      </c>
      <c r="P286" s="2">
        <f t="shared" si="98"/>
        <v>5.3642896181135162</v>
      </c>
      <c r="Q286" s="2">
        <f t="shared" si="85"/>
        <v>130.76520495515706</v>
      </c>
      <c r="S286" s="1">
        <f t="shared" si="86"/>
        <v>3000</v>
      </c>
      <c r="T286" s="1">
        <f t="shared" si="87"/>
        <v>6487.6712328767135</v>
      </c>
      <c r="V286" s="1">
        <f t="shared" si="99"/>
        <v>6487.6712328767135</v>
      </c>
      <c r="W286" s="1">
        <f t="shared" si="100"/>
        <v>3000</v>
      </c>
    </row>
    <row r="287" spans="1:23" x14ac:dyDescent="0.25">
      <c r="A287" s="2">
        <f t="shared" si="101"/>
        <v>27.500000000000121</v>
      </c>
      <c r="B287" s="7">
        <f t="shared" si="84"/>
        <v>23.68</v>
      </c>
      <c r="C287" s="7">
        <f t="shared" si="88"/>
        <v>1.6544249645968523</v>
      </c>
      <c r="D287" s="7">
        <f t="shared" si="89"/>
        <v>1.9877654911224973</v>
      </c>
      <c r="E287" s="7">
        <f t="shared" si="90"/>
        <v>1</v>
      </c>
      <c r="G287" s="4">
        <f t="shared" si="91"/>
        <v>2750.0000000000118</v>
      </c>
      <c r="H287" s="1">
        <f t="shared" si="102"/>
        <v>1.5413851351351349</v>
      </c>
      <c r="I287" s="1">
        <f t="shared" si="103"/>
        <v>480.76749785192288</v>
      </c>
      <c r="J287" s="1">
        <f t="shared" si="92"/>
        <v>16.025583261730763</v>
      </c>
      <c r="K287" s="7">
        <f t="shared" si="93"/>
        <v>1.3171712269915696</v>
      </c>
      <c r="L287" s="4">
        <f t="shared" si="94"/>
        <v>6487.6712328767135</v>
      </c>
      <c r="M287" s="1">
        <f t="shared" si="95"/>
        <v>827.21248229842615</v>
      </c>
      <c r="N287" s="7">
        <f t="shared" si="96"/>
        <v>1.9877654911224973</v>
      </c>
      <c r="O287" s="1">
        <f t="shared" si="97"/>
        <v>3000</v>
      </c>
      <c r="P287" s="2">
        <f t="shared" si="98"/>
        <v>5.3666826248840369</v>
      </c>
      <c r="Q287" s="2">
        <f t="shared" si="85"/>
        <v>131.57509426328218</v>
      </c>
      <c r="S287" s="1">
        <f t="shared" si="86"/>
        <v>3000</v>
      </c>
      <c r="T287" s="1">
        <f t="shared" si="87"/>
        <v>6487.6712328767135</v>
      </c>
      <c r="V287" s="1">
        <f t="shared" si="99"/>
        <v>6487.6712328767135</v>
      </c>
      <c r="W287" s="1">
        <f t="shared" si="100"/>
        <v>3000</v>
      </c>
    </row>
    <row r="288" spans="1:23" x14ac:dyDescent="0.25">
      <c r="A288" s="2">
        <f t="shared" si="101"/>
        <v>27.600000000000122</v>
      </c>
      <c r="B288" s="7">
        <f t="shared" si="84"/>
        <v>23.68</v>
      </c>
      <c r="C288" s="7">
        <f t="shared" si="88"/>
        <v>1.655163002701326</v>
      </c>
      <c r="D288" s="7">
        <f t="shared" si="89"/>
        <v>1.9998319240714246</v>
      </c>
      <c r="E288" s="7">
        <f t="shared" si="90"/>
        <v>1</v>
      </c>
      <c r="G288" s="4">
        <f t="shared" si="91"/>
        <v>2760.0000000000123</v>
      </c>
      <c r="H288" s="1">
        <f t="shared" si="102"/>
        <v>1.541385135135205</v>
      </c>
      <c r="I288" s="1">
        <f t="shared" si="103"/>
        <v>482.3088829870581</v>
      </c>
      <c r="J288" s="1">
        <f t="shared" si="92"/>
        <v>16.076962766235269</v>
      </c>
      <c r="K288" s="7">
        <f t="shared" si="93"/>
        <v>1.3213941999645427</v>
      </c>
      <c r="L288" s="4">
        <f t="shared" si="94"/>
        <v>6487.6712328767135</v>
      </c>
      <c r="M288" s="1">
        <f t="shared" si="95"/>
        <v>827.58150135066296</v>
      </c>
      <c r="N288" s="7">
        <f t="shared" si="96"/>
        <v>1.9998319240714246</v>
      </c>
      <c r="O288" s="1">
        <f t="shared" si="97"/>
        <v>3000</v>
      </c>
      <c r="P288" s="2">
        <f t="shared" si="98"/>
        <v>5.3690766991736174</v>
      </c>
      <c r="Q288" s="2">
        <f t="shared" si="85"/>
        <v>132.39009992650705</v>
      </c>
      <c r="S288" s="1">
        <f t="shared" si="86"/>
        <v>3000</v>
      </c>
      <c r="T288" s="1">
        <f t="shared" si="87"/>
        <v>6487.6712328767135</v>
      </c>
      <c r="V288" s="1">
        <f t="shared" si="99"/>
        <v>6487.6712328767135</v>
      </c>
      <c r="W288" s="1">
        <f t="shared" si="100"/>
        <v>3000</v>
      </c>
    </row>
    <row r="289" spans="1:23" x14ac:dyDescent="0.25">
      <c r="A289" s="2">
        <f t="shared" si="101"/>
        <v>27.700000000000124</v>
      </c>
      <c r="B289" s="7">
        <f t="shared" si="84"/>
        <v>23.68</v>
      </c>
      <c r="C289" s="7">
        <f t="shared" si="88"/>
        <v>1.6559013700442087</v>
      </c>
      <c r="D289" s="7">
        <f t="shared" si="89"/>
        <v>2.011971604495852</v>
      </c>
      <c r="E289" s="7">
        <f t="shared" si="90"/>
        <v>1</v>
      </c>
      <c r="G289" s="4">
        <f t="shared" si="91"/>
        <v>2770.0000000000123</v>
      </c>
      <c r="H289" s="1">
        <f t="shared" si="102"/>
        <v>1.5413851351351349</v>
      </c>
      <c r="I289" s="1">
        <f t="shared" si="103"/>
        <v>483.85026812219326</v>
      </c>
      <c r="J289" s="1">
        <f t="shared" si="92"/>
        <v>16.128342270739775</v>
      </c>
      <c r="K289" s="7">
        <f t="shared" si="93"/>
        <v>1.3256171729375157</v>
      </c>
      <c r="L289" s="4">
        <f t="shared" si="94"/>
        <v>6487.6712328767135</v>
      </c>
      <c r="M289" s="1">
        <f t="shared" si="95"/>
        <v>827.95068502210438</v>
      </c>
      <c r="N289" s="7">
        <f t="shared" si="96"/>
        <v>2.011971604495852</v>
      </c>
      <c r="O289" s="1">
        <f t="shared" si="97"/>
        <v>3000</v>
      </c>
      <c r="P289" s="2">
        <f t="shared" si="98"/>
        <v>5.371471841458475</v>
      </c>
      <c r="Q289" s="2">
        <f t="shared" si="85"/>
        <v>133.21025551373822</v>
      </c>
      <c r="S289" s="1">
        <f t="shared" si="86"/>
        <v>3000</v>
      </c>
      <c r="T289" s="1">
        <f t="shared" si="87"/>
        <v>6487.6712328767135</v>
      </c>
      <c r="V289" s="1">
        <f t="shared" si="99"/>
        <v>6487.6712328767135</v>
      </c>
      <c r="W289" s="1">
        <f t="shared" si="100"/>
        <v>3000</v>
      </c>
    </row>
    <row r="290" spans="1:23" x14ac:dyDescent="0.25">
      <c r="A290" s="2">
        <f t="shared" si="101"/>
        <v>27.800000000000125</v>
      </c>
      <c r="B290" s="7">
        <f t="shared" si="84"/>
        <v>23.68</v>
      </c>
      <c r="C290" s="7">
        <f t="shared" si="88"/>
        <v>1.656640066772374</v>
      </c>
      <c r="D290" s="7">
        <f t="shared" si="89"/>
        <v>2.024184977033618</v>
      </c>
      <c r="E290" s="7">
        <f t="shared" si="90"/>
        <v>1</v>
      </c>
      <c r="G290" s="4">
        <f t="shared" si="91"/>
        <v>2780.0000000000127</v>
      </c>
      <c r="H290" s="1">
        <f t="shared" si="102"/>
        <v>1.541385135135205</v>
      </c>
      <c r="I290" s="1">
        <f t="shared" si="103"/>
        <v>485.39165325732847</v>
      </c>
      <c r="J290" s="1">
        <f t="shared" si="92"/>
        <v>16.179721775244282</v>
      </c>
      <c r="K290" s="7">
        <f t="shared" si="93"/>
        <v>1.3298401459104889</v>
      </c>
      <c r="L290" s="4">
        <f t="shared" si="94"/>
        <v>6487.6712328767135</v>
      </c>
      <c r="M290" s="1">
        <f t="shared" si="95"/>
        <v>828.32003338618699</v>
      </c>
      <c r="N290" s="7">
        <f t="shared" si="96"/>
        <v>2.024184977033618</v>
      </c>
      <c r="O290" s="1">
        <f t="shared" si="97"/>
        <v>3000</v>
      </c>
      <c r="P290" s="2">
        <f t="shared" si="98"/>
        <v>5.3738680522150446</v>
      </c>
      <c r="Q290" s="2">
        <f t="shared" si="85"/>
        <v>134.03559482964141</v>
      </c>
      <c r="S290" s="1">
        <f t="shared" si="86"/>
        <v>3000</v>
      </c>
      <c r="T290" s="1">
        <f t="shared" si="87"/>
        <v>6487.6712328767135</v>
      </c>
      <c r="V290" s="1">
        <f t="shared" si="99"/>
        <v>6487.6712328767135</v>
      </c>
      <c r="W290" s="1">
        <f t="shared" si="100"/>
        <v>3000</v>
      </c>
    </row>
    <row r="291" spans="1:23" x14ac:dyDescent="0.25">
      <c r="A291" s="2">
        <f t="shared" si="101"/>
        <v>27.900000000000126</v>
      </c>
      <c r="B291" s="7">
        <f t="shared" si="84"/>
        <v>23.68</v>
      </c>
      <c r="C291" s="7">
        <f t="shared" si="88"/>
        <v>1.6573790930327603</v>
      </c>
      <c r="D291" s="7">
        <f t="shared" si="89"/>
        <v>2.0364724890216688</v>
      </c>
      <c r="E291" s="7">
        <f t="shared" si="90"/>
        <v>1</v>
      </c>
      <c r="G291" s="4">
        <f t="shared" si="91"/>
        <v>2790.0000000000123</v>
      </c>
      <c r="H291" s="1">
        <f t="shared" si="102"/>
        <v>1.5413851351350647</v>
      </c>
      <c r="I291" s="1">
        <f t="shared" si="103"/>
        <v>486.93303839246352</v>
      </c>
      <c r="J291" s="1">
        <f t="shared" si="92"/>
        <v>16.231101279748785</v>
      </c>
      <c r="K291" s="7">
        <f t="shared" si="93"/>
        <v>1.3340631188834617</v>
      </c>
      <c r="L291" s="4">
        <f t="shared" si="94"/>
        <v>6487.6712328767135</v>
      </c>
      <c r="M291" s="1">
        <f t="shared" si="95"/>
        <v>828.68954651638012</v>
      </c>
      <c r="N291" s="7">
        <f t="shared" si="96"/>
        <v>2.0364724890216688</v>
      </c>
      <c r="O291" s="1">
        <f t="shared" si="97"/>
        <v>3000</v>
      </c>
      <c r="P291" s="2">
        <f t="shared" si="98"/>
        <v>5.376265331919968</v>
      </c>
      <c r="Q291" s="2">
        <f t="shared" si="85"/>
        <v>134.86615191648866</v>
      </c>
      <c r="S291" s="1">
        <f t="shared" si="86"/>
        <v>3000</v>
      </c>
      <c r="T291" s="1">
        <f t="shared" si="87"/>
        <v>6487.6712328767135</v>
      </c>
      <c r="V291" s="1">
        <f t="shared" si="99"/>
        <v>6487.6712328767135</v>
      </c>
      <c r="W291" s="1">
        <f t="shared" si="100"/>
        <v>3000</v>
      </c>
    </row>
    <row r="292" spans="1:23" x14ac:dyDescent="0.25">
      <c r="A292" s="2">
        <f t="shared" si="101"/>
        <v>28.000000000000128</v>
      </c>
      <c r="B292" s="7">
        <f t="shared" si="84"/>
        <v>23.68</v>
      </c>
      <c r="C292" s="7">
        <f t="shared" si="88"/>
        <v>1.6581184489723715</v>
      </c>
      <c r="D292" s="7">
        <f t="shared" si="89"/>
        <v>2.0488345905124428</v>
      </c>
      <c r="E292" s="7">
        <f t="shared" si="90"/>
        <v>1</v>
      </c>
      <c r="G292" s="4">
        <f t="shared" si="91"/>
        <v>2800.0000000000132</v>
      </c>
      <c r="H292" s="1">
        <f t="shared" si="102"/>
        <v>1.541385135135275</v>
      </c>
      <c r="I292" s="1">
        <f t="shared" si="103"/>
        <v>488.47442352759879</v>
      </c>
      <c r="J292" s="1">
        <f t="shared" si="92"/>
        <v>16.282480784253291</v>
      </c>
      <c r="K292" s="7">
        <f t="shared" si="93"/>
        <v>1.338286091856435</v>
      </c>
      <c r="L292" s="4">
        <f t="shared" si="94"/>
        <v>6487.6712328767135</v>
      </c>
      <c r="M292" s="1">
        <f t="shared" si="95"/>
        <v>829.05922448618571</v>
      </c>
      <c r="N292" s="7">
        <f t="shared" si="96"/>
        <v>2.0488345905124428</v>
      </c>
      <c r="O292" s="1">
        <f t="shared" si="97"/>
        <v>3000</v>
      </c>
      <c r="P292" s="2">
        <f t="shared" si="98"/>
        <v>5.3786636810501038</v>
      </c>
      <c r="Q292" s="2">
        <f t="shared" si="85"/>
        <v>135.70196105602267</v>
      </c>
      <c r="S292" s="1">
        <f t="shared" si="86"/>
        <v>3000</v>
      </c>
      <c r="T292" s="1">
        <f t="shared" si="87"/>
        <v>6487.6712328767135</v>
      </c>
      <c r="V292" s="1">
        <f t="shared" si="99"/>
        <v>6487.6712328767135</v>
      </c>
      <c r="W292" s="1">
        <f t="shared" si="100"/>
        <v>3000</v>
      </c>
    </row>
    <row r="293" spans="1:23" x14ac:dyDescent="0.25">
      <c r="A293" s="2">
        <f t="shared" si="101"/>
        <v>28.100000000000129</v>
      </c>
      <c r="B293" s="7">
        <f t="shared" si="84"/>
        <v>23.68</v>
      </c>
      <c r="C293" s="7">
        <f t="shared" si="88"/>
        <v>1.6588581347382776</v>
      </c>
      <c r="D293" s="7">
        <f t="shared" si="89"/>
        <v>2.0612717342903544</v>
      </c>
      <c r="E293" s="7">
        <f t="shared" si="90"/>
        <v>1</v>
      </c>
      <c r="G293" s="4">
        <f t="shared" si="91"/>
        <v>2810.0000000000127</v>
      </c>
      <c r="H293" s="1">
        <f t="shared" si="102"/>
        <v>1.5413851351350647</v>
      </c>
      <c r="I293" s="1">
        <f t="shared" si="103"/>
        <v>490.01580866273383</v>
      </c>
      <c r="J293" s="1">
        <f t="shared" si="92"/>
        <v>16.333860288757794</v>
      </c>
      <c r="K293" s="7">
        <f t="shared" si="93"/>
        <v>1.3425090648294078</v>
      </c>
      <c r="L293" s="4">
        <f t="shared" si="94"/>
        <v>6487.6712328767135</v>
      </c>
      <c r="M293" s="1">
        <f t="shared" si="95"/>
        <v>829.42906736913881</v>
      </c>
      <c r="N293" s="7">
        <f t="shared" si="96"/>
        <v>2.0612717342903544</v>
      </c>
      <c r="O293" s="1">
        <f t="shared" si="97"/>
        <v>3000</v>
      </c>
      <c r="P293" s="2">
        <f t="shared" si="98"/>
        <v>5.3810631000825229</v>
      </c>
      <c r="Q293" s="2">
        <f t="shared" si="85"/>
        <v>136.54305677133789</v>
      </c>
      <c r="S293" s="1">
        <f t="shared" si="86"/>
        <v>3000</v>
      </c>
      <c r="T293" s="1">
        <f t="shared" si="87"/>
        <v>6487.6712328767135</v>
      </c>
      <c r="V293" s="1">
        <f t="shared" si="99"/>
        <v>6487.6712328767135</v>
      </c>
      <c r="W293" s="1">
        <f t="shared" si="100"/>
        <v>3000</v>
      </c>
    </row>
    <row r="294" spans="1:23" x14ac:dyDescent="0.25">
      <c r="A294" s="2">
        <f t="shared" si="101"/>
        <v>28.200000000000131</v>
      </c>
      <c r="B294" s="7">
        <f t="shared" si="84"/>
        <v>23.68</v>
      </c>
      <c r="C294" s="7">
        <f t="shared" si="88"/>
        <v>1.6595981504776143</v>
      </c>
      <c r="D294" s="7">
        <f t="shared" si="89"/>
        <v>2.0737843758883767</v>
      </c>
      <c r="E294" s="7">
        <f t="shared" si="90"/>
        <v>1</v>
      </c>
      <c r="G294" s="4">
        <f t="shared" si="91"/>
        <v>2820.0000000000132</v>
      </c>
      <c r="H294" s="1">
        <f t="shared" si="102"/>
        <v>1.541385135135205</v>
      </c>
      <c r="I294" s="1">
        <f t="shared" si="103"/>
        <v>491.55719379786905</v>
      </c>
      <c r="J294" s="1">
        <f t="shared" si="92"/>
        <v>16.385239793262301</v>
      </c>
      <c r="K294" s="7">
        <f t="shared" si="93"/>
        <v>1.346732037802381</v>
      </c>
      <c r="L294" s="4">
        <f t="shared" si="94"/>
        <v>6487.6712328767135</v>
      </c>
      <c r="M294" s="1">
        <f t="shared" si="95"/>
        <v>829.79907523880718</v>
      </c>
      <c r="N294" s="7">
        <f t="shared" si="96"/>
        <v>2.0737843758883767</v>
      </c>
      <c r="O294" s="1">
        <f t="shared" si="97"/>
        <v>3000</v>
      </c>
      <c r="P294" s="2">
        <f t="shared" si="98"/>
        <v>5.3834635894945091</v>
      </c>
      <c r="Q294" s="2">
        <f t="shared" si="85"/>
        <v>137.38947382877859</v>
      </c>
      <c r="S294" s="1">
        <f t="shared" si="86"/>
        <v>3000</v>
      </c>
      <c r="T294" s="1">
        <f t="shared" si="87"/>
        <v>6487.6712328767135</v>
      </c>
      <c r="V294" s="1">
        <f t="shared" si="99"/>
        <v>6487.6712328767135</v>
      </c>
      <c r="W294" s="1">
        <f t="shared" si="100"/>
        <v>3000</v>
      </c>
    </row>
    <row r="295" spans="1:23" x14ac:dyDescent="0.25">
      <c r="A295" s="2">
        <f t="shared" si="101"/>
        <v>28.300000000000132</v>
      </c>
      <c r="B295" s="7">
        <f t="shared" si="84"/>
        <v>23.68</v>
      </c>
      <c r="C295" s="7">
        <f t="shared" si="88"/>
        <v>1.6603384963375818</v>
      </c>
      <c r="D295" s="7">
        <f t="shared" si="89"/>
        <v>2.0863729736047296</v>
      </c>
      <c r="E295" s="7">
        <f t="shared" si="90"/>
        <v>1</v>
      </c>
      <c r="G295" s="4">
        <f t="shared" si="91"/>
        <v>2830.0000000000127</v>
      </c>
      <c r="H295" s="1">
        <f t="shared" si="102"/>
        <v>1.5413851351350647</v>
      </c>
      <c r="I295" s="1">
        <f t="shared" si="103"/>
        <v>493.09857893300409</v>
      </c>
      <c r="J295" s="1">
        <f t="shared" si="92"/>
        <v>16.436619297766804</v>
      </c>
      <c r="K295" s="7">
        <f t="shared" si="93"/>
        <v>1.3509550107753536</v>
      </c>
      <c r="L295" s="4">
        <f t="shared" si="94"/>
        <v>6487.6712328767135</v>
      </c>
      <c r="M295" s="1">
        <f t="shared" si="95"/>
        <v>830.16924816879089</v>
      </c>
      <c r="N295" s="7">
        <f t="shared" si="96"/>
        <v>2.0863729736047296</v>
      </c>
      <c r="O295" s="1">
        <f t="shared" si="97"/>
        <v>3000</v>
      </c>
      <c r="P295" s="2">
        <f t="shared" si="98"/>
        <v>5.3858651497635543</v>
      </c>
      <c r="Q295" s="2">
        <f t="shared" si="85"/>
        <v>138.24124723985494</v>
      </c>
      <c r="S295" s="1">
        <f t="shared" si="86"/>
        <v>3000</v>
      </c>
      <c r="T295" s="1">
        <f t="shared" si="87"/>
        <v>6487.6712328767135</v>
      </c>
      <c r="V295" s="1">
        <f t="shared" si="99"/>
        <v>6487.6712328767135</v>
      </c>
      <c r="W295" s="1">
        <f t="shared" si="100"/>
        <v>3000</v>
      </c>
    </row>
    <row r="296" spans="1:23" x14ac:dyDescent="0.25">
      <c r="A296" s="2">
        <f t="shared" si="101"/>
        <v>28.400000000000134</v>
      </c>
      <c r="B296" s="7">
        <f t="shared" si="84"/>
        <v>23.68</v>
      </c>
      <c r="C296" s="7">
        <f t="shared" si="88"/>
        <v>1.661079172465447</v>
      </c>
      <c r="D296" s="7">
        <f t="shared" si="89"/>
        <v>2.0990379885196626</v>
      </c>
      <c r="E296" s="7">
        <f t="shared" si="90"/>
        <v>1</v>
      </c>
      <c r="G296" s="4">
        <f t="shared" si="91"/>
        <v>2840.0000000000136</v>
      </c>
      <c r="H296" s="1">
        <f t="shared" si="102"/>
        <v>1.541385135135275</v>
      </c>
      <c r="I296" s="1">
        <f t="shared" si="103"/>
        <v>494.63996406813936</v>
      </c>
      <c r="J296" s="1">
        <f t="shared" si="92"/>
        <v>16.487998802271314</v>
      </c>
      <c r="K296" s="7">
        <f t="shared" si="93"/>
        <v>1.3551779837483271</v>
      </c>
      <c r="L296" s="4">
        <f t="shared" si="94"/>
        <v>6487.6712328767135</v>
      </c>
      <c r="M296" s="1">
        <f t="shared" si="95"/>
        <v>830.53958623272354</v>
      </c>
      <c r="N296" s="7">
        <f t="shared" si="96"/>
        <v>2.0990379885196626</v>
      </c>
      <c r="O296" s="1">
        <f t="shared" si="97"/>
        <v>3000</v>
      </c>
      <c r="P296" s="2">
        <f t="shared" si="98"/>
        <v>5.3882677813673689</v>
      </c>
      <c r="Q296" s="2">
        <f t="shared" si="85"/>
        <v>139.09841226317593</v>
      </c>
      <c r="S296" s="1">
        <f t="shared" si="86"/>
        <v>3000</v>
      </c>
      <c r="T296" s="1">
        <f t="shared" si="87"/>
        <v>6487.6712328767135</v>
      </c>
      <c r="V296" s="1">
        <f t="shared" si="99"/>
        <v>6487.6712328767135</v>
      </c>
      <c r="W296" s="1">
        <f t="shared" si="100"/>
        <v>3000</v>
      </c>
    </row>
    <row r="297" spans="1:23" x14ac:dyDescent="0.25">
      <c r="A297" s="2">
        <f t="shared" si="101"/>
        <v>28.500000000000135</v>
      </c>
      <c r="B297" s="7">
        <f t="shared" si="84"/>
        <v>23.68</v>
      </c>
      <c r="C297" s="7">
        <f t="shared" si="88"/>
        <v>1.6618201790085427</v>
      </c>
      <c r="D297" s="7">
        <f t="shared" si="89"/>
        <v>2.1117798845123437</v>
      </c>
      <c r="E297" s="7">
        <f t="shared" si="90"/>
        <v>1</v>
      </c>
      <c r="G297" s="4">
        <f t="shared" si="91"/>
        <v>2850.0000000000136</v>
      </c>
      <c r="H297" s="1">
        <f t="shared" si="102"/>
        <v>1.5413851351351349</v>
      </c>
      <c r="I297" s="1">
        <f t="shared" si="103"/>
        <v>496.18134920327452</v>
      </c>
      <c r="J297" s="1">
        <f t="shared" si="92"/>
        <v>16.539378306775816</v>
      </c>
      <c r="K297" s="7">
        <f t="shared" si="93"/>
        <v>1.3594009567213001</v>
      </c>
      <c r="L297" s="4">
        <f t="shared" si="94"/>
        <v>6487.6712328767135</v>
      </c>
      <c r="M297" s="1">
        <f t="shared" si="95"/>
        <v>830.91008950427135</v>
      </c>
      <c r="N297" s="7">
        <f t="shared" si="96"/>
        <v>2.1117798845123437</v>
      </c>
      <c r="O297" s="1">
        <f t="shared" si="97"/>
        <v>3000</v>
      </c>
      <c r="P297" s="2">
        <f t="shared" si="98"/>
        <v>5.3906714847838764</v>
      </c>
      <c r="Q297" s="2">
        <f t="shared" si="85"/>
        <v>139.96100440640021</v>
      </c>
      <c r="S297" s="1">
        <f t="shared" si="86"/>
        <v>3000</v>
      </c>
      <c r="T297" s="1">
        <f t="shared" si="87"/>
        <v>6487.6712328767135</v>
      </c>
      <c r="V297" s="1">
        <f t="shared" si="99"/>
        <v>6487.6712328767135</v>
      </c>
      <c r="W297" s="1">
        <f t="shared" si="100"/>
        <v>3000</v>
      </c>
    </row>
    <row r="298" spans="1:23" x14ac:dyDescent="0.25">
      <c r="A298" s="2">
        <f t="shared" si="101"/>
        <v>28.600000000000136</v>
      </c>
      <c r="B298" s="7">
        <f t="shared" si="84"/>
        <v>23.68</v>
      </c>
      <c r="C298" s="7">
        <f t="shared" si="88"/>
        <v>1.6625615161142664</v>
      </c>
      <c r="D298" s="7">
        <f t="shared" si="89"/>
        <v>2.1245991282778505</v>
      </c>
      <c r="E298" s="7">
        <f t="shared" si="90"/>
        <v>1</v>
      </c>
      <c r="G298" s="4">
        <f t="shared" si="91"/>
        <v>2860.0000000000136</v>
      </c>
      <c r="H298" s="1">
        <f t="shared" si="102"/>
        <v>1.5413851351351349</v>
      </c>
      <c r="I298" s="1">
        <f t="shared" si="103"/>
        <v>497.72273433840968</v>
      </c>
      <c r="J298" s="1">
        <f t="shared" si="92"/>
        <v>16.590757811280323</v>
      </c>
      <c r="K298" s="7">
        <f t="shared" si="93"/>
        <v>1.3636239296942732</v>
      </c>
      <c r="L298" s="4">
        <f t="shared" si="94"/>
        <v>6487.6712328767135</v>
      </c>
      <c r="M298" s="1">
        <f t="shared" si="95"/>
        <v>831.2807580571332</v>
      </c>
      <c r="N298" s="7">
        <f t="shared" si="96"/>
        <v>2.1245991282778505</v>
      </c>
      <c r="O298" s="1">
        <f t="shared" si="97"/>
        <v>3000</v>
      </c>
      <c r="P298" s="2">
        <f t="shared" si="98"/>
        <v>5.3930762604912097</v>
      </c>
      <c r="Q298" s="2">
        <f t="shared" si="85"/>
        <v>140.82905942820506</v>
      </c>
      <c r="S298" s="1">
        <f t="shared" si="86"/>
        <v>3000</v>
      </c>
      <c r="T298" s="1">
        <f t="shared" si="87"/>
        <v>6487.6712328767135</v>
      </c>
      <c r="V298" s="1">
        <f t="shared" si="99"/>
        <v>6487.6712328767135</v>
      </c>
      <c r="W298" s="1">
        <f t="shared" si="100"/>
        <v>3000</v>
      </c>
    </row>
    <row r="299" spans="1:23" x14ac:dyDescent="0.25">
      <c r="A299" s="2">
        <f t="shared" si="101"/>
        <v>28.700000000000138</v>
      </c>
      <c r="B299" s="7">
        <f t="shared" si="84"/>
        <v>23.68</v>
      </c>
      <c r="C299" s="7">
        <f t="shared" si="88"/>
        <v>1.663303183930082</v>
      </c>
      <c r="D299" s="7">
        <f t="shared" si="89"/>
        <v>2.1374961893442626</v>
      </c>
      <c r="E299" s="7">
        <f t="shared" si="90"/>
        <v>1</v>
      </c>
      <c r="G299" s="4">
        <f t="shared" si="91"/>
        <v>2870.0000000000136</v>
      </c>
      <c r="H299" s="1">
        <f t="shared" si="102"/>
        <v>1.5413851351351349</v>
      </c>
      <c r="I299" s="1">
        <f t="shared" si="103"/>
        <v>499.26411947354484</v>
      </c>
      <c r="J299" s="1">
        <f t="shared" si="92"/>
        <v>16.642137315784829</v>
      </c>
      <c r="K299" s="7">
        <f t="shared" si="93"/>
        <v>1.3678469026672462</v>
      </c>
      <c r="L299" s="4">
        <f t="shared" si="94"/>
        <v>6487.6712328767135</v>
      </c>
      <c r="M299" s="1">
        <f t="shared" si="95"/>
        <v>831.65159196504101</v>
      </c>
      <c r="N299" s="7">
        <f t="shared" si="96"/>
        <v>2.1374961893442626</v>
      </c>
      <c r="O299" s="1">
        <f t="shared" si="97"/>
        <v>3000</v>
      </c>
      <c r="P299" s="2">
        <f t="shared" si="98"/>
        <v>5.3954821089677187</v>
      </c>
      <c r="Q299" s="2">
        <f t="shared" si="85"/>
        <v>141.70261334027327</v>
      </c>
      <c r="S299" s="1">
        <f t="shared" si="86"/>
        <v>3000</v>
      </c>
      <c r="T299" s="1">
        <f t="shared" si="87"/>
        <v>6487.6712328767135</v>
      </c>
      <c r="V299" s="1">
        <f t="shared" si="99"/>
        <v>6487.6712328767135</v>
      </c>
      <c r="W299" s="1">
        <f t="shared" si="100"/>
        <v>3000</v>
      </c>
    </row>
    <row r="300" spans="1:23" x14ac:dyDescent="0.25">
      <c r="A300" s="2">
        <f t="shared" si="101"/>
        <v>28.800000000000139</v>
      </c>
      <c r="B300" s="7">
        <f t="shared" ref="B300:B363" si="104">IF(A300&lt;=$B$2,$B$3*EXP(A300*$B$4),IF(A300&lt;$B$7,$B$6,IF($B$8*EXP(A300*$B$9)&gt;$B$6,$B$6,$B$8*EXP(A300*$B$9))))</f>
        <v>23.68</v>
      </c>
      <c r="C300" s="7">
        <f t="shared" si="88"/>
        <v>1.6640451826035196</v>
      </c>
      <c r="D300" s="7">
        <f t="shared" si="89"/>
        <v>2.1504715400898604</v>
      </c>
      <c r="E300" s="7">
        <f t="shared" si="90"/>
        <v>1</v>
      </c>
      <c r="G300" s="4">
        <f t="shared" si="91"/>
        <v>2880.0000000000136</v>
      </c>
      <c r="H300" s="1">
        <f t="shared" si="102"/>
        <v>1.5413851351351349</v>
      </c>
      <c r="I300" s="1">
        <f t="shared" si="103"/>
        <v>500.80550460868</v>
      </c>
      <c r="J300" s="1">
        <f t="shared" si="92"/>
        <v>16.693516820289332</v>
      </c>
      <c r="K300" s="7">
        <f t="shared" si="93"/>
        <v>1.3720698756402192</v>
      </c>
      <c r="L300" s="4">
        <f t="shared" si="94"/>
        <v>6487.6712328767135</v>
      </c>
      <c r="M300" s="1">
        <f t="shared" si="95"/>
        <v>832.0225913017598</v>
      </c>
      <c r="N300" s="7">
        <f t="shared" si="96"/>
        <v>2.1504715400898604</v>
      </c>
      <c r="O300" s="1">
        <f t="shared" si="97"/>
        <v>3000</v>
      </c>
      <c r="P300" s="2">
        <f t="shared" si="98"/>
        <v>5.3978890306919656</v>
      </c>
      <c r="Q300" s="2">
        <f t="shared" si="85"/>
        <v>142.58170240929826</v>
      </c>
      <c r="S300" s="1">
        <f t="shared" si="86"/>
        <v>3000</v>
      </c>
      <c r="T300" s="1">
        <f t="shared" si="87"/>
        <v>6487.6712328767135</v>
      </c>
      <c r="V300" s="1">
        <f t="shared" si="99"/>
        <v>6487.6712328767135</v>
      </c>
      <c r="W300" s="1">
        <f t="shared" si="100"/>
        <v>3000</v>
      </c>
    </row>
    <row r="301" spans="1:23" x14ac:dyDescent="0.25">
      <c r="A301" s="2">
        <f t="shared" si="101"/>
        <v>28.900000000000141</v>
      </c>
      <c r="B301" s="7">
        <f t="shared" si="104"/>
        <v>23.68</v>
      </c>
      <c r="C301" s="7">
        <f t="shared" si="88"/>
        <v>1.6647875122821738</v>
      </c>
      <c r="D301" s="7">
        <f t="shared" si="89"/>
        <v>2.1635256557604254</v>
      </c>
      <c r="E301" s="7">
        <f t="shared" si="90"/>
        <v>1</v>
      </c>
      <c r="G301" s="4">
        <f t="shared" si="91"/>
        <v>2890.0000000000146</v>
      </c>
      <c r="H301" s="1">
        <f t="shared" si="102"/>
        <v>1.541385135135275</v>
      </c>
      <c r="I301" s="1">
        <f t="shared" si="103"/>
        <v>502.34688974381527</v>
      </c>
      <c r="J301" s="1">
        <f t="shared" si="92"/>
        <v>16.744896324793842</v>
      </c>
      <c r="K301" s="7">
        <f t="shared" si="93"/>
        <v>1.3762928486131925</v>
      </c>
      <c r="L301" s="4">
        <f t="shared" si="94"/>
        <v>6487.6712328767135</v>
      </c>
      <c r="M301" s="1">
        <f t="shared" si="95"/>
        <v>832.3937561410869</v>
      </c>
      <c r="N301" s="7">
        <f t="shared" si="96"/>
        <v>2.1635256557604254</v>
      </c>
      <c r="O301" s="1">
        <f t="shared" si="97"/>
        <v>3000</v>
      </c>
      <c r="P301" s="2">
        <f t="shared" si="98"/>
        <v>5.4002970261427237</v>
      </c>
      <c r="Q301" s="2">
        <f t="shared" si="85"/>
        <v>143.46636315900795</v>
      </c>
      <c r="S301" s="1">
        <f t="shared" si="86"/>
        <v>3000</v>
      </c>
      <c r="T301" s="1">
        <f t="shared" si="87"/>
        <v>6487.6712328767135</v>
      </c>
      <c r="V301" s="1">
        <f t="shared" si="99"/>
        <v>6487.6712328767135</v>
      </c>
      <c r="W301" s="1">
        <f t="shared" si="100"/>
        <v>3000</v>
      </c>
    </row>
    <row r="302" spans="1:23" x14ac:dyDescent="0.25">
      <c r="A302" s="2">
        <f t="shared" si="101"/>
        <v>29.000000000000142</v>
      </c>
      <c r="B302" s="7">
        <f t="shared" si="104"/>
        <v>23.68</v>
      </c>
      <c r="C302" s="7">
        <f t="shared" si="88"/>
        <v>1.6655301731137067</v>
      </c>
      <c r="D302" s="7">
        <f t="shared" si="89"/>
        <v>2.1766590144866478</v>
      </c>
      <c r="E302" s="7">
        <f t="shared" si="90"/>
        <v>1</v>
      </c>
      <c r="G302" s="4">
        <f t="shared" si="91"/>
        <v>2900.0000000000141</v>
      </c>
      <c r="H302" s="1">
        <f t="shared" si="102"/>
        <v>1.5413851351350647</v>
      </c>
      <c r="I302" s="1">
        <f t="shared" si="103"/>
        <v>503.88827487895031</v>
      </c>
      <c r="J302" s="1">
        <f t="shared" si="92"/>
        <v>16.796275829298345</v>
      </c>
      <c r="K302" s="7">
        <f t="shared" si="93"/>
        <v>1.3805158215861653</v>
      </c>
      <c r="L302" s="4">
        <f t="shared" si="94"/>
        <v>6487.6712328767135</v>
      </c>
      <c r="M302" s="1">
        <f t="shared" si="95"/>
        <v>832.76508655685336</v>
      </c>
      <c r="N302" s="7">
        <f t="shared" si="96"/>
        <v>2.1766590144866478</v>
      </c>
      <c r="O302" s="1">
        <f t="shared" si="97"/>
        <v>3000</v>
      </c>
      <c r="P302" s="2">
        <f t="shared" si="98"/>
        <v>5.4027060957989841</v>
      </c>
      <c r="Q302" s="2">
        <f t="shared" si="85"/>
        <v>144.35663237220703</v>
      </c>
      <c r="S302" s="1">
        <f t="shared" si="86"/>
        <v>3000</v>
      </c>
      <c r="T302" s="1">
        <f t="shared" si="87"/>
        <v>6487.6712328767135</v>
      </c>
      <c r="V302" s="1">
        <f t="shared" si="99"/>
        <v>6487.6712328767135</v>
      </c>
      <c r="W302" s="1">
        <f t="shared" si="100"/>
        <v>3000</v>
      </c>
    </row>
    <row r="303" spans="1:23" x14ac:dyDescent="0.25">
      <c r="A303" s="2">
        <f t="shared" si="101"/>
        <v>29.100000000000144</v>
      </c>
      <c r="B303" s="7">
        <f t="shared" si="104"/>
        <v>23.68</v>
      </c>
      <c r="C303" s="7">
        <f t="shared" si="88"/>
        <v>1.6662731652458447</v>
      </c>
      <c r="D303" s="7">
        <f t="shared" si="89"/>
        <v>2.1898720973016372</v>
      </c>
      <c r="E303" s="7">
        <f t="shared" si="90"/>
        <v>1</v>
      </c>
      <c r="G303" s="4">
        <f t="shared" si="91"/>
        <v>2910.0000000000146</v>
      </c>
      <c r="H303" s="1">
        <f t="shared" si="102"/>
        <v>1.541385135135205</v>
      </c>
      <c r="I303" s="1">
        <f t="shared" si="103"/>
        <v>505.42966001408553</v>
      </c>
      <c r="J303" s="1">
        <f t="shared" si="92"/>
        <v>16.847655333802852</v>
      </c>
      <c r="K303" s="7">
        <f t="shared" si="93"/>
        <v>1.3847387945591385</v>
      </c>
      <c r="L303" s="4">
        <f t="shared" si="94"/>
        <v>6487.6712328767135</v>
      </c>
      <c r="M303" s="1">
        <f t="shared" si="95"/>
        <v>833.13658262292233</v>
      </c>
      <c r="N303" s="7">
        <f t="shared" si="96"/>
        <v>2.1898720973016372</v>
      </c>
      <c r="O303" s="1">
        <f t="shared" si="97"/>
        <v>3000</v>
      </c>
      <c r="P303" s="2">
        <f t="shared" si="98"/>
        <v>5.4051162401399466</v>
      </c>
      <c r="Q303" s="2">
        <f t="shared" si="85"/>
        <v>145.25254709283826</v>
      </c>
      <c r="S303" s="1">
        <f t="shared" si="86"/>
        <v>3000</v>
      </c>
      <c r="T303" s="1">
        <f t="shared" si="87"/>
        <v>6487.6712328767135</v>
      </c>
      <c r="V303" s="1">
        <f t="shared" si="99"/>
        <v>6487.6712328767135</v>
      </c>
      <c r="W303" s="1">
        <f t="shared" si="100"/>
        <v>3000</v>
      </c>
    </row>
    <row r="304" spans="1:23" x14ac:dyDescent="0.25">
      <c r="A304" s="2">
        <f t="shared" si="101"/>
        <v>29.200000000000145</v>
      </c>
      <c r="B304" s="7">
        <f t="shared" si="104"/>
        <v>23.68</v>
      </c>
      <c r="C304" s="7">
        <f t="shared" si="88"/>
        <v>1.6670164888263814</v>
      </c>
      <c r="D304" s="7">
        <f t="shared" si="89"/>
        <v>2.2031653881585456</v>
      </c>
      <c r="E304" s="7">
        <f t="shared" si="90"/>
        <v>1</v>
      </c>
      <c r="G304" s="4">
        <f t="shared" si="91"/>
        <v>2920.0000000000141</v>
      </c>
      <c r="H304" s="1">
        <f t="shared" si="102"/>
        <v>1.5413851351350647</v>
      </c>
      <c r="I304" s="1">
        <f t="shared" si="103"/>
        <v>506.97104514922057</v>
      </c>
      <c r="J304" s="1">
        <f t="shared" si="92"/>
        <v>16.899034838307351</v>
      </c>
      <c r="K304" s="7">
        <f t="shared" si="93"/>
        <v>1.3889617675321111</v>
      </c>
      <c r="L304" s="4">
        <f t="shared" si="94"/>
        <v>6487.6712328767135</v>
      </c>
      <c r="M304" s="1">
        <f t="shared" si="95"/>
        <v>833.50824441319071</v>
      </c>
      <c r="N304" s="7">
        <f t="shared" si="96"/>
        <v>2.2031653881585456</v>
      </c>
      <c r="O304" s="1">
        <f t="shared" si="97"/>
        <v>3000</v>
      </c>
      <c r="P304" s="2">
        <f t="shared" si="98"/>
        <v>5.4075274596450305</v>
      </c>
      <c r="Q304" s="2">
        <f t="shared" ref="Q304:Q367" si="105">IFERROR(N304/100*L304/(1-N304/100),L304*100)</f>
        <v>146.15414462806319</v>
      </c>
      <c r="S304" s="1">
        <f t="shared" si="86"/>
        <v>3000</v>
      </c>
      <c r="T304" s="1">
        <f t="shared" si="87"/>
        <v>6487.6712328767135</v>
      </c>
      <c r="V304" s="1">
        <f t="shared" si="99"/>
        <v>6487.6712328767135</v>
      </c>
      <c r="W304" s="1">
        <f t="shared" si="100"/>
        <v>3000</v>
      </c>
    </row>
    <row r="305" spans="1:23" x14ac:dyDescent="0.25">
      <c r="A305" s="2">
        <f t="shared" si="101"/>
        <v>29.300000000000146</v>
      </c>
      <c r="B305" s="7">
        <f t="shared" si="104"/>
        <v>23.68</v>
      </c>
      <c r="C305" s="7">
        <f t="shared" si="88"/>
        <v>1.6677601440031753</v>
      </c>
      <c r="D305" s="7">
        <f t="shared" si="89"/>
        <v>2.2165393739482875</v>
      </c>
      <c r="E305" s="7">
        <f t="shared" si="90"/>
        <v>1</v>
      </c>
      <c r="G305" s="4">
        <f t="shared" si="91"/>
        <v>2930.000000000015</v>
      </c>
      <c r="H305" s="1">
        <f t="shared" si="102"/>
        <v>1.541385135135275</v>
      </c>
      <c r="I305" s="1">
        <f t="shared" si="103"/>
        <v>508.51243028435584</v>
      </c>
      <c r="J305" s="1">
        <f t="shared" si="92"/>
        <v>16.950414342811861</v>
      </c>
      <c r="K305" s="7">
        <f t="shared" si="93"/>
        <v>1.3931847405050846</v>
      </c>
      <c r="L305" s="4">
        <f t="shared" si="94"/>
        <v>6487.6712328767135</v>
      </c>
      <c r="M305" s="1">
        <f t="shared" si="95"/>
        <v>833.88007200158768</v>
      </c>
      <c r="N305" s="7">
        <f t="shared" si="96"/>
        <v>2.2165393739482875</v>
      </c>
      <c r="O305" s="1">
        <f t="shared" si="97"/>
        <v>3000</v>
      </c>
      <c r="P305" s="2">
        <f t="shared" si="98"/>
        <v>5.4099397547938626</v>
      </c>
      <c r="Q305" s="2">
        <f t="shared" si="105"/>
        <v>147.06146255036165</v>
      </c>
      <c r="S305" s="1">
        <f t="shared" si="86"/>
        <v>3000</v>
      </c>
      <c r="T305" s="1">
        <f t="shared" si="87"/>
        <v>6487.6712328767135</v>
      </c>
      <c r="V305" s="1">
        <f t="shared" si="99"/>
        <v>6487.6712328767135</v>
      </c>
      <c r="W305" s="1">
        <f t="shared" si="100"/>
        <v>3000</v>
      </c>
    </row>
    <row r="306" spans="1:23" x14ac:dyDescent="0.25">
      <c r="A306" s="2">
        <f t="shared" si="101"/>
        <v>29.400000000000148</v>
      </c>
      <c r="B306" s="7">
        <f t="shared" si="104"/>
        <v>23.68</v>
      </c>
      <c r="C306" s="7">
        <f t="shared" si="88"/>
        <v>1.6685041309241515</v>
      </c>
      <c r="D306" s="7">
        <f t="shared" si="89"/>
        <v>2.2299945445173774</v>
      </c>
      <c r="E306" s="7">
        <f t="shared" si="90"/>
        <v>1</v>
      </c>
      <c r="G306" s="4">
        <f t="shared" si="91"/>
        <v>2940.0000000000146</v>
      </c>
      <c r="H306" s="1">
        <f t="shared" si="102"/>
        <v>1.5413851351350647</v>
      </c>
      <c r="I306" s="1">
        <f t="shared" si="103"/>
        <v>510.05381541949089</v>
      </c>
      <c r="J306" s="1">
        <f t="shared" si="92"/>
        <v>17.001793847316364</v>
      </c>
      <c r="K306" s="7">
        <f t="shared" si="93"/>
        <v>1.3974077134780571</v>
      </c>
      <c r="L306" s="4">
        <f t="shared" si="94"/>
        <v>6487.6712328767135</v>
      </c>
      <c r="M306" s="1">
        <f t="shared" si="95"/>
        <v>834.25206546207573</v>
      </c>
      <c r="N306" s="7">
        <f t="shared" si="96"/>
        <v>2.2299945445173774</v>
      </c>
      <c r="O306" s="1">
        <f t="shared" si="97"/>
        <v>3000</v>
      </c>
      <c r="P306" s="2">
        <f t="shared" si="98"/>
        <v>5.4123531260662903</v>
      </c>
      <c r="Q306" s="2">
        <f t="shared" si="105"/>
        <v>147.97453869965096</v>
      </c>
      <c r="S306" s="1">
        <f t="shared" si="86"/>
        <v>3000</v>
      </c>
      <c r="T306" s="1">
        <f t="shared" si="87"/>
        <v>6487.6712328767135</v>
      </c>
      <c r="V306" s="1">
        <f t="shared" si="99"/>
        <v>6487.6712328767135</v>
      </c>
      <c r="W306" s="1">
        <f t="shared" si="100"/>
        <v>3000</v>
      </c>
    </row>
    <row r="307" spans="1:23" x14ac:dyDescent="0.25">
      <c r="A307" s="2">
        <f t="shared" si="101"/>
        <v>29.500000000000149</v>
      </c>
      <c r="B307" s="7">
        <f t="shared" si="104"/>
        <v>23.68</v>
      </c>
      <c r="C307" s="7">
        <f t="shared" si="88"/>
        <v>1.669248449737301</v>
      </c>
      <c r="D307" s="7">
        <f t="shared" si="89"/>
        <v>2.2435313926858695</v>
      </c>
      <c r="E307" s="7">
        <f t="shared" si="90"/>
        <v>1</v>
      </c>
      <c r="G307" s="4">
        <f t="shared" si="91"/>
        <v>2950.000000000015</v>
      </c>
      <c r="H307" s="1">
        <f t="shared" si="102"/>
        <v>1.541385135135205</v>
      </c>
      <c r="I307" s="1">
        <f t="shared" si="103"/>
        <v>511.5952005546261</v>
      </c>
      <c r="J307" s="1">
        <f t="shared" si="92"/>
        <v>17.05317335182087</v>
      </c>
      <c r="K307" s="7">
        <f t="shared" si="93"/>
        <v>1.4016306864510304</v>
      </c>
      <c r="L307" s="4">
        <f t="shared" si="94"/>
        <v>6487.6712328767135</v>
      </c>
      <c r="M307" s="1">
        <f t="shared" si="95"/>
        <v>834.62422486865046</v>
      </c>
      <c r="N307" s="7">
        <f t="shared" si="96"/>
        <v>2.2435313926858695</v>
      </c>
      <c r="O307" s="1">
        <f t="shared" si="97"/>
        <v>3000</v>
      </c>
      <c r="P307" s="2">
        <f t="shared" si="98"/>
        <v>5.4147675739423686</v>
      </c>
      <c r="Q307" s="2">
        <f t="shared" si="105"/>
        <v>148.89341118542532</v>
      </c>
      <c r="S307" s="1">
        <f t="shared" si="86"/>
        <v>3000</v>
      </c>
      <c r="T307" s="1">
        <f t="shared" si="87"/>
        <v>6487.6712328767135</v>
      </c>
      <c r="V307" s="1">
        <f t="shared" si="99"/>
        <v>6487.6712328767135</v>
      </c>
      <c r="W307" s="1">
        <f t="shared" si="100"/>
        <v>3000</v>
      </c>
    </row>
    <row r="308" spans="1:23" x14ac:dyDescent="0.25">
      <c r="A308" s="2">
        <f t="shared" si="101"/>
        <v>29.600000000000151</v>
      </c>
      <c r="B308" s="7">
        <f t="shared" si="104"/>
        <v>23.68</v>
      </c>
      <c r="C308" s="7">
        <f t="shared" si="88"/>
        <v>1.6699931005906805</v>
      </c>
      <c r="D308" s="7">
        <f t="shared" si="89"/>
        <v>2.2571504142654066</v>
      </c>
      <c r="E308" s="7">
        <f t="shared" si="90"/>
        <v>1</v>
      </c>
      <c r="G308" s="4">
        <f t="shared" si="91"/>
        <v>2960.000000000015</v>
      </c>
      <c r="H308" s="1">
        <f t="shared" si="102"/>
        <v>1.5413851351351349</v>
      </c>
      <c r="I308" s="1">
        <f t="shared" si="103"/>
        <v>513.1365856897612</v>
      </c>
      <c r="J308" s="1">
        <f t="shared" si="92"/>
        <v>17.104552856325373</v>
      </c>
      <c r="K308" s="7">
        <f t="shared" si="93"/>
        <v>1.4058536594240032</v>
      </c>
      <c r="L308" s="4">
        <f t="shared" si="94"/>
        <v>6487.6712328767135</v>
      </c>
      <c r="M308" s="1">
        <f t="shared" si="95"/>
        <v>834.99655029534028</v>
      </c>
      <c r="N308" s="7">
        <f t="shared" si="96"/>
        <v>2.2571504142654066</v>
      </c>
      <c r="O308" s="1">
        <f t="shared" si="97"/>
        <v>3000</v>
      </c>
      <c r="P308" s="2">
        <f t="shared" si="98"/>
        <v>5.417183098902373</v>
      </c>
      <c r="Q308" s="2">
        <f t="shared" si="105"/>
        <v>149.81811838891437</v>
      </c>
      <c r="S308" s="1">
        <f t="shared" si="86"/>
        <v>3000</v>
      </c>
      <c r="T308" s="1">
        <f t="shared" si="87"/>
        <v>6487.6712328767135</v>
      </c>
      <c r="V308" s="1">
        <f t="shared" si="99"/>
        <v>6487.6712328767135</v>
      </c>
      <c r="W308" s="1">
        <f t="shared" si="100"/>
        <v>3000</v>
      </c>
    </row>
    <row r="309" spans="1:23" x14ac:dyDescent="0.25">
      <c r="A309" s="2">
        <f t="shared" si="101"/>
        <v>29.700000000000152</v>
      </c>
      <c r="B309" s="7">
        <f t="shared" si="104"/>
        <v>23.68</v>
      </c>
      <c r="C309" s="7">
        <f t="shared" si="88"/>
        <v>1.6707380836324133</v>
      </c>
      <c r="D309" s="7">
        <f t="shared" si="89"/>
        <v>2.2708521080773849</v>
      </c>
      <c r="E309" s="7">
        <f t="shared" si="90"/>
        <v>1</v>
      </c>
      <c r="G309" s="4">
        <f t="shared" si="91"/>
        <v>2970.0000000000155</v>
      </c>
      <c r="H309" s="1">
        <f t="shared" si="102"/>
        <v>1.541385135135205</v>
      </c>
      <c r="I309" s="1">
        <f t="shared" si="103"/>
        <v>514.67797082489642</v>
      </c>
      <c r="J309" s="1">
        <f t="shared" si="92"/>
        <v>17.15593236082988</v>
      </c>
      <c r="K309" s="7">
        <f t="shared" si="93"/>
        <v>1.4100766323969764</v>
      </c>
      <c r="L309" s="4">
        <f t="shared" si="94"/>
        <v>6487.6712328767135</v>
      </c>
      <c r="M309" s="1">
        <f t="shared" si="95"/>
        <v>835.36904181620662</v>
      </c>
      <c r="N309" s="7">
        <f t="shared" si="96"/>
        <v>2.2708521080773849</v>
      </c>
      <c r="O309" s="1">
        <f t="shared" si="97"/>
        <v>3000</v>
      </c>
      <c r="P309" s="2">
        <f t="shared" si="98"/>
        <v>5.4195997014267885</v>
      </c>
      <c r="Q309" s="2">
        <f t="shared" si="105"/>
        <v>150.7486989652628</v>
      </c>
      <c r="S309" s="1">
        <f t="shared" si="86"/>
        <v>3000</v>
      </c>
      <c r="T309" s="1">
        <f t="shared" si="87"/>
        <v>6487.6712328767135</v>
      </c>
      <c r="V309" s="1">
        <f t="shared" si="99"/>
        <v>6487.6712328767135</v>
      </c>
      <c r="W309" s="1">
        <f t="shared" si="100"/>
        <v>3000</v>
      </c>
    </row>
    <row r="310" spans="1:23" x14ac:dyDescent="0.25">
      <c r="A310" s="2">
        <f t="shared" si="101"/>
        <v>29.800000000000153</v>
      </c>
      <c r="B310" s="7">
        <f t="shared" si="104"/>
        <v>23.68</v>
      </c>
      <c r="C310" s="7">
        <f t="shared" si="88"/>
        <v>1.6714833990106881</v>
      </c>
      <c r="D310" s="7">
        <f t="shared" si="89"/>
        <v>2.2846369759712188</v>
      </c>
      <c r="E310" s="7">
        <f t="shared" si="90"/>
        <v>1</v>
      </c>
      <c r="G310" s="4">
        <f t="shared" si="91"/>
        <v>2980.0000000000155</v>
      </c>
      <c r="H310" s="1">
        <f t="shared" si="102"/>
        <v>1.5413851351351349</v>
      </c>
      <c r="I310" s="1">
        <f t="shared" si="103"/>
        <v>516.21935596003152</v>
      </c>
      <c r="J310" s="1">
        <f t="shared" si="92"/>
        <v>17.207311865334383</v>
      </c>
      <c r="K310" s="7">
        <f t="shared" si="93"/>
        <v>1.4142996053699495</v>
      </c>
      <c r="L310" s="4">
        <f t="shared" si="94"/>
        <v>6487.6712328767135</v>
      </c>
      <c r="M310" s="1">
        <f t="shared" si="95"/>
        <v>835.74169950534406</v>
      </c>
      <c r="N310" s="7">
        <f t="shared" si="96"/>
        <v>2.2846369759712188</v>
      </c>
      <c r="O310" s="1">
        <f t="shared" si="97"/>
        <v>3000</v>
      </c>
      <c r="P310" s="2">
        <f t="shared" si="98"/>
        <v>5.4220173819963149</v>
      </c>
      <c r="Q310" s="2">
        <f t="shared" si="105"/>
        <v>151.68519184572966</v>
      </c>
      <c r="S310" s="1">
        <f t="shared" si="86"/>
        <v>3000</v>
      </c>
      <c r="T310" s="1">
        <f t="shared" si="87"/>
        <v>6487.6712328767135</v>
      </c>
      <c r="V310" s="1">
        <f t="shared" si="99"/>
        <v>6487.6712328767135</v>
      </c>
      <c r="W310" s="1">
        <f t="shared" si="100"/>
        <v>3000</v>
      </c>
    </row>
    <row r="311" spans="1:23" x14ac:dyDescent="0.25">
      <c r="A311" s="2">
        <f t="shared" si="101"/>
        <v>29.900000000000155</v>
      </c>
      <c r="B311" s="7">
        <f t="shared" si="104"/>
        <v>23.68</v>
      </c>
      <c r="C311" s="7">
        <f t="shared" si="88"/>
        <v>1.67222904687376</v>
      </c>
      <c r="D311" s="7">
        <f t="shared" si="89"/>
        <v>2.2985055228427256</v>
      </c>
      <c r="E311" s="7">
        <f t="shared" si="90"/>
        <v>1</v>
      </c>
      <c r="G311" s="4">
        <f t="shared" si="91"/>
        <v>2990.0000000000155</v>
      </c>
      <c r="H311" s="1">
        <f t="shared" si="102"/>
        <v>1.5413851351351349</v>
      </c>
      <c r="I311" s="1">
        <f t="shared" si="103"/>
        <v>517.76074109516662</v>
      </c>
      <c r="J311" s="1">
        <f t="shared" si="92"/>
        <v>17.258691369838889</v>
      </c>
      <c r="K311" s="7">
        <f t="shared" si="93"/>
        <v>1.4185225783429223</v>
      </c>
      <c r="L311" s="4">
        <f t="shared" si="94"/>
        <v>6487.6712328767135</v>
      </c>
      <c r="M311" s="1">
        <f t="shared" si="95"/>
        <v>836.11452343687995</v>
      </c>
      <c r="N311" s="7">
        <f t="shared" si="96"/>
        <v>2.2985055228427256</v>
      </c>
      <c r="O311" s="1">
        <f t="shared" si="97"/>
        <v>3000</v>
      </c>
      <c r="P311" s="2">
        <f t="shared" si="98"/>
        <v>5.424436141091868</v>
      </c>
      <c r="Q311" s="2">
        <f t="shared" si="105"/>
        <v>152.62763623990861</v>
      </c>
      <c r="S311" s="1">
        <f t="shared" si="86"/>
        <v>3000</v>
      </c>
      <c r="T311" s="1">
        <f t="shared" si="87"/>
        <v>6487.6712328767135</v>
      </c>
      <c r="V311" s="1">
        <f t="shared" si="99"/>
        <v>6487.6712328767135</v>
      </c>
      <c r="W311" s="1">
        <f t="shared" si="100"/>
        <v>3000</v>
      </c>
    </row>
    <row r="312" spans="1:23" x14ac:dyDescent="0.25">
      <c r="A312" s="2">
        <f t="shared" si="101"/>
        <v>30.000000000000156</v>
      </c>
      <c r="B312" s="7">
        <f t="shared" si="104"/>
        <v>23.68</v>
      </c>
      <c r="C312" s="7">
        <f t="shared" si="88"/>
        <v>1.6729750273699509</v>
      </c>
      <c r="D312" s="7">
        <f t="shared" si="89"/>
        <v>2.3124582566526173</v>
      </c>
      <c r="E312" s="7">
        <f t="shared" si="90"/>
        <v>1</v>
      </c>
      <c r="G312" s="4">
        <f t="shared" si="91"/>
        <v>3000.0000000000155</v>
      </c>
      <c r="H312" s="1">
        <f t="shared" si="102"/>
        <v>1.5413851351351349</v>
      </c>
      <c r="I312" s="1">
        <f t="shared" si="103"/>
        <v>519.30212623030172</v>
      </c>
      <c r="J312" s="1">
        <f t="shared" si="92"/>
        <v>17.310070874343392</v>
      </c>
      <c r="K312" s="7">
        <f t="shared" si="93"/>
        <v>1.4227455513158951</v>
      </c>
      <c r="L312" s="4">
        <f t="shared" si="94"/>
        <v>6487.6712328767135</v>
      </c>
      <c r="M312" s="1">
        <f t="shared" si="95"/>
        <v>836.4875136849754</v>
      </c>
      <c r="N312" s="7">
        <f t="shared" si="96"/>
        <v>2.3124582566526173</v>
      </c>
      <c r="O312" s="1">
        <f t="shared" si="97"/>
        <v>3000</v>
      </c>
      <c r="P312" s="2">
        <f t="shared" si="98"/>
        <v>5.4268559791945812</v>
      </c>
      <c r="Q312" s="2">
        <f t="shared" si="105"/>
        <v>153.57607163796919</v>
      </c>
      <c r="S312" s="1">
        <f t="shared" si="86"/>
        <v>3000</v>
      </c>
      <c r="T312" s="1">
        <f t="shared" si="87"/>
        <v>6487.6712328767135</v>
      </c>
      <c r="V312" s="1">
        <f t="shared" si="99"/>
        <v>6487.6712328767135</v>
      </c>
      <c r="W312" s="1">
        <f t="shared" si="100"/>
        <v>3000</v>
      </c>
    </row>
    <row r="313" spans="1:23" x14ac:dyDescent="0.25">
      <c r="A313" s="2">
        <f t="shared" si="101"/>
        <v>30.100000000000158</v>
      </c>
      <c r="B313" s="7">
        <f t="shared" si="104"/>
        <v>23.68</v>
      </c>
      <c r="C313" s="7">
        <f t="shared" si="88"/>
        <v>1.6737213406476477</v>
      </c>
      <c r="D313" s="7">
        <f t="shared" si="89"/>
        <v>2.326495688445104</v>
      </c>
      <c r="E313" s="7">
        <f t="shared" si="90"/>
        <v>1</v>
      </c>
      <c r="G313" s="4">
        <f t="shared" si="91"/>
        <v>3010.0000000000159</v>
      </c>
      <c r="H313" s="1">
        <f t="shared" si="102"/>
        <v>1.541385135135205</v>
      </c>
      <c r="I313" s="1">
        <f t="shared" si="103"/>
        <v>520.84351136543694</v>
      </c>
      <c r="J313" s="1">
        <f t="shared" si="92"/>
        <v>17.361450378847898</v>
      </c>
      <c r="K313" s="7">
        <f t="shared" si="93"/>
        <v>1.4269685242888683</v>
      </c>
      <c r="L313" s="4">
        <f t="shared" si="94"/>
        <v>6487.6712328767135</v>
      </c>
      <c r="M313" s="1">
        <f t="shared" si="95"/>
        <v>836.8606703238238</v>
      </c>
      <c r="N313" s="7">
        <f t="shared" si="96"/>
        <v>2.326495688445104</v>
      </c>
      <c r="O313" s="1">
        <f t="shared" si="97"/>
        <v>3000</v>
      </c>
      <c r="P313" s="2">
        <f t="shared" si="98"/>
        <v>5.4292768967857947</v>
      </c>
      <c r="Q313" s="2">
        <f t="shared" si="105"/>
        <v>154.53053781291865</v>
      </c>
      <c r="S313" s="1">
        <f t="shared" si="86"/>
        <v>3000</v>
      </c>
      <c r="T313" s="1">
        <f t="shared" si="87"/>
        <v>6487.6712328767135</v>
      </c>
      <c r="V313" s="1">
        <f t="shared" si="99"/>
        <v>6487.6712328767135</v>
      </c>
      <c r="W313" s="1">
        <f t="shared" si="100"/>
        <v>3000</v>
      </c>
    </row>
    <row r="314" spans="1:23" x14ac:dyDescent="0.25">
      <c r="A314" s="2">
        <f t="shared" si="101"/>
        <v>30.200000000000159</v>
      </c>
      <c r="B314" s="7">
        <f t="shared" si="104"/>
        <v>23.68</v>
      </c>
      <c r="C314" s="7">
        <f t="shared" si="88"/>
        <v>1.6744679868553041</v>
      </c>
      <c r="D314" s="7">
        <f t="shared" si="89"/>
        <v>2.3406183323666152</v>
      </c>
      <c r="E314" s="7">
        <f t="shared" si="90"/>
        <v>1</v>
      </c>
      <c r="G314" s="4">
        <f t="shared" si="91"/>
        <v>3020.0000000000159</v>
      </c>
      <c r="H314" s="1">
        <f t="shared" si="102"/>
        <v>1.5413851351351349</v>
      </c>
      <c r="I314" s="1">
        <f t="shared" si="103"/>
        <v>522.38489650057204</v>
      </c>
      <c r="J314" s="1">
        <f t="shared" si="92"/>
        <v>17.412829883352401</v>
      </c>
      <c r="K314" s="7">
        <f t="shared" si="93"/>
        <v>1.4311914972618411</v>
      </c>
      <c r="L314" s="4">
        <f t="shared" si="94"/>
        <v>6487.6712328767135</v>
      </c>
      <c r="M314" s="1">
        <f t="shared" si="95"/>
        <v>837.23399342765208</v>
      </c>
      <c r="N314" s="7">
        <f t="shared" si="96"/>
        <v>2.3406183323666152</v>
      </c>
      <c r="O314" s="1">
        <f t="shared" si="97"/>
        <v>3000</v>
      </c>
      <c r="P314" s="2">
        <f t="shared" si="98"/>
        <v>5.4316988943470701</v>
      </c>
      <c r="Q314" s="2">
        <f t="shared" si="105"/>
        <v>155.49107482288591</v>
      </c>
      <c r="S314" s="1">
        <f t="shared" si="86"/>
        <v>3000</v>
      </c>
      <c r="T314" s="1">
        <f t="shared" si="87"/>
        <v>6487.6712328767135</v>
      </c>
      <c r="V314" s="1">
        <f t="shared" si="99"/>
        <v>6487.6712328767135</v>
      </c>
      <c r="W314" s="1">
        <f t="shared" si="100"/>
        <v>3000</v>
      </c>
    </row>
    <row r="315" spans="1:23" x14ac:dyDescent="0.25">
      <c r="A315" s="2">
        <f t="shared" si="101"/>
        <v>30.300000000000161</v>
      </c>
      <c r="B315" s="7">
        <f t="shared" si="104"/>
        <v>23.68</v>
      </c>
      <c r="C315" s="7">
        <f t="shared" si="88"/>
        <v>1.6752149661414402</v>
      </c>
      <c r="D315" s="7">
        <f t="shared" si="89"/>
        <v>2.3548267056846282</v>
      </c>
      <c r="E315" s="7">
        <f t="shared" si="90"/>
        <v>1</v>
      </c>
      <c r="G315" s="4">
        <f t="shared" si="91"/>
        <v>3030.0000000000164</v>
      </c>
      <c r="H315" s="1">
        <f t="shared" si="102"/>
        <v>1.541385135135205</v>
      </c>
      <c r="I315" s="1">
        <f t="shared" si="103"/>
        <v>523.92628163570726</v>
      </c>
      <c r="J315" s="1">
        <f t="shared" si="92"/>
        <v>17.464209387856908</v>
      </c>
      <c r="K315" s="7">
        <f t="shared" si="93"/>
        <v>1.4354144702348144</v>
      </c>
      <c r="L315" s="4">
        <f t="shared" si="94"/>
        <v>6487.6712328767135</v>
      </c>
      <c r="M315" s="1">
        <f t="shared" si="95"/>
        <v>837.60748307072004</v>
      </c>
      <c r="N315" s="7">
        <f t="shared" si="96"/>
        <v>2.3548267056846282</v>
      </c>
      <c r="O315" s="1">
        <f t="shared" si="97"/>
        <v>3000</v>
      </c>
      <c r="P315" s="2">
        <f t="shared" si="98"/>
        <v>5.4341219723601792</v>
      </c>
      <c r="Q315" s="2">
        <f t="shared" si="105"/>
        <v>156.45772301342629</v>
      </c>
      <c r="S315" s="1">
        <f t="shared" si="86"/>
        <v>3000</v>
      </c>
      <c r="T315" s="1">
        <f t="shared" si="87"/>
        <v>6487.6712328767135</v>
      </c>
      <c r="V315" s="1">
        <f t="shared" si="99"/>
        <v>6487.6712328767135</v>
      </c>
      <c r="W315" s="1">
        <f t="shared" si="100"/>
        <v>3000</v>
      </c>
    </row>
    <row r="316" spans="1:23" x14ac:dyDescent="0.25">
      <c r="A316" s="2">
        <f t="shared" si="101"/>
        <v>30.400000000000162</v>
      </c>
      <c r="B316" s="7">
        <f t="shared" si="104"/>
        <v>23.68</v>
      </c>
      <c r="C316" s="7">
        <f t="shared" si="88"/>
        <v>1.675962278654642</v>
      </c>
      <c r="D316" s="7">
        <f t="shared" si="89"/>
        <v>2.3691213288066146</v>
      </c>
      <c r="E316" s="7">
        <f t="shared" si="90"/>
        <v>1</v>
      </c>
      <c r="G316" s="4">
        <f t="shared" si="91"/>
        <v>3040.0000000000159</v>
      </c>
      <c r="H316" s="1">
        <f t="shared" si="102"/>
        <v>1.5413851351350647</v>
      </c>
      <c r="I316" s="1">
        <f t="shared" si="103"/>
        <v>525.46766677084236</v>
      </c>
      <c r="J316" s="1">
        <f t="shared" si="92"/>
        <v>17.515588892361411</v>
      </c>
      <c r="K316" s="7">
        <f t="shared" si="93"/>
        <v>1.4396374432077872</v>
      </c>
      <c r="L316" s="4">
        <f t="shared" si="94"/>
        <v>6487.6712328767135</v>
      </c>
      <c r="M316" s="1">
        <f t="shared" si="95"/>
        <v>837.98113932732099</v>
      </c>
      <c r="N316" s="7">
        <f t="shared" si="96"/>
        <v>2.3691213288066146</v>
      </c>
      <c r="O316" s="1">
        <f t="shared" si="97"/>
        <v>3000</v>
      </c>
      <c r="P316" s="2">
        <f t="shared" si="98"/>
        <v>5.4365461313071135</v>
      </c>
      <c r="Q316" s="2">
        <f t="shared" si="105"/>
        <v>157.43052301984832</v>
      </c>
      <c r="S316" s="1">
        <f t="shared" si="86"/>
        <v>3000</v>
      </c>
      <c r="T316" s="1">
        <f t="shared" si="87"/>
        <v>6487.6712328767135</v>
      </c>
      <c r="V316" s="1">
        <f t="shared" si="99"/>
        <v>6487.6712328767135</v>
      </c>
      <c r="W316" s="1">
        <f t="shared" si="100"/>
        <v>3000</v>
      </c>
    </row>
    <row r="317" spans="1:23" x14ac:dyDescent="0.25">
      <c r="A317" s="2">
        <f t="shared" si="101"/>
        <v>30.500000000000163</v>
      </c>
      <c r="B317" s="7">
        <f t="shared" si="104"/>
        <v>23.68</v>
      </c>
      <c r="C317" s="7">
        <f t="shared" si="88"/>
        <v>1.6767099245435622</v>
      </c>
      <c r="D317" s="7">
        <f t="shared" si="89"/>
        <v>2.383502725299103</v>
      </c>
      <c r="E317" s="7">
        <f t="shared" si="90"/>
        <v>1</v>
      </c>
      <c r="G317" s="4">
        <f t="shared" si="91"/>
        <v>3050.0000000000168</v>
      </c>
      <c r="H317" s="1">
        <f t="shared" si="102"/>
        <v>1.541385135135275</v>
      </c>
      <c r="I317" s="1">
        <f t="shared" si="103"/>
        <v>527.00905190597769</v>
      </c>
      <c r="J317" s="1">
        <f t="shared" si="92"/>
        <v>17.566968396865924</v>
      </c>
      <c r="K317" s="7">
        <f t="shared" si="93"/>
        <v>1.4438604161807609</v>
      </c>
      <c r="L317" s="4">
        <f t="shared" si="94"/>
        <v>6487.6712328767135</v>
      </c>
      <c r="M317" s="1">
        <f t="shared" si="95"/>
        <v>838.35496227178112</v>
      </c>
      <c r="N317" s="7">
        <f t="shared" si="96"/>
        <v>2.383502725299103</v>
      </c>
      <c r="O317" s="1">
        <f t="shared" si="97"/>
        <v>3000</v>
      </c>
      <c r="P317" s="2">
        <f t="shared" si="98"/>
        <v>5.4389713716700765</v>
      </c>
      <c r="Q317" s="2">
        <f t="shared" si="105"/>
        <v>158.40951576956303</v>
      </c>
      <c r="S317" s="1">
        <f t="shared" si="86"/>
        <v>3000</v>
      </c>
      <c r="T317" s="1">
        <f t="shared" si="87"/>
        <v>6487.6712328767135</v>
      </c>
      <c r="V317" s="1">
        <f t="shared" si="99"/>
        <v>6487.6712328767135</v>
      </c>
      <c r="W317" s="1">
        <f t="shared" si="100"/>
        <v>3000</v>
      </c>
    </row>
    <row r="318" spans="1:23" x14ac:dyDescent="0.25">
      <c r="A318" s="2">
        <f t="shared" si="101"/>
        <v>30.600000000000165</v>
      </c>
      <c r="B318" s="7">
        <f t="shared" si="104"/>
        <v>23.68</v>
      </c>
      <c r="C318" s="7">
        <f t="shared" si="88"/>
        <v>1.6774579039569188</v>
      </c>
      <c r="D318" s="7">
        <f t="shared" si="89"/>
        <v>2.3979714219068531</v>
      </c>
      <c r="E318" s="7">
        <f t="shared" si="90"/>
        <v>1</v>
      </c>
      <c r="G318" s="4">
        <f t="shared" si="91"/>
        <v>3060.0000000000164</v>
      </c>
      <c r="H318" s="1">
        <f t="shared" si="102"/>
        <v>1.5413851351350647</v>
      </c>
      <c r="I318" s="1">
        <f t="shared" si="103"/>
        <v>528.55043704111279</v>
      </c>
      <c r="J318" s="1">
        <f t="shared" si="92"/>
        <v>17.618347901370427</v>
      </c>
      <c r="K318" s="7">
        <f t="shared" si="93"/>
        <v>1.4480833891537337</v>
      </c>
      <c r="L318" s="4">
        <f t="shared" si="94"/>
        <v>6487.6712328767135</v>
      </c>
      <c r="M318" s="1">
        <f t="shared" si="95"/>
        <v>838.72895197845946</v>
      </c>
      <c r="N318" s="7">
        <f t="shared" si="96"/>
        <v>2.3979714219068531</v>
      </c>
      <c r="O318" s="1">
        <f t="shared" si="97"/>
        <v>3000</v>
      </c>
      <c r="P318" s="2">
        <f t="shared" si="98"/>
        <v>5.4413976939314859</v>
      </c>
      <c r="Q318" s="2">
        <f t="shared" si="105"/>
        <v>159.39474248445484</v>
      </c>
      <c r="S318" s="1">
        <f t="shared" si="86"/>
        <v>3000</v>
      </c>
      <c r="T318" s="1">
        <f t="shared" si="87"/>
        <v>6487.6712328767135</v>
      </c>
      <c r="V318" s="1">
        <f t="shared" si="99"/>
        <v>6487.6712328767135</v>
      </c>
      <c r="W318" s="1">
        <f t="shared" si="100"/>
        <v>3000</v>
      </c>
    </row>
    <row r="319" spans="1:23" x14ac:dyDescent="0.25">
      <c r="A319" s="2">
        <f t="shared" si="101"/>
        <v>30.700000000000166</v>
      </c>
      <c r="B319" s="7">
        <f t="shared" si="104"/>
        <v>23.68</v>
      </c>
      <c r="C319" s="7">
        <f t="shared" si="88"/>
        <v>1.6782062170434977</v>
      </c>
      <c r="D319" s="7">
        <f t="shared" si="89"/>
        <v>2.41252794857215</v>
      </c>
      <c r="E319" s="7">
        <f t="shared" si="90"/>
        <v>1</v>
      </c>
      <c r="G319" s="4">
        <f t="shared" si="91"/>
        <v>3070.0000000000168</v>
      </c>
      <c r="H319" s="1">
        <f t="shared" si="102"/>
        <v>1.541385135135205</v>
      </c>
      <c r="I319" s="1">
        <f t="shared" si="103"/>
        <v>530.091822176248</v>
      </c>
      <c r="J319" s="1">
        <f t="shared" si="92"/>
        <v>17.669727405874934</v>
      </c>
      <c r="K319" s="7">
        <f t="shared" si="93"/>
        <v>1.4523063621267069</v>
      </c>
      <c r="L319" s="4">
        <f t="shared" si="94"/>
        <v>6487.6712328767135</v>
      </c>
      <c r="M319" s="1">
        <f t="shared" si="95"/>
        <v>839.10310852174882</v>
      </c>
      <c r="N319" s="7">
        <f t="shared" si="96"/>
        <v>2.41252794857215</v>
      </c>
      <c r="O319" s="1">
        <f t="shared" si="97"/>
        <v>3000</v>
      </c>
      <c r="P319" s="2">
        <f t="shared" si="98"/>
        <v>5.4438250985739769</v>
      </c>
      <c r="Q319" s="2">
        <f t="shared" si="105"/>
        <v>160.38624468327544</v>
      </c>
      <c r="S319" s="1">
        <f t="shared" si="86"/>
        <v>3000</v>
      </c>
      <c r="T319" s="1">
        <f t="shared" si="87"/>
        <v>6487.6712328767135</v>
      </c>
      <c r="V319" s="1">
        <f t="shared" si="99"/>
        <v>6487.6712328767135</v>
      </c>
      <c r="W319" s="1">
        <f t="shared" si="100"/>
        <v>3000</v>
      </c>
    </row>
    <row r="320" spans="1:23" x14ac:dyDescent="0.25">
      <c r="A320" s="2">
        <f t="shared" si="101"/>
        <v>30.800000000000168</v>
      </c>
      <c r="B320" s="7">
        <f t="shared" si="104"/>
        <v>23.68</v>
      </c>
      <c r="C320" s="7">
        <f t="shared" si="88"/>
        <v>1.6789548639521499</v>
      </c>
      <c r="D320" s="7">
        <f t="shared" si="89"/>
        <v>2.4271728384542155</v>
      </c>
      <c r="E320" s="7">
        <f t="shared" si="90"/>
        <v>1</v>
      </c>
      <c r="G320" s="4">
        <f t="shared" si="91"/>
        <v>3080.0000000000164</v>
      </c>
      <c r="H320" s="1">
        <f t="shared" si="102"/>
        <v>1.5413851351350647</v>
      </c>
      <c r="I320" s="1">
        <f t="shared" si="103"/>
        <v>531.6332073113831</v>
      </c>
      <c r="J320" s="1">
        <f t="shared" si="92"/>
        <v>17.721106910379437</v>
      </c>
      <c r="K320" s="7">
        <f t="shared" si="93"/>
        <v>1.4565293350996797</v>
      </c>
      <c r="L320" s="4">
        <f t="shared" si="94"/>
        <v>6487.6712328767135</v>
      </c>
      <c r="M320" s="1">
        <f t="shared" si="95"/>
        <v>839.47743197607497</v>
      </c>
      <c r="N320" s="7">
        <f t="shared" si="96"/>
        <v>2.4271728384542155</v>
      </c>
      <c r="O320" s="1">
        <f t="shared" si="97"/>
        <v>3000</v>
      </c>
      <c r="P320" s="2">
        <f t="shared" si="98"/>
        <v>5.4462535860803998</v>
      </c>
      <c r="Q320" s="2">
        <f t="shared" si="105"/>
        <v>161.38406418406035</v>
      </c>
      <c r="S320" s="1">
        <f t="shared" si="86"/>
        <v>3000</v>
      </c>
      <c r="T320" s="1">
        <f t="shared" si="87"/>
        <v>6487.6712328767135</v>
      </c>
      <c r="V320" s="1">
        <f t="shared" si="99"/>
        <v>6487.6712328767135</v>
      </c>
      <c r="W320" s="1">
        <f t="shared" si="100"/>
        <v>3000</v>
      </c>
    </row>
    <row r="321" spans="1:23" x14ac:dyDescent="0.25">
      <c r="A321" s="2">
        <f t="shared" si="101"/>
        <v>30.900000000000169</v>
      </c>
      <c r="B321" s="7">
        <f t="shared" si="104"/>
        <v>23.68</v>
      </c>
      <c r="C321" s="7">
        <f t="shared" si="88"/>
        <v>1.6797038448317936</v>
      </c>
      <c r="D321" s="7">
        <f t="shared" si="89"/>
        <v>2.4419066279487329</v>
      </c>
      <c r="E321" s="7">
        <f t="shared" si="90"/>
        <v>1</v>
      </c>
      <c r="G321" s="4">
        <f t="shared" si="91"/>
        <v>3090.0000000000173</v>
      </c>
      <c r="H321" s="1">
        <f t="shared" si="102"/>
        <v>1.541385135135275</v>
      </c>
      <c r="I321" s="1">
        <f t="shared" si="103"/>
        <v>533.17459244651843</v>
      </c>
      <c r="J321" s="1">
        <f t="shared" si="92"/>
        <v>17.772486414883947</v>
      </c>
      <c r="K321" s="7">
        <f t="shared" si="93"/>
        <v>1.4607523080726532</v>
      </c>
      <c r="L321" s="4">
        <f t="shared" si="94"/>
        <v>6487.6712328767135</v>
      </c>
      <c r="M321" s="1">
        <f t="shared" si="95"/>
        <v>839.85192241589675</v>
      </c>
      <c r="N321" s="7">
        <f t="shared" si="96"/>
        <v>2.4419066279487329</v>
      </c>
      <c r="O321" s="1">
        <f t="shared" si="97"/>
        <v>3000</v>
      </c>
      <c r="P321" s="2">
        <f t="shared" si="98"/>
        <v>5.4486831569338188</v>
      </c>
      <c r="Q321" s="2">
        <f t="shared" si="105"/>
        <v>162.38824310656852</v>
      </c>
      <c r="S321" s="1">
        <f t="shared" si="86"/>
        <v>3000</v>
      </c>
      <c r="T321" s="1">
        <f t="shared" si="87"/>
        <v>6487.6712328767135</v>
      </c>
      <c r="V321" s="1">
        <f t="shared" si="99"/>
        <v>6487.6712328767135</v>
      </c>
      <c r="W321" s="1">
        <f t="shared" si="100"/>
        <v>3000</v>
      </c>
    </row>
    <row r="322" spans="1:23" x14ac:dyDescent="0.25">
      <c r="A322" s="2">
        <f t="shared" si="101"/>
        <v>31.000000000000171</v>
      </c>
      <c r="B322" s="7">
        <f t="shared" si="104"/>
        <v>23.68</v>
      </c>
      <c r="C322" s="7">
        <f t="shared" si="88"/>
        <v>1.6804531598314125</v>
      </c>
      <c r="D322" s="7">
        <f t="shared" si="89"/>
        <v>2.4567298567074967</v>
      </c>
      <c r="E322" s="7">
        <f t="shared" si="90"/>
        <v>1</v>
      </c>
      <c r="G322" s="4">
        <f t="shared" si="91"/>
        <v>3100.0000000000173</v>
      </c>
      <c r="H322" s="1">
        <f t="shared" si="102"/>
        <v>1.5413851351351349</v>
      </c>
      <c r="I322" s="1">
        <f t="shared" si="103"/>
        <v>534.71597758165353</v>
      </c>
      <c r="J322" s="1">
        <f t="shared" si="92"/>
        <v>17.823865919388449</v>
      </c>
      <c r="K322" s="7">
        <f t="shared" si="93"/>
        <v>1.464975281045626</v>
      </c>
      <c r="L322" s="4">
        <f t="shared" si="94"/>
        <v>6487.6712328767135</v>
      </c>
      <c r="M322" s="1">
        <f t="shared" si="95"/>
        <v>840.22657991570622</v>
      </c>
      <c r="N322" s="7">
        <f t="shared" si="96"/>
        <v>2.4567298567074967</v>
      </c>
      <c r="O322" s="1">
        <f t="shared" si="97"/>
        <v>3000</v>
      </c>
      <c r="P322" s="2">
        <f t="shared" si="98"/>
        <v>5.451113811617514</v>
      </c>
      <c r="Q322" s="2">
        <f t="shared" si="105"/>
        <v>163.39882387474535</v>
      </c>
      <c r="S322" s="1">
        <f t="shared" si="86"/>
        <v>3000</v>
      </c>
      <c r="T322" s="1">
        <f t="shared" si="87"/>
        <v>6487.6712328767135</v>
      </c>
      <c r="V322" s="1">
        <f t="shared" si="99"/>
        <v>6487.6712328767135</v>
      </c>
      <c r="W322" s="1">
        <f t="shared" si="100"/>
        <v>3000</v>
      </c>
    </row>
    <row r="323" spans="1:23" x14ac:dyDescent="0.25">
      <c r="A323" s="2">
        <f t="shared" si="101"/>
        <v>31.100000000000172</v>
      </c>
      <c r="B323" s="7">
        <f t="shared" si="104"/>
        <v>23.68</v>
      </c>
      <c r="C323" s="7">
        <f t="shared" si="88"/>
        <v>1.6812028091000577</v>
      </c>
      <c r="D323" s="7">
        <f t="shared" si="89"/>
        <v>2.4716430676581744</v>
      </c>
      <c r="E323" s="7">
        <f t="shared" si="90"/>
        <v>1</v>
      </c>
      <c r="G323" s="4">
        <f t="shared" si="91"/>
        <v>3110.0000000000173</v>
      </c>
      <c r="H323" s="1">
        <f t="shared" si="102"/>
        <v>1.5413851351351349</v>
      </c>
      <c r="I323" s="1">
        <f t="shared" si="103"/>
        <v>536.25736271678863</v>
      </c>
      <c r="J323" s="1">
        <f t="shared" si="92"/>
        <v>17.875245423892956</v>
      </c>
      <c r="K323" s="7">
        <f t="shared" si="93"/>
        <v>1.469198254018599</v>
      </c>
      <c r="L323" s="4">
        <f t="shared" si="94"/>
        <v>6487.6712328767135</v>
      </c>
      <c r="M323" s="1">
        <f t="shared" si="95"/>
        <v>840.60140455002886</v>
      </c>
      <c r="N323" s="7">
        <f t="shared" si="96"/>
        <v>2.4716430676581744</v>
      </c>
      <c r="O323" s="1">
        <f t="shared" si="97"/>
        <v>3000</v>
      </c>
      <c r="P323" s="2">
        <f t="shared" si="98"/>
        <v>5.453545550614983</v>
      </c>
      <c r="Q323" s="2">
        <f t="shared" si="105"/>
        <v>164.41584921920878</v>
      </c>
      <c r="S323" s="1">
        <f t="shared" si="86"/>
        <v>3000</v>
      </c>
      <c r="T323" s="1">
        <f t="shared" si="87"/>
        <v>6487.6712328767135</v>
      </c>
      <c r="V323" s="1">
        <f t="shared" si="99"/>
        <v>6487.6712328767135</v>
      </c>
      <c r="W323" s="1">
        <f t="shared" si="100"/>
        <v>3000</v>
      </c>
    </row>
    <row r="324" spans="1:23" x14ac:dyDescent="0.25">
      <c r="A324" s="2">
        <f t="shared" si="101"/>
        <v>31.200000000000173</v>
      </c>
      <c r="B324" s="7">
        <f t="shared" si="104"/>
        <v>23.68</v>
      </c>
      <c r="C324" s="7">
        <f t="shared" si="88"/>
        <v>1.6819527927868467</v>
      </c>
      <c r="D324" s="7">
        <f t="shared" si="89"/>
        <v>2.486646807024198</v>
      </c>
      <c r="E324" s="7">
        <f t="shared" si="90"/>
        <v>1</v>
      </c>
      <c r="G324" s="4">
        <f t="shared" si="91"/>
        <v>3120.0000000000168</v>
      </c>
      <c r="H324" s="1">
        <f t="shared" si="102"/>
        <v>1.5413851351350647</v>
      </c>
      <c r="I324" s="1">
        <f t="shared" si="103"/>
        <v>537.79874785192374</v>
      </c>
      <c r="J324" s="1">
        <f t="shared" si="92"/>
        <v>17.926624928397459</v>
      </c>
      <c r="K324" s="7">
        <f t="shared" si="93"/>
        <v>1.4734212269915719</v>
      </c>
      <c r="L324" s="4">
        <f t="shared" si="94"/>
        <v>6487.6712328767135</v>
      </c>
      <c r="M324" s="1">
        <f t="shared" si="95"/>
        <v>840.97639639342333</v>
      </c>
      <c r="N324" s="7">
        <f t="shared" si="96"/>
        <v>2.486646807024198</v>
      </c>
      <c r="O324" s="1">
        <f t="shared" si="97"/>
        <v>3000</v>
      </c>
      <c r="P324" s="2">
        <f t="shared" si="98"/>
        <v>5.4559783744099359</v>
      </c>
      <c r="Q324" s="2">
        <f t="shared" si="105"/>
        <v>165.43936217976045</v>
      </c>
      <c r="S324" s="1">
        <f t="shared" si="86"/>
        <v>3000</v>
      </c>
      <c r="T324" s="1">
        <f t="shared" si="87"/>
        <v>6487.6712328767135</v>
      </c>
      <c r="V324" s="1">
        <f t="shared" si="99"/>
        <v>6487.6712328767135</v>
      </c>
      <c r="W324" s="1">
        <f t="shared" si="100"/>
        <v>3000</v>
      </c>
    </row>
    <row r="325" spans="1:23" x14ac:dyDescent="0.25">
      <c r="A325" s="2">
        <f t="shared" si="101"/>
        <v>31.300000000000175</v>
      </c>
      <c r="B325" s="7">
        <f t="shared" si="104"/>
        <v>23.68</v>
      </c>
      <c r="C325" s="7">
        <f t="shared" si="88"/>
        <v>1.6827031110409625</v>
      </c>
      <c r="D325" s="7">
        <f t="shared" si="89"/>
        <v>2.5017416243447652</v>
      </c>
      <c r="E325" s="7">
        <f t="shared" si="90"/>
        <v>1</v>
      </c>
      <c r="G325" s="4">
        <f t="shared" si="91"/>
        <v>3130.0000000000173</v>
      </c>
      <c r="H325" s="1">
        <f t="shared" si="102"/>
        <v>1.541385135135205</v>
      </c>
      <c r="I325" s="1">
        <f t="shared" si="103"/>
        <v>539.34013298705895</v>
      </c>
      <c r="J325" s="1">
        <f t="shared" si="92"/>
        <v>17.978004432901965</v>
      </c>
      <c r="K325" s="7">
        <f t="shared" si="93"/>
        <v>1.4776441999645451</v>
      </c>
      <c r="L325" s="4">
        <f t="shared" si="94"/>
        <v>6487.6712328767135</v>
      </c>
      <c r="M325" s="1">
        <f t="shared" si="95"/>
        <v>841.35155552048127</v>
      </c>
      <c r="N325" s="7">
        <f t="shared" si="96"/>
        <v>2.5017416243447652</v>
      </c>
      <c r="O325" s="1">
        <f t="shared" si="97"/>
        <v>3000</v>
      </c>
      <c r="P325" s="2">
        <f t="shared" si="98"/>
        <v>5.4584122834863011</v>
      </c>
      <c r="Q325" s="2">
        <f t="shared" si="105"/>
        <v>166.4694061079193</v>
      </c>
      <c r="S325" s="1">
        <f t="shared" si="86"/>
        <v>3000</v>
      </c>
      <c r="T325" s="1">
        <f t="shared" si="87"/>
        <v>6487.6712328767135</v>
      </c>
      <c r="V325" s="1">
        <f t="shared" si="99"/>
        <v>6487.6712328767135</v>
      </c>
      <c r="W325" s="1">
        <f t="shared" si="100"/>
        <v>3000</v>
      </c>
    </row>
    <row r="326" spans="1:23" x14ac:dyDescent="0.25">
      <c r="A326" s="2">
        <f t="shared" si="101"/>
        <v>31.400000000000176</v>
      </c>
      <c r="B326" s="7">
        <f t="shared" si="104"/>
        <v>23.68</v>
      </c>
      <c r="C326" s="7">
        <f t="shared" si="88"/>
        <v>1.6834537640116563</v>
      </c>
      <c r="D326" s="7">
        <f t="shared" si="89"/>
        <v>2.5169280724949692</v>
      </c>
      <c r="E326" s="7">
        <f t="shared" si="90"/>
        <v>1</v>
      </c>
      <c r="G326" s="4">
        <f t="shared" si="91"/>
        <v>3140.0000000000177</v>
      </c>
      <c r="H326" s="1">
        <f t="shared" si="102"/>
        <v>1.541385135135205</v>
      </c>
      <c r="I326" s="1">
        <f t="shared" si="103"/>
        <v>540.88151812219417</v>
      </c>
      <c r="J326" s="1">
        <f t="shared" si="92"/>
        <v>18.029383937406472</v>
      </c>
      <c r="K326" s="7">
        <f t="shared" si="93"/>
        <v>1.4818671729375184</v>
      </c>
      <c r="L326" s="4">
        <f t="shared" si="94"/>
        <v>6487.6712328767135</v>
      </c>
      <c r="M326" s="1">
        <f t="shared" si="95"/>
        <v>841.72688200582809</v>
      </c>
      <c r="N326" s="7">
        <f t="shared" si="96"/>
        <v>2.5169280724949692</v>
      </c>
      <c r="O326" s="1">
        <f t="shared" si="97"/>
        <v>3000</v>
      </c>
      <c r="P326" s="2">
        <f t="shared" si="98"/>
        <v>5.460847278328222</v>
      </c>
      <c r="Q326" s="2">
        <f t="shared" si="105"/>
        <v>167.50602466948098</v>
      </c>
      <c r="S326" s="1">
        <f t="shared" si="86"/>
        <v>3000</v>
      </c>
      <c r="T326" s="1">
        <f t="shared" si="87"/>
        <v>6487.6712328767135</v>
      </c>
      <c r="V326" s="1">
        <f t="shared" si="99"/>
        <v>6487.6712328767135</v>
      </c>
      <c r="W326" s="1">
        <f t="shared" si="100"/>
        <v>3000</v>
      </c>
    </row>
    <row r="327" spans="1:23" x14ac:dyDescent="0.25">
      <c r="A327" s="2">
        <f t="shared" si="101"/>
        <v>31.500000000000178</v>
      </c>
      <c r="B327" s="7">
        <f t="shared" si="104"/>
        <v>23.68</v>
      </c>
      <c r="C327" s="7">
        <f t="shared" si="88"/>
        <v>1.6842047518482444</v>
      </c>
      <c r="D327" s="7">
        <f t="shared" si="89"/>
        <v>2.5322067077060484</v>
      </c>
      <c r="E327" s="7">
        <f t="shared" si="90"/>
        <v>1</v>
      </c>
      <c r="G327" s="4">
        <f t="shared" si="91"/>
        <v>3150.0000000000177</v>
      </c>
      <c r="H327" s="1">
        <f t="shared" si="102"/>
        <v>1.5413851351351349</v>
      </c>
      <c r="I327" s="1">
        <f t="shared" si="103"/>
        <v>542.42290325732927</v>
      </c>
      <c r="J327" s="1">
        <f t="shared" si="92"/>
        <v>18.080763441910975</v>
      </c>
      <c r="K327" s="7">
        <f t="shared" si="93"/>
        <v>1.4860901459104912</v>
      </c>
      <c r="L327" s="4">
        <f t="shared" si="94"/>
        <v>6487.6712328767135</v>
      </c>
      <c r="M327" s="1">
        <f t="shared" si="95"/>
        <v>842.10237592412216</v>
      </c>
      <c r="N327" s="7">
        <f t="shared" si="96"/>
        <v>2.5322067077060484</v>
      </c>
      <c r="O327" s="1">
        <f t="shared" si="97"/>
        <v>3000</v>
      </c>
      <c r="P327" s="2">
        <f t="shared" si="98"/>
        <v>5.4632833594200596</v>
      </c>
      <c r="Q327" s="2">
        <f t="shared" si="105"/>
        <v>168.54926184710118</v>
      </c>
      <c r="S327" s="1">
        <f t="shared" si="86"/>
        <v>3000</v>
      </c>
      <c r="T327" s="1">
        <f t="shared" si="87"/>
        <v>6487.6712328767135</v>
      </c>
      <c r="V327" s="1">
        <f t="shared" si="99"/>
        <v>6487.6712328767135</v>
      </c>
      <c r="W327" s="1">
        <f t="shared" si="100"/>
        <v>3000</v>
      </c>
    </row>
    <row r="328" spans="1:23" x14ac:dyDescent="0.25">
      <c r="A328" s="2">
        <f t="shared" si="101"/>
        <v>31.600000000000179</v>
      </c>
      <c r="B328" s="7">
        <f t="shared" si="104"/>
        <v>23.68</v>
      </c>
      <c r="C328" s="7">
        <f t="shared" si="88"/>
        <v>1.6849560747001107</v>
      </c>
      <c r="D328" s="7">
        <f t="shared" si="89"/>
        <v>2.5475780895857616</v>
      </c>
      <c r="E328" s="7">
        <f t="shared" si="90"/>
        <v>1</v>
      </c>
      <c r="G328" s="4">
        <f t="shared" si="91"/>
        <v>3160.0000000000177</v>
      </c>
      <c r="H328" s="1">
        <f t="shared" si="102"/>
        <v>1.5413851351351349</v>
      </c>
      <c r="I328" s="1">
        <f t="shared" si="103"/>
        <v>543.96428839246437</v>
      </c>
      <c r="J328" s="1">
        <f t="shared" si="92"/>
        <v>18.132142946415478</v>
      </c>
      <c r="K328" s="7">
        <f t="shared" si="93"/>
        <v>1.490313118883464</v>
      </c>
      <c r="L328" s="4">
        <f t="shared" si="94"/>
        <v>6487.6712328767135</v>
      </c>
      <c r="M328" s="1">
        <f t="shared" si="95"/>
        <v>842.47803735005527</v>
      </c>
      <c r="N328" s="7">
        <f t="shared" si="96"/>
        <v>2.5475780895857616</v>
      </c>
      <c r="O328" s="1">
        <f t="shared" si="97"/>
        <v>3000</v>
      </c>
      <c r="P328" s="2">
        <f t="shared" si="98"/>
        <v>5.4657205272463871</v>
      </c>
      <c r="Q328" s="2">
        <f t="shared" si="105"/>
        <v>169.59916194290412</v>
      </c>
      <c r="S328" s="1">
        <f t="shared" si="86"/>
        <v>3000</v>
      </c>
      <c r="T328" s="1">
        <f t="shared" si="87"/>
        <v>6487.6712328767135</v>
      </c>
      <c r="V328" s="1">
        <f t="shared" si="99"/>
        <v>6487.6712328767135</v>
      </c>
      <c r="W328" s="1">
        <f t="shared" si="100"/>
        <v>3000</v>
      </c>
    </row>
    <row r="329" spans="1:23" x14ac:dyDescent="0.25">
      <c r="A329" s="2">
        <f t="shared" si="101"/>
        <v>31.70000000000018</v>
      </c>
      <c r="B329" s="7">
        <f t="shared" si="104"/>
        <v>23.68</v>
      </c>
      <c r="C329" s="7">
        <f t="shared" si="88"/>
        <v>1.6857077327167047</v>
      </c>
      <c r="D329" s="7">
        <f t="shared" si="89"/>
        <v>2.5630427811388792</v>
      </c>
      <c r="E329" s="7">
        <f t="shared" si="90"/>
        <v>1</v>
      </c>
      <c r="G329" s="4">
        <f t="shared" si="91"/>
        <v>3170.0000000000177</v>
      </c>
      <c r="H329" s="1">
        <f t="shared" si="102"/>
        <v>1.5413851351351349</v>
      </c>
      <c r="I329" s="1">
        <f t="shared" si="103"/>
        <v>545.50567352759947</v>
      </c>
      <c r="J329" s="1">
        <f t="shared" si="92"/>
        <v>18.183522450919984</v>
      </c>
      <c r="K329" s="7">
        <f t="shared" si="93"/>
        <v>1.494536091856437</v>
      </c>
      <c r="L329" s="4">
        <f t="shared" si="94"/>
        <v>6487.6712328767135</v>
      </c>
      <c r="M329" s="1">
        <f t="shared" si="95"/>
        <v>842.85386635835232</v>
      </c>
      <c r="N329" s="7">
        <f t="shared" si="96"/>
        <v>2.5630427811388792</v>
      </c>
      <c r="O329" s="1">
        <f t="shared" si="97"/>
        <v>3000</v>
      </c>
      <c r="P329" s="2">
        <f t="shared" si="98"/>
        <v>5.4681587822919964</v>
      </c>
      <c r="Q329" s="2">
        <f t="shared" si="105"/>
        <v>170.65576958111612</v>
      </c>
      <c r="S329" s="1">
        <f t="shared" si="86"/>
        <v>3000</v>
      </c>
      <c r="T329" s="1">
        <f t="shared" si="87"/>
        <v>6487.6712328767135</v>
      </c>
      <c r="V329" s="1">
        <f t="shared" si="99"/>
        <v>6487.6712328767135</v>
      </c>
      <c r="W329" s="1">
        <f t="shared" si="100"/>
        <v>3000</v>
      </c>
    </row>
    <row r="330" spans="1:23" x14ac:dyDescent="0.25">
      <c r="A330" s="2">
        <f t="shared" si="101"/>
        <v>31.800000000000182</v>
      </c>
      <c r="B330" s="7">
        <f t="shared" si="104"/>
        <v>23.68</v>
      </c>
      <c r="C330" s="7">
        <f t="shared" si="88"/>
        <v>1.686459726047544</v>
      </c>
      <c r="D330" s="7">
        <f t="shared" si="89"/>
        <v>2.5786013487878128</v>
      </c>
      <c r="E330" s="7">
        <f t="shared" si="90"/>
        <v>1</v>
      </c>
      <c r="G330" s="4">
        <f t="shared" si="91"/>
        <v>3180.0000000000182</v>
      </c>
      <c r="H330" s="1">
        <f t="shared" si="102"/>
        <v>1.541385135135205</v>
      </c>
      <c r="I330" s="1">
        <f t="shared" si="103"/>
        <v>547.04705866273468</v>
      </c>
      <c r="J330" s="1">
        <f t="shared" si="92"/>
        <v>18.23490195542449</v>
      </c>
      <c r="K330" s="7">
        <f t="shared" si="93"/>
        <v>1.49875906482941</v>
      </c>
      <c r="L330" s="4">
        <f t="shared" si="94"/>
        <v>6487.6712328767135</v>
      </c>
      <c r="M330" s="1">
        <f t="shared" si="95"/>
        <v>843.22986302377205</v>
      </c>
      <c r="N330" s="7">
        <f t="shared" si="96"/>
        <v>2.5786013487878128</v>
      </c>
      <c r="O330" s="1">
        <f t="shared" si="97"/>
        <v>3000</v>
      </c>
      <c r="P330" s="2">
        <f t="shared" si="98"/>
        <v>5.4705981250418976</v>
      </c>
      <c r="Q330" s="2">
        <f t="shared" si="105"/>
        <v>171.7191297107253</v>
      </c>
      <c r="S330" s="1">
        <f t="shared" si="86"/>
        <v>3000</v>
      </c>
      <c r="T330" s="1">
        <f t="shared" si="87"/>
        <v>6487.6712328767135</v>
      </c>
      <c r="V330" s="1">
        <f t="shared" si="99"/>
        <v>6487.6712328767135</v>
      </c>
      <c r="W330" s="1">
        <f t="shared" si="100"/>
        <v>3000</v>
      </c>
    </row>
    <row r="331" spans="1:23" x14ac:dyDescent="0.25">
      <c r="A331" s="2">
        <f t="shared" si="101"/>
        <v>31.900000000000183</v>
      </c>
      <c r="B331" s="7">
        <f t="shared" si="104"/>
        <v>23.68</v>
      </c>
      <c r="C331" s="7">
        <f t="shared" si="88"/>
        <v>1.6872120548422116</v>
      </c>
      <c r="D331" s="7">
        <f t="shared" si="89"/>
        <v>2.5942543623933521</v>
      </c>
      <c r="E331" s="7">
        <f t="shared" si="90"/>
        <v>1</v>
      </c>
      <c r="G331" s="4">
        <f t="shared" si="91"/>
        <v>3190.0000000000182</v>
      </c>
      <c r="H331" s="1">
        <f t="shared" si="102"/>
        <v>1.5413851351351349</v>
      </c>
      <c r="I331" s="1">
        <f t="shared" si="103"/>
        <v>548.58844379786979</v>
      </c>
      <c r="J331" s="1">
        <f t="shared" si="92"/>
        <v>18.286281459928993</v>
      </c>
      <c r="K331" s="7">
        <f t="shared" si="93"/>
        <v>1.502982037802383</v>
      </c>
      <c r="L331" s="4">
        <f t="shared" si="94"/>
        <v>6487.6712328767135</v>
      </c>
      <c r="M331" s="1">
        <f t="shared" si="95"/>
        <v>843.60602742110575</v>
      </c>
      <c r="N331" s="7">
        <f t="shared" si="96"/>
        <v>2.5942543623933521</v>
      </c>
      <c r="O331" s="1">
        <f t="shared" si="97"/>
        <v>3000</v>
      </c>
      <c r="P331" s="2">
        <f t="shared" si="98"/>
        <v>5.4730385559813115</v>
      </c>
      <c r="Q331" s="2">
        <f t="shared" si="105"/>
        <v>172.78928760816598</v>
      </c>
      <c r="S331" s="1">
        <f t="shared" si="86"/>
        <v>3000</v>
      </c>
      <c r="T331" s="1">
        <f t="shared" si="87"/>
        <v>6487.6712328767135</v>
      </c>
      <c r="V331" s="1">
        <f t="shared" si="99"/>
        <v>6487.6712328767135</v>
      </c>
      <c r="W331" s="1">
        <f t="shared" si="100"/>
        <v>3000</v>
      </c>
    </row>
    <row r="332" spans="1:23" x14ac:dyDescent="0.25">
      <c r="A332" s="2">
        <f t="shared" si="101"/>
        <v>32.000000000000185</v>
      </c>
      <c r="B332" s="7">
        <f t="shared" si="104"/>
        <v>23.68</v>
      </c>
      <c r="C332" s="7">
        <f t="shared" si="88"/>
        <v>1.6879647192503577</v>
      </c>
      <c r="D332" s="7">
        <f t="shared" si="89"/>
        <v>2.6100023952755422</v>
      </c>
      <c r="E332" s="7">
        <f t="shared" si="90"/>
        <v>1</v>
      </c>
      <c r="G332" s="4">
        <f t="shared" si="91"/>
        <v>3200.0000000000182</v>
      </c>
      <c r="H332" s="1">
        <f t="shared" si="102"/>
        <v>1.5413851351351349</v>
      </c>
      <c r="I332" s="1">
        <f t="shared" si="103"/>
        <v>550.12982893300489</v>
      </c>
      <c r="J332" s="1">
        <f t="shared" si="92"/>
        <v>18.337660964433496</v>
      </c>
      <c r="K332" s="7">
        <f t="shared" si="93"/>
        <v>1.5072050107753558</v>
      </c>
      <c r="L332" s="4">
        <f t="shared" si="94"/>
        <v>6487.6712328767135</v>
      </c>
      <c r="M332" s="1">
        <f t="shared" si="95"/>
        <v>843.9823596251789</v>
      </c>
      <c r="N332" s="7">
        <f t="shared" si="96"/>
        <v>2.6100023952755422</v>
      </c>
      <c r="O332" s="1">
        <f t="shared" si="97"/>
        <v>3000</v>
      </c>
      <c r="P332" s="2">
        <f t="shared" si="98"/>
        <v>5.4754800755956827</v>
      </c>
      <c r="Q332" s="2">
        <f t="shared" si="105"/>
        <v>173.86628888003003</v>
      </c>
      <c r="S332" s="1">
        <f t="shared" ref="S332:S395" si="106">E332*$H$3</f>
        <v>3000</v>
      </c>
      <c r="T332" s="1">
        <f t="shared" ref="T332:T395" si="107">B332/100*$H$2/365*1000000</f>
        <v>6487.6712328767135</v>
      </c>
      <c r="V332" s="1">
        <f t="shared" si="99"/>
        <v>6487.6712328767135</v>
      </c>
      <c r="W332" s="1">
        <f t="shared" si="100"/>
        <v>3000</v>
      </c>
    </row>
    <row r="333" spans="1:23" x14ac:dyDescent="0.25">
      <c r="A333" s="2">
        <f t="shared" si="101"/>
        <v>32.100000000000186</v>
      </c>
      <c r="B333" s="7">
        <f t="shared" si="104"/>
        <v>23.68</v>
      </c>
      <c r="C333" s="7">
        <f t="shared" ref="C333:C396" si="108">IF($C$5&lt;$C$7,IF(A333&lt;=$C$2,$C$3*EXP(A333*$C$4),IF(A333&lt;=$C$7,$C$6,IF($C$8*EXP(A333*$C$9)&gt;$C$6,$C$6,$C$8*EXP(A333*$C$9)))),IF(A333&lt;=$C$2,$C$3*EXP(A333*$C$4),IF(A333&lt;=$C$5,$C$6,IF($C$8*EXP(A333*$C$9)&gt;$C$6,$C$6,$C$8*EXP(A333*$C$9)))))</f>
        <v>1.6887177194216996</v>
      </c>
      <c r="D333" s="7">
        <f t="shared" ref="D333:D396" si="109">IF(IF($D$5&lt;$D$7,IF(A333&lt;=$D$2,$D$3*EXP(A333*$D$4),IF(A333&lt;=$D$7,$D$6,IF($D$8*EXP(A333*$D$9)&gt;$D$6,$D$6,$D$8*EXP(A333*$D$9)))),IF(A333&lt;=$D$2,$D$3*EXP(A333*$D$4),IF(A333&lt;=$D$5,$D$6,IF($D$8*EXP(A333*$D$9)&gt;$D$6,$D$6,$D$8*EXP(A333*$D$9)))))&lt;=100,IF($D$5&lt;$D$7,IF(A333&lt;=$D$2,$D$3*EXP(A333*$D$4),IF(A333&lt;=$D$7,$D$6,IF($D$8*EXP(A333*$D$9)&gt;$D$6,$D$6,$D$8*EXP(A333*$D$9)))),IF(A333&lt;=$D$2,$D$3*EXP(A333*$D$4),IF(A333&lt;=$D$5,$D$6,IF($D$8*EXP(A333*$D$9)&gt;$D$6,$D$6,$D$8*EXP(A333*$D$9))))),100)</f>
        <v>2.6258460242346846</v>
      </c>
      <c r="E333" s="7">
        <f t="shared" ref="E333:E396" si="110">IF($E$5&lt;$E$7,IF(A333&lt;=$E$2,$E$3*EXP(A333*$E$4),IF(A333&lt;=$E$7,$E$6,IF($E$8*EXP(A333*$E$9)&gt;$E$6,$E$6,$E$8*EXP(A333*$E$9)))),IF(A333&lt;=$E$2,$E$3*EXP(A333*$E$4),IF(A333&lt;=$E$5,$E$6,IF($E$8*EXP(A333*$E$9)&gt;$E$6,$E$6,$E$8*EXP(A333*$E$9)))))</f>
        <v>1</v>
      </c>
      <c r="G333" s="4">
        <f t="shared" ref="G333:G396" si="111">A333/100*$H$2*1000</f>
        <v>3210.0000000000186</v>
      </c>
      <c r="H333" s="1">
        <f t="shared" si="102"/>
        <v>1.541385135135205</v>
      </c>
      <c r="I333" s="1">
        <f t="shared" si="103"/>
        <v>551.6712140681401</v>
      </c>
      <c r="J333" s="1">
        <f t="shared" ref="J333:J396" si="112">I333/30</f>
        <v>18.389040468938003</v>
      </c>
      <c r="K333" s="7">
        <f t="shared" ref="K333:K396" si="113">I333/365</f>
        <v>1.5114279837483291</v>
      </c>
      <c r="L333" s="4">
        <f t="shared" ref="L333:L396" si="114">IF(A333&gt;$B$2,IF(AND(B333/100*$H$2/365*1000000&gt;=$H$5,O333&gt;=$H$6,M333&lt;=$L$4,N333&lt;=$L$5),B333/100*$H$2/365*1000000*$L$6/100,#N/A),B333/100*$H$2/365*1000000*$L$6/100)</f>
        <v>6487.6712328767135</v>
      </c>
      <c r="M333" s="1">
        <f t="shared" ref="M333:M396" si="115">C333*$H$4</f>
        <v>844.35885971084974</v>
      </c>
      <c r="N333" s="7">
        <f t="shared" ref="N333:N396" si="116">D333</f>
        <v>2.6258460242346846</v>
      </c>
      <c r="O333" s="1">
        <f t="shared" ref="O333:O396" si="117">E333*$H$3</f>
        <v>3000</v>
      </c>
      <c r="P333" s="2">
        <f t="shared" ref="P333:P396" si="118">L333*M333/1000000</f>
        <v>5.4779226843706645</v>
      </c>
      <c r="Q333" s="2">
        <f t="shared" si="105"/>
        <v>174.95017946580481</v>
      </c>
      <c r="S333" s="1">
        <f t="shared" si="106"/>
        <v>3000</v>
      </c>
      <c r="T333" s="1">
        <f t="shared" si="107"/>
        <v>6487.6712328767135</v>
      </c>
      <c r="V333" s="1">
        <f t="shared" ref="V333:V396" si="119">T333</f>
        <v>6487.6712328767135</v>
      </c>
      <c r="W333" s="1">
        <f t="shared" ref="W333:W396" si="120">S333</f>
        <v>3000</v>
      </c>
    </row>
    <row r="334" spans="1:23" x14ac:dyDescent="0.25">
      <c r="A334" s="2">
        <f t="shared" ref="A334:A397" si="121">A333+0.1</f>
        <v>32.200000000000188</v>
      </c>
      <c r="B334" s="7">
        <f t="shared" si="104"/>
        <v>23.68</v>
      </c>
      <c r="C334" s="7">
        <f t="shared" si="108"/>
        <v>1.6894710555060211</v>
      </c>
      <c r="D334" s="7">
        <f t="shared" si="109"/>
        <v>2.6417858295724574</v>
      </c>
      <c r="E334" s="7">
        <f t="shared" si="110"/>
        <v>1</v>
      </c>
      <c r="G334" s="4">
        <f t="shared" si="111"/>
        <v>3220.0000000000186</v>
      </c>
      <c r="H334" s="1">
        <f t="shared" ref="H334:H397" si="122">(G334-G333)*1000/L334</f>
        <v>1.5413851351351349</v>
      </c>
      <c r="I334" s="1">
        <f t="shared" ref="I334:I397" si="123">H334+I333</f>
        <v>553.2125992032752</v>
      </c>
      <c r="J334" s="1">
        <f t="shared" si="112"/>
        <v>18.440419973442506</v>
      </c>
      <c r="K334" s="7">
        <f t="shared" si="113"/>
        <v>1.5156509567213019</v>
      </c>
      <c r="L334" s="4">
        <f t="shared" si="114"/>
        <v>6487.6712328767135</v>
      </c>
      <c r="M334" s="1">
        <f t="shared" si="115"/>
        <v>844.7355277530105</v>
      </c>
      <c r="N334" s="7">
        <f t="shared" si="116"/>
        <v>2.6417858295724574</v>
      </c>
      <c r="O334" s="1">
        <f t="shared" si="117"/>
        <v>3000</v>
      </c>
      <c r="P334" s="2">
        <f t="shared" si="118"/>
        <v>5.4803663827921349</v>
      </c>
      <c r="Q334" s="2">
        <f t="shared" si="105"/>
        <v>176.041005640637</v>
      </c>
      <c r="S334" s="1">
        <f t="shared" si="106"/>
        <v>3000</v>
      </c>
      <c r="T334" s="1">
        <f t="shared" si="107"/>
        <v>6487.6712328767135</v>
      </c>
      <c r="V334" s="1">
        <f t="shared" si="119"/>
        <v>6487.6712328767135</v>
      </c>
      <c r="W334" s="1">
        <f t="shared" si="120"/>
        <v>3000</v>
      </c>
    </row>
    <row r="335" spans="1:23" x14ac:dyDescent="0.25">
      <c r="A335" s="2">
        <f t="shared" si="121"/>
        <v>32.300000000000189</v>
      </c>
      <c r="B335" s="7">
        <f t="shared" si="104"/>
        <v>23.68</v>
      </c>
      <c r="C335" s="7">
        <f t="shared" si="108"/>
        <v>1.6902247276531723</v>
      </c>
      <c r="D335" s="7">
        <f t="shared" si="109"/>
        <v>2.6578223951131741</v>
      </c>
      <c r="E335" s="7">
        <f t="shared" si="110"/>
        <v>1</v>
      </c>
      <c r="G335" s="4">
        <f t="shared" si="111"/>
        <v>3230.0000000000191</v>
      </c>
      <c r="H335" s="1">
        <f t="shared" si="122"/>
        <v>1.541385135135205</v>
      </c>
      <c r="I335" s="1">
        <f t="shared" si="123"/>
        <v>554.75398433841042</v>
      </c>
      <c r="J335" s="1">
        <f t="shared" si="112"/>
        <v>18.491799477947016</v>
      </c>
      <c r="K335" s="7">
        <f t="shared" si="113"/>
        <v>1.5198739296942751</v>
      </c>
      <c r="L335" s="4">
        <f t="shared" si="114"/>
        <v>6487.6712328767135</v>
      </c>
      <c r="M335" s="1">
        <f t="shared" si="115"/>
        <v>845.11236382658615</v>
      </c>
      <c r="N335" s="7">
        <f t="shared" si="116"/>
        <v>2.6578223951131741</v>
      </c>
      <c r="O335" s="1">
        <f t="shared" si="117"/>
        <v>3000</v>
      </c>
      <c r="P335" s="2">
        <f t="shared" si="118"/>
        <v>5.4828111713461816</v>
      </c>
      <c r="Q335" s="2">
        <f t="shared" si="105"/>
        <v>177.13881401812384</v>
      </c>
      <c r="S335" s="1">
        <f t="shared" si="106"/>
        <v>3000</v>
      </c>
      <c r="T335" s="1">
        <f t="shared" si="107"/>
        <v>6487.6712328767135</v>
      </c>
      <c r="V335" s="1">
        <f t="shared" si="119"/>
        <v>6487.6712328767135</v>
      </c>
      <c r="W335" s="1">
        <f t="shared" si="120"/>
        <v>3000</v>
      </c>
    </row>
    <row r="336" spans="1:23" x14ac:dyDescent="0.25">
      <c r="A336" s="2">
        <f t="shared" si="121"/>
        <v>32.40000000000019</v>
      </c>
      <c r="B336" s="7">
        <f t="shared" si="104"/>
        <v>23.68</v>
      </c>
      <c r="C336" s="7">
        <f t="shared" si="108"/>
        <v>1.6909787360130715</v>
      </c>
      <c r="D336" s="7">
        <f t="shared" si="109"/>
        <v>2.6739563082251681</v>
      </c>
      <c r="E336" s="7">
        <f t="shared" si="110"/>
        <v>1</v>
      </c>
      <c r="G336" s="4">
        <f t="shared" si="111"/>
        <v>3240.0000000000186</v>
      </c>
      <c r="H336" s="1">
        <f t="shared" si="122"/>
        <v>1.5413851351350647</v>
      </c>
      <c r="I336" s="1">
        <f t="shared" si="123"/>
        <v>556.29536947354552</v>
      </c>
      <c r="J336" s="1">
        <f t="shared" si="112"/>
        <v>18.543178982451519</v>
      </c>
      <c r="K336" s="7">
        <f t="shared" si="113"/>
        <v>1.524096902667248</v>
      </c>
      <c r="L336" s="4">
        <f t="shared" si="114"/>
        <v>6487.6712328767135</v>
      </c>
      <c r="M336" s="1">
        <f t="shared" si="115"/>
        <v>845.48936800653576</v>
      </c>
      <c r="N336" s="7">
        <f t="shared" si="116"/>
        <v>2.6739563082251681</v>
      </c>
      <c r="O336" s="1">
        <f t="shared" si="117"/>
        <v>3000</v>
      </c>
      <c r="P336" s="2">
        <f t="shared" si="118"/>
        <v>5.4852570505191149</v>
      </c>
      <c r="Q336" s="2">
        <f t="shared" si="105"/>
        <v>178.24365155313228</v>
      </c>
      <c r="S336" s="1">
        <f t="shared" si="106"/>
        <v>3000</v>
      </c>
      <c r="T336" s="1">
        <f t="shared" si="107"/>
        <v>6487.6712328767135</v>
      </c>
      <c r="V336" s="1">
        <f t="shared" si="119"/>
        <v>6487.6712328767135</v>
      </c>
      <c r="W336" s="1">
        <f t="shared" si="120"/>
        <v>3000</v>
      </c>
    </row>
    <row r="337" spans="1:23" x14ac:dyDescent="0.25">
      <c r="A337" s="2">
        <f t="shared" si="121"/>
        <v>32.500000000000192</v>
      </c>
      <c r="B337" s="7">
        <f t="shared" si="104"/>
        <v>23.68</v>
      </c>
      <c r="C337" s="7">
        <f t="shared" si="108"/>
        <v>1.6917330807357018</v>
      </c>
      <c r="D337" s="7">
        <f t="shared" si="109"/>
        <v>2.6901881598423016</v>
      </c>
      <c r="E337" s="7">
        <f t="shared" si="110"/>
        <v>1</v>
      </c>
      <c r="G337" s="4">
        <f t="shared" si="111"/>
        <v>3250.0000000000191</v>
      </c>
      <c r="H337" s="1">
        <f t="shared" si="122"/>
        <v>1.541385135135205</v>
      </c>
      <c r="I337" s="1">
        <f t="shared" si="123"/>
        <v>557.83675460868074</v>
      </c>
      <c r="J337" s="1">
        <f t="shared" si="112"/>
        <v>18.594558486956025</v>
      </c>
      <c r="K337" s="7">
        <f t="shared" si="113"/>
        <v>1.5283198756402212</v>
      </c>
      <c r="L337" s="4">
        <f t="shared" si="114"/>
        <v>6487.6712328767135</v>
      </c>
      <c r="M337" s="1">
        <f t="shared" si="115"/>
        <v>845.86654036785092</v>
      </c>
      <c r="N337" s="7">
        <f t="shared" si="116"/>
        <v>2.6901881598423016</v>
      </c>
      <c r="O337" s="1">
        <f t="shared" si="117"/>
        <v>3000</v>
      </c>
      <c r="P337" s="2">
        <f t="shared" si="118"/>
        <v>5.4877040207974561</v>
      </c>
      <c r="Q337" s="2">
        <f t="shared" si="105"/>
        <v>179.35556554464463</v>
      </c>
      <c r="S337" s="1">
        <f t="shared" si="106"/>
        <v>3000</v>
      </c>
      <c r="T337" s="1">
        <f t="shared" si="107"/>
        <v>6487.6712328767135</v>
      </c>
      <c r="V337" s="1">
        <f t="shared" si="119"/>
        <v>6487.6712328767135</v>
      </c>
      <c r="W337" s="1">
        <f t="shared" si="120"/>
        <v>3000</v>
      </c>
    </row>
    <row r="338" spans="1:23" x14ac:dyDescent="0.25">
      <c r="A338" s="2">
        <f t="shared" si="121"/>
        <v>32.600000000000193</v>
      </c>
      <c r="B338" s="7">
        <f t="shared" si="104"/>
        <v>23.68</v>
      </c>
      <c r="C338" s="7">
        <f t="shared" si="108"/>
        <v>1.6924877619711158</v>
      </c>
      <c r="D338" s="7">
        <f t="shared" si="109"/>
        <v>2.7065185444856152</v>
      </c>
      <c r="E338" s="7">
        <f t="shared" si="110"/>
        <v>1</v>
      </c>
      <c r="G338" s="4">
        <f t="shared" si="111"/>
        <v>3260.0000000000191</v>
      </c>
      <c r="H338" s="1">
        <f t="shared" si="122"/>
        <v>1.5413851351351349</v>
      </c>
      <c r="I338" s="1">
        <f t="shared" si="123"/>
        <v>559.37813974381584</v>
      </c>
      <c r="J338" s="1">
        <f t="shared" si="112"/>
        <v>18.645937991460528</v>
      </c>
      <c r="K338" s="7">
        <f t="shared" si="113"/>
        <v>1.532542848613194</v>
      </c>
      <c r="L338" s="4">
        <f t="shared" si="114"/>
        <v>6487.6712328767135</v>
      </c>
      <c r="M338" s="1">
        <f t="shared" si="115"/>
        <v>846.24388098555789</v>
      </c>
      <c r="N338" s="7">
        <f t="shared" si="116"/>
        <v>2.7065185444856152</v>
      </c>
      <c r="O338" s="1">
        <f t="shared" si="117"/>
        <v>3000</v>
      </c>
      <c r="P338" s="2">
        <f t="shared" si="118"/>
        <v>5.49015208266795</v>
      </c>
      <c r="Q338" s="2">
        <f t="shared" si="105"/>
        <v>180.47460363863331</v>
      </c>
      <c r="S338" s="1">
        <f t="shared" si="106"/>
        <v>3000</v>
      </c>
      <c r="T338" s="1">
        <f t="shared" si="107"/>
        <v>6487.6712328767135</v>
      </c>
      <c r="V338" s="1">
        <f t="shared" si="119"/>
        <v>6487.6712328767135</v>
      </c>
      <c r="W338" s="1">
        <f t="shared" si="120"/>
        <v>3000</v>
      </c>
    </row>
    <row r="339" spans="1:23" x14ac:dyDescent="0.25">
      <c r="A339" s="2">
        <f t="shared" si="121"/>
        <v>32.700000000000195</v>
      </c>
      <c r="B339" s="7">
        <f t="shared" si="104"/>
        <v>23.68</v>
      </c>
      <c r="C339" s="7">
        <f t="shared" si="108"/>
        <v>1.6932427798694309</v>
      </c>
      <c r="D339" s="7">
        <f t="shared" si="109"/>
        <v>2.7229480602850979</v>
      </c>
      <c r="E339" s="7">
        <f t="shared" si="110"/>
        <v>1</v>
      </c>
      <c r="G339" s="4">
        <f t="shared" si="111"/>
        <v>3270.0000000000196</v>
      </c>
      <c r="H339" s="1">
        <f t="shared" si="122"/>
        <v>1.541385135135205</v>
      </c>
      <c r="I339" s="1">
        <f t="shared" si="123"/>
        <v>560.91952487895105</v>
      </c>
      <c r="J339" s="1">
        <f t="shared" si="112"/>
        <v>18.697317495965034</v>
      </c>
      <c r="K339" s="7">
        <f t="shared" si="113"/>
        <v>1.5367658215861673</v>
      </c>
      <c r="L339" s="4">
        <f t="shared" si="114"/>
        <v>6487.6712328767135</v>
      </c>
      <c r="M339" s="1">
        <f t="shared" si="115"/>
        <v>846.62138993471547</v>
      </c>
      <c r="N339" s="7">
        <f t="shared" si="116"/>
        <v>2.7229480602850979</v>
      </c>
      <c r="O339" s="1">
        <f t="shared" si="117"/>
        <v>3000</v>
      </c>
      <c r="P339" s="2">
        <f t="shared" si="118"/>
        <v>5.4926012366175518</v>
      </c>
      <c r="Q339" s="2">
        <f t="shared" si="105"/>
        <v>181.60081383096292</v>
      </c>
      <c r="S339" s="1">
        <f t="shared" si="106"/>
        <v>3000</v>
      </c>
      <c r="T339" s="1">
        <f t="shared" si="107"/>
        <v>6487.6712328767135</v>
      </c>
      <c r="V339" s="1">
        <f t="shared" si="119"/>
        <v>6487.6712328767135</v>
      </c>
      <c r="W339" s="1">
        <f t="shared" si="120"/>
        <v>3000</v>
      </c>
    </row>
    <row r="340" spans="1:23" x14ac:dyDescent="0.25">
      <c r="A340" s="2">
        <f t="shared" si="121"/>
        <v>32.800000000000196</v>
      </c>
      <c r="B340" s="7">
        <f t="shared" si="104"/>
        <v>23.68</v>
      </c>
      <c r="C340" s="7">
        <f t="shared" si="108"/>
        <v>1.6939981345808324</v>
      </c>
      <c r="D340" s="7">
        <f t="shared" si="109"/>
        <v>2.7394773090015985</v>
      </c>
      <c r="E340" s="7">
        <f t="shared" si="110"/>
        <v>1</v>
      </c>
      <c r="G340" s="4">
        <f t="shared" si="111"/>
        <v>3280.00000000002</v>
      </c>
      <c r="H340" s="1">
        <f t="shared" si="122"/>
        <v>1.541385135135205</v>
      </c>
      <c r="I340" s="1">
        <f t="shared" si="123"/>
        <v>562.46091001408627</v>
      </c>
      <c r="J340" s="1">
        <f t="shared" si="112"/>
        <v>18.748697000469541</v>
      </c>
      <c r="K340" s="7">
        <f t="shared" si="113"/>
        <v>1.5409887945591405</v>
      </c>
      <c r="L340" s="4">
        <f t="shared" si="114"/>
        <v>6487.6712328767135</v>
      </c>
      <c r="M340" s="1">
        <f t="shared" si="115"/>
        <v>846.99906729041618</v>
      </c>
      <c r="N340" s="7">
        <f t="shared" si="116"/>
        <v>2.7394773090015985</v>
      </c>
      <c r="O340" s="1">
        <f t="shared" si="117"/>
        <v>3000</v>
      </c>
      <c r="P340" s="2">
        <f t="shared" si="118"/>
        <v>5.4950514831334409</v>
      </c>
      <c r="Q340" s="2">
        <f t="shared" si="105"/>
        <v>182.73424447032181</v>
      </c>
      <c r="S340" s="1">
        <f t="shared" si="106"/>
        <v>3000</v>
      </c>
      <c r="T340" s="1">
        <f t="shared" si="107"/>
        <v>6487.6712328767135</v>
      </c>
      <c r="V340" s="1">
        <f t="shared" si="119"/>
        <v>6487.6712328767135</v>
      </c>
      <c r="W340" s="1">
        <f t="shared" si="120"/>
        <v>3000</v>
      </c>
    </row>
    <row r="341" spans="1:23" x14ac:dyDescent="0.25">
      <c r="A341" s="2">
        <f t="shared" si="121"/>
        <v>32.900000000000198</v>
      </c>
      <c r="B341" s="7">
        <f t="shared" si="104"/>
        <v>23.68</v>
      </c>
      <c r="C341" s="7">
        <f t="shared" si="108"/>
        <v>1.6947538262555721</v>
      </c>
      <c r="D341" s="7">
        <f t="shared" si="109"/>
        <v>2.7561068960488662</v>
      </c>
      <c r="E341" s="7">
        <f t="shared" si="110"/>
        <v>1</v>
      </c>
      <c r="G341" s="4">
        <f t="shared" si="111"/>
        <v>3290.0000000000196</v>
      </c>
      <c r="H341" s="1">
        <f t="shared" si="122"/>
        <v>1.5413851351350647</v>
      </c>
      <c r="I341" s="1">
        <f t="shared" si="123"/>
        <v>564.00229514922137</v>
      </c>
      <c r="J341" s="1">
        <f t="shared" si="112"/>
        <v>18.800076504974047</v>
      </c>
      <c r="K341" s="7">
        <f t="shared" si="113"/>
        <v>1.5452117675321133</v>
      </c>
      <c r="L341" s="4">
        <f t="shared" si="114"/>
        <v>6487.6712328767135</v>
      </c>
      <c r="M341" s="1">
        <f t="shared" si="115"/>
        <v>847.37691312778611</v>
      </c>
      <c r="N341" s="7">
        <f t="shared" si="116"/>
        <v>2.7561068960488662</v>
      </c>
      <c r="O341" s="1">
        <f t="shared" si="117"/>
        <v>3000</v>
      </c>
      <c r="P341" s="2">
        <f t="shared" si="118"/>
        <v>5.4975028227030078</v>
      </c>
      <c r="Q341" s="2">
        <f t="shared" si="105"/>
        <v>183.87494426118204</v>
      </c>
      <c r="S341" s="1">
        <f t="shared" si="106"/>
        <v>3000</v>
      </c>
      <c r="T341" s="1">
        <f t="shared" si="107"/>
        <v>6487.6712328767135</v>
      </c>
      <c r="V341" s="1">
        <f t="shared" si="119"/>
        <v>6487.6712328767135</v>
      </c>
      <c r="W341" s="1">
        <f t="shared" si="120"/>
        <v>3000</v>
      </c>
    </row>
    <row r="342" spans="1:23" x14ac:dyDescent="0.25">
      <c r="A342" s="2">
        <f t="shared" si="121"/>
        <v>33.000000000000199</v>
      </c>
      <c r="B342" s="7">
        <f t="shared" si="104"/>
        <v>23.68</v>
      </c>
      <c r="C342" s="7">
        <f t="shared" si="108"/>
        <v>1.6955098550439698</v>
      </c>
      <c r="D342" s="7">
        <f t="shared" si="109"/>
        <v>2.7728374305157208</v>
      </c>
      <c r="E342" s="7">
        <f t="shared" si="110"/>
        <v>1</v>
      </c>
      <c r="G342" s="4">
        <f t="shared" si="111"/>
        <v>3300.0000000000205</v>
      </c>
      <c r="H342" s="1">
        <f t="shared" si="122"/>
        <v>1.541385135135275</v>
      </c>
      <c r="I342" s="1">
        <f t="shared" si="123"/>
        <v>565.5436802843567</v>
      </c>
      <c r="J342" s="1">
        <f t="shared" si="112"/>
        <v>18.851456009478557</v>
      </c>
      <c r="K342" s="7">
        <f t="shared" si="113"/>
        <v>1.5494347405050868</v>
      </c>
      <c r="L342" s="4">
        <f t="shared" si="114"/>
        <v>6487.6712328767135</v>
      </c>
      <c r="M342" s="1">
        <f t="shared" si="115"/>
        <v>847.75492752198488</v>
      </c>
      <c r="N342" s="7">
        <f t="shared" si="116"/>
        <v>2.7728374305157208</v>
      </c>
      <c r="O342" s="1">
        <f t="shared" si="117"/>
        <v>3000</v>
      </c>
      <c r="P342" s="2">
        <f t="shared" si="118"/>
        <v>5.4999552558138651</v>
      </c>
      <c r="Q342" s="2">
        <f t="shared" si="105"/>
        <v>185.02296226678874</v>
      </c>
      <c r="S342" s="1">
        <f t="shared" si="106"/>
        <v>3000</v>
      </c>
      <c r="T342" s="1">
        <f t="shared" si="107"/>
        <v>6487.6712328767135</v>
      </c>
      <c r="V342" s="1">
        <f t="shared" si="119"/>
        <v>6487.6712328767135</v>
      </c>
      <c r="W342" s="1">
        <f t="shared" si="120"/>
        <v>3000</v>
      </c>
    </row>
    <row r="343" spans="1:23" x14ac:dyDescent="0.25">
      <c r="A343" s="2">
        <f t="shared" si="121"/>
        <v>33.1000000000002</v>
      </c>
      <c r="B343" s="7">
        <f t="shared" si="104"/>
        <v>23.68</v>
      </c>
      <c r="C343" s="7">
        <f t="shared" si="108"/>
        <v>1.6962662210964112</v>
      </c>
      <c r="D343" s="7">
        <f t="shared" si="109"/>
        <v>2.789669525188367</v>
      </c>
      <c r="E343" s="7">
        <f t="shared" si="110"/>
        <v>1</v>
      </c>
      <c r="G343" s="4">
        <f t="shared" si="111"/>
        <v>3310.00000000002</v>
      </c>
      <c r="H343" s="1">
        <f t="shared" si="122"/>
        <v>1.5413851351350647</v>
      </c>
      <c r="I343" s="1">
        <f t="shared" si="123"/>
        <v>567.0850654194918</v>
      </c>
      <c r="J343" s="1">
        <f t="shared" si="112"/>
        <v>18.90283551398306</v>
      </c>
      <c r="K343" s="7">
        <f t="shared" si="113"/>
        <v>1.5536577134780598</v>
      </c>
      <c r="L343" s="4">
        <f t="shared" si="114"/>
        <v>6487.6712328767135</v>
      </c>
      <c r="M343" s="1">
        <f t="shared" si="115"/>
        <v>848.13311054820565</v>
      </c>
      <c r="N343" s="7">
        <f t="shared" si="116"/>
        <v>2.789669525188367</v>
      </c>
      <c r="O343" s="1">
        <f t="shared" si="117"/>
        <v>3000</v>
      </c>
      <c r="P343" s="2">
        <f t="shared" si="118"/>
        <v>5.5024087829538386</v>
      </c>
      <c r="Q343" s="2">
        <f t="shared" si="105"/>
        <v>186.17834791217931</v>
      </c>
      <c r="S343" s="1">
        <f t="shared" si="106"/>
        <v>3000</v>
      </c>
      <c r="T343" s="1">
        <f t="shared" si="107"/>
        <v>6487.6712328767135</v>
      </c>
      <c r="V343" s="1">
        <f t="shared" si="119"/>
        <v>6487.6712328767135</v>
      </c>
      <c r="W343" s="1">
        <f t="shared" si="120"/>
        <v>3000</v>
      </c>
    </row>
    <row r="344" spans="1:23" x14ac:dyDescent="0.25">
      <c r="A344" s="2">
        <f t="shared" si="121"/>
        <v>33.200000000000202</v>
      </c>
      <c r="B344" s="7">
        <f t="shared" si="104"/>
        <v>23.68</v>
      </c>
      <c r="C344" s="7">
        <f t="shared" si="108"/>
        <v>1.6970229245633501</v>
      </c>
      <c r="D344" s="7">
        <f t="shared" si="109"/>
        <v>2.8066037965728357</v>
      </c>
      <c r="E344" s="7">
        <f t="shared" si="110"/>
        <v>1</v>
      </c>
      <c r="G344" s="4">
        <f t="shared" si="111"/>
        <v>3320.0000000000205</v>
      </c>
      <c r="H344" s="1">
        <f t="shared" si="122"/>
        <v>1.541385135135205</v>
      </c>
      <c r="I344" s="1">
        <f t="shared" si="123"/>
        <v>568.62645055462701</v>
      </c>
      <c r="J344" s="1">
        <f t="shared" si="112"/>
        <v>18.954215018487567</v>
      </c>
      <c r="K344" s="7">
        <f t="shared" si="113"/>
        <v>1.5578806864510328</v>
      </c>
      <c r="L344" s="4">
        <f t="shared" si="114"/>
        <v>6487.6712328767135</v>
      </c>
      <c r="M344" s="1">
        <f t="shared" si="115"/>
        <v>848.51146228167511</v>
      </c>
      <c r="N344" s="7">
        <f t="shared" si="116"/>
        <v>2.8066037965728357</v>
      </c>
      <c r="O344" s="1">
        <f t="shared" si="117"/>
        <v>3000</v>
      </c>
      <c r="P344" s="2">
        <f t="shared" si="118"/>
        <v>5.5048634046109788</v>
      </c>
      <c r="Q344" s="2">
        <f t="shared" si="105"/>
        <v>187.34115098723245</v>
      </c>
      <c r="S344" s="1">
        <f t="shared" si="106"/>
        <v>3000</v>
      </c>
      <c r="T344" s="1">
        <f t="shared" si="107"/>
        <v>6487.6712328767135</v>
      </c>
      <c r="V344" s="1">
        <f t="shared" si="119"/>
        <v>6487.6712328767135</v>
      </c>
      <c r="W344" s="1">
        <f t="shared" si="120"/>
        <v>3000</v>
      </c>
    </row>
    <row r="345" spans="1:23" x14ac:dyDescent="0.25">
      <c r="A345" s="2">
        <f t="shared" si="121"/>
        <v>33.300000000000203</v>
      </c>
      <c r="B345" s="7">
        <f t="shared" si="104"/>
        <v>23.68</v>
      </c>
      <c r="C345" s="7">
        <f t="shared" si="108"/>
        <v>1.6977799655953068</v>
      </c>
      <c r="D345" s="7">
        <f t="shared" si="109"/>
        <v>2.8236408649175666</v>
      </c>
      <c r="E345" s="7">
        <f t="shared" si="110"/>
        <v>1</v>
      </c>
      <c r="G345" s="4">
        <f t="shared" si="111"/>
        <v>3330.00000000002</v>
      </c>
      <c r="H345" s="1">
        <f t="shared" si="122"/>
        <v>1.5413851351350647</v>
      </c>
      <c r="I345" s="1">
        <f t="shared" si="123"/>
        <v>570.16783568976211</v>
      </c>
      <c r="J345" s="1">
        <f t="shared" si="112"/>
        <v>19.00559452299207</v>
      </c>
      <c r="K345" s="7">
        <f t="shared" si="113"/>
        <v>1.5621036594240059</v>
      </c>
      <c r="L345" s="4">
        <f t="shared" si="114"/>
        <v>6487.6712328767135</v>
      </c>
      <c r="M345" s="1">
        <f t="shared" si="115"/>
        <v>848.88998279765337</v>
      </c>
      <c r="N345" s="7">
        <f t="shared" si="116"/>
        <v>2.8236408649175666</v>
      </c>
      <c r="O345" s="1">
        <f t="shared" si="117"/>
        <v>3000</v>
      </c>
      <c r="P345" s="2">
        <f t="shared" si="118"/>
        <v>5.5073191212735439</v>
      </c>
      <c r="Q345" s="2">
        <f t="shared" si="105"/>
        <v>188.51142164974752</v>
      </c>
      <c r="S345" s="1">
        <f t="shared" si="106"/>
        <v>3000</v>
      </c>
      <c r="T345" s="1">
        <f t="shared" si="107"/>
        <v>6487.6712328767135</v>
      </c>
      <c r="V345" s="1">
        <f t="shared" si="119"/>
        <v>6487.6712328767135</v>
      </c>
      <c r="W345" s="1">
        <f t="shared" si="120"/>
        <v>3000</v>
      </c>
    </row>
    <row r="346" spans="1:23" x14ac:dyDescent="0.25">
      <c r="A346" s="2">
        <f t="shared" si="121"/>
        <v>33.400000000000205</v>
      </c>
      <c r="B346" s="7">
        <f t="shared" si="104"/>
        <v>23.68</v>
      </c>
      <c r="C346" s="7">
        <f t="shared" si="108"/>
        <v>1.6985373443428682</v>
      </c>
      <c r="D346" s="7">
        <f t="shared" si="109"/>
        <v>2.840781354236122</v>
      </c>
      <c r="E346" s="7">
        <f t="shared" si="110"/>
        <v>1</v>
      </c>
      <c r="G346" s="4">
        <f t="shared" si="111"/>
        <v>3340.0000000000209</v>
      </c>
      <c r="H346" s="1">
        <f t="shared" si="122"/>
        <v>1.541385135135275</v>
      </c>
      <c r="I346" s="1">
        <f t="shared" si="123"/>
        <v>571.70922082489744</v>
      </c>
      <c r="J346" s="1">
        <f t="shared" si="112"/>
        <v>19.056974027496583</v>
      </c>
      <c r="K346" s="7">
        <f t="shared" si="113"/>
        <v>1.5663266323969793</v>
      </c>
      <c r="L346" s="4">
        <f t="shared" si="114"/>
        <v>6487.6712328767135</v>
      </c>
      <c r="M346" s="1">
        <f t="shared" si="115"/>
        <v>849.2686721714341</v>
      </c>
      <c r="N346" s="7">
        <f t="shared" si="116"/>
        <v>2.840781354236122</v>
      </c>
      <c r="O346" s="1">
        <f t="shared" si="117"/>
        <v>3000</v>
      </c>
      <c r="P346" s="2">
        <f t="shared" si="118"/>
        <v>5.5097759334300171</v>
      </c>
      <c r="Q346" s="2">
        <f t="shared" si="105"/>
        <v>189.6892104285545</v>
      </c>
      <c r="S346" s="1">
        <f t="shared" si="106"/>
        <v>3000</v>
      </c>
      <c r="T346" s="1">
        <f t="shared" si="107"/>
        <v>6487.6712328767135</v>
      </c>
      <c r="V346" s="1">
        <f t="shared" si="119"/>
        <v>6487.6712328767135</v>
      </c>
      <c r="W346" s="1">
        <f t="shared" si="120"/>
        <v>3000</v>
      </c>
    </row>
    <row r="347" spans="1:23" x14ac:dyDescent="0.25">
      <c r="A347" s="2">
        <f t="shared" si="121"/>
        <v>33.500000000000206</v>
      </c>
      <c r="B347" s="7">
        <f t="shared" si="104"/>
        <v>23.68</v>
      </c>
      <c r="C347" s="7">
        <f t="shared" si="108"/>
        <v>1.6992950609566897</v>
      </c>
      <c r="D347" s="7">
        <f t="shared" si="109"/>
        <v>2.8580258923300468</v>
      </c>
      <c r="E347" s="7">
        <f t="shared" si="110"/>
        <v>1</v>
      </c>
      <c r="G347" s="4">
        <f t="shared" si="111"/>
        <v>3350.0000000000209</v>
      </c>
      <c r="H347" s="1">
        <f t="shared" si="122"/>
        <v>1.5413851351351349</v>
      </c>
      <c r="I347" s="1">
        <f t="shared" si="123"/>
        <v>573.25060596003254</v>
      </c>
      <c r="J347" s="1">
        <f t="shared" si="112"/>
        <v>19.108353532001086</v>
      </c>
      <c r="K347" s="7">
        <f t="shared" si="113"/>
        <v>1.5705496053699521</v>
      </c>
      <c r="L347" s="4">
        <f t="shared" si="114"/>
        <v>6487.6712328767135</v>
      </c>
      <c r="M347" s="1">
        <f t="shared" si="115"/>
        <v>849.64753047834483</v>
      </c>
      <c r="N347" s="7">
        <f t="shared" si="116"/>
        <v>2.8580258923300468</v>
      </c>
      <c r="O347" s="1">
        <f t="shared" si="117"/>
        <v>3000</v>
      </c>
      <c r="P347" s="2">
        <f t="shared" si="118"/>
        <v>5.512233841569099</v>
      </c>
      <c r="Q347" s="2">
        <f t="shared" si="105"/>
        <v>190.87456822665544</v>
      </c>
      <c r="S347" s="1">
        <f t="shared" si="106"/>
        <v>3000</v>
      </c>
      <c r="T347" s="1">
        <f t="shared" si="107"/>
        <v>6487.6712328767135</v>
      </c>
      <c r="V347" s="1">
        <f t="shared" si="119"/>
        <v>6487.6712328767135</v>
      </c>
      <c r="W347" s="1">
        <f t="shared" si="120"/>
        <v>3000</v>
      </c>
    </row>
    <row r="348" spans="1:23" x14ac:dyDescent="0.25">
      <c r="A348" s="2">
        <f t="shared" si="121"/>
        <v>33.600000000000207</v>
      </c>
      <c r="B348" s="7">
        <f t="shared" si="104"/>
        <v>23.68</v>
      </c>
      <c r="C348" s="7">
        <f t="shared" si="108"/>
        <v>1.7000531155874936</v>
      </c>
      <c r="D348" s="7">
        <f t="shared" si="109"/>
        <v>2.8753751108118637</v>
      </c>
      <c r="E348" s="7">
        <f t="shared" si="110"/>
        <v>1</v>
      </c>
      <c r="G348" s="4">
        <f t="shared" si="111"/>
        <v>3360.0000000000209</v>
      </c>
      <c r="H348" s="1">
        <f t="shared" si="122"/>
        <v>1.5413851351351349</v>
      </c>
      <c r="I348" s="1">
        <f t="shared" si="123"/>
        <v>574.79199109516765</v>
      </c>
      <c r="J348" s="1">
        <f t="shared" si="112"/>
        <v>19.159733036505589</v>
      </c>
      <c r="K348" s="7">
        <f t="shared" si="113"/>
        <v>1.5747725783429252</v>
      </c>
      <c r="L348" s="4">
        <f t="shared" si="114"/>
        <v>6487.6712328767135</v>
      </c>
      <c r="M348" s="1">
        <f t="shared" si="115"/>
        <v>850.02655779374686</v>
      </c>
      <c r="N348" s="7">
        <f t="shared" si="116"/>
        <v>2.8753751108118637</v>
      </c>
      <c r="O348" s="1">
        <f t="shared" si="117"/>
        <v>3000</v>
      </c>
      <c r="P348" s="2">
        <f t="shared" si="118"/>
        <v>5.5146928461797069</v>
      </c>
      <c r="Q348" s="2">
        <f t="shared" si="105"/>
        <v>192.06754632439694</v>
      </c>
      <c r="S348" s="1">
        <f t="shared" si="106"/>
        <v>3000</v>
      </c>
      <c r="T348" s="1">
        <f t="shared" si="107"/>
        <v>6487.6712328767135</v>
      </c>
      <c r="V348" s="1">
        <f t="shared" si="119"/>
        <v>6487.6712328767135</v>
      </c>
      <c r="W348" s="1">
        <f t="shared" si="120"/>
        <v>3000</v>
      </c>
    </row>
    <row r="349" spans="1:23" x14ac:dyDescent="0.25">
      <c r="A349" s="2">
        <f t="shared" si="121"/>
        <v>33.700000000000209</v>
      </c>
      <c r="B349" s="7">
        <f t="shared" si="104"/>
        <v>23.68</v>
      </c>
      <c r="C349" s="7">
        <f t="shared" si="108"/>
        <v>1.7008115083860682</v>
      </c>
      <c r="D349" s="7">
        <f t="shared" si="109"/>
        <v>2.8928296451281987</v>
      </c>
      <c r="E349" s="7">
        <f t="shared" si="110"/>
        <v>1</v>
      </c>
      <c r="G349" s="4">
        <f t="shared" si="111"/>
        <v>3370.0000000000205</v>
      </c>
      <c r="H349" s="1">
        <f t="shared" si="122"/>
        <v>1.5413851351350647</v>
      </c>
      <c r="I349" s="1">
        <f t="shared" si="123"/>
        <v>576.33337623030275</v>
      </c>
      <c r="J349" s="1">
        <f t="shared" si="112"/>
        <v>19.211112541010092</v>
      </c>
      <c r="K349" s="7">
        <f t="shared" si="113"/>
        <v>1.578995551315898</v>
      </c>
      <c r="L349" s="4">
        <f t="shared" si="114"/>
        <v>6487.6712328767135</v>
      </c>
      <c r="M349" s="1">
        <f t="shared" si="115"/>
        <v>850.40575419303411</v>
      </c>
      <c r="N349" s="7">
        <f t="shared" si="116"/>
        <v>2.8928296451281987</v>
      </c>
      <c r="O349" s="1">
        <f t="shared" si="117"/>
        <v>3000</v>
      </c>
      <c r="P349" s="2">
        <f t="shared" si="118"/>
        <v>5.5171529477509722</v>
      </c>
      <c r="Q349" s="2">
        <f t="shared" si="105"/>
        <v>193.26819638267426</v>
      </c>
      <c r="S349" s="1">
        <f t="shared" si="106"/>
        <v>3000</v>
      </c>
      <c r="T349" s="1">
        <f t="shared" si="107"/>
        <v>6487.6712328767135</v>
      </c>
      <c r="V349" s="1">
        <f t="shared" si="119"/>
        <v>6487.6712328767135</v>
      </c>
      <c r="W349" s="1">
        <f t="shared" si="120"/>
        <v>3000</v>
      </c>
    </row>
    <row r="350" spans="1:23" x14ac:dyDescent="0.25">
      <c r="A350" s="2">
        <f t="shared" si="121"/>
        <v>33.80000000000021</v>
      </c>
      <c r="B350" s="7">
        <f t="shared" si="104"/>
        <v>23.68</v>
      </c>
      <c r="C350" s="7">
        <f t="shared" si="108"/>
        <v>1.7015702395032706</v>
      </c>
      <c r="D350" s="7">
        <f t="shared" si="109"/>
        <v>2.9103901345830669</v>
      </c>
      <c r="E350" s="7">
        <f t="shared" si="110"/>
        <v>1</v>
      </c>
      <c r="G350" s="4">
        <f t="shared" si="111"/>
        <v>3380.0000000000209</v>
      </c>
      <c r="H350" s="1">
        <f t="shared" si="122"/>
        <v>1.541385135135205</v>
      </c>
      <c r="I350" s="1">
        <f t="shared" si="123"/>
        <v>577.87476136543796</v>
      </c>
      <c r="J350" s="1">
        <f t="shared" si="112"/>
        <v>19.262492045514598</v>
      </c>
      <c r="K350" s="7">
        <f t="shared" si="113"/>
        <v>1.5832185242888712</v>
      </c>
      <c r="L350" s="4">
        <f t="shared" si="114"/>
        <v>6487.6712328767135</v>
      </c>
      <c r="M350" s="1">
        <f t="shared" si="115"/>
        <v>850.78511975163531</v>
      </c>
      <c r="N350" s="7">
        <f t="shared" si="116"/>
        <v>2.9103901345830669</v>
      </c>
      <c r="O350" s="1">
        <f t="shared" si="117"/>
        <v>3000</v>
      </c>
      <c r="P350" s="2">
        <f t="shared" si="118"/>
        <v>5.5196141467722546</v>
      </c>
      <c r="Q350" s="2">
        <f t="shared" si="105"/>
        <v>194.47657044616827</v>
      </c>
      <c r="S350" s="1">
        <f t="shared" si="106"/>
        <v>3000</v>
      </c>
      <c r="T350" s="1">
        <f t="shared" si="107"/>
        <v>6487.6712328767135</v>
      </c>
      <c r="V350" s="1">
        <f t="shared" si="119"/>
        <v>6487.6712328767135</v>
      </c>
      <c r="W350" s="1">
        <f t="shared" si="120"/>
        <v>3000</v>
      </c>
    </row>
    <row r="351" spans="1:23" x14ac:dyDescent="0.25">
      <c r="A351" s="2">
        <f t="shared" si="121"/>
        <v>33.900000000000212</v>
      </c>
      <c r="B351" s="7">
        <f t="shared" si="104"/>
        <v>23.68</v>
      </c>
      <c r="C351" s="7">
        <f t="shared" si="108"/>
        <v>1.7023293090900242</v>
      </c>
      <c r="D351" s="7">
        <f t="shared" si="109"/>
        <v>2.9280572223612817</v>
      </c>
      <c r="E351" s="7">
        <f t="shared" si="110"/>
        <v>1</v>
      </c>
      <c r="G351" s="4">
        <f t="shared" si="111"/>
        <v>3390.0000000000214</v>
      </c>
      <c r="H351" s="1">
        <f t="shared" si="122"/>
        <v>1.541385135135205</v>
      </c>
      <c r="I351" s="1">
        <f t="shared" si="123"/>
        <v>579.41614650057318</v>
      </c>
      <c r="J351" s="1">
        <f t="shared" si="112"/>
        <v>19.313871550019105</v>
      </c>
      <c r="K351" s="7">
        <f t="shared" si="113"/>
        <v>1.5874414972618442</v>
      </c>
      <c r="L351" s="4">
        <f t="shared" si="114"/>
        <v>6487.6712328767135</v>
      </c>
      <c r="M351" s="1">
        <f t="shared" si="115"/>
        <v>851.16465454501213</v>
      </c>
      <c r="N351" s="7">
        <f t="shared" si="116"/>
        <v>2.9280572223612817</v>
      </c>
      <c r="O351" s="1">
        <f t="shared" si="117"/>
        <v>3000</v>
      </c>
      <c r="P351" s="2">
        <f t="shared" si="118"/>
        <v>5.5220764437331207</v>
      </c>
      <c r="Q351" s="2">
        <f t="shared" si="105"/>
        <v>195.69272094661446</v>
      </c>
      <c r="S351" s="1">
        <f t="shared" si="106"/>
        <v>3000</v>
      </c>
      <c r="T351" s="1">
        <f t="shared" si="107"/>
        <v>6487.6712328767135</v>
      </c>
      <c r="V351" s="1">
        <f t="shared" si="119"/>
        <v>6487.6712328767135</v>
      </c>
      <c r="W351" s="1">
        <f t="shared" si="120"/>
        <v>3000</v>
      </c>
    </row>
    <row r="352" spans="1:23" x14ac:dyDescent="0.25">
      <c r="A352" s="2">
        <f t="shared" si="121"/>
        <v>34.000000000000213</v>
      </c>
      <c r="B352" s="7">
        <f t="shared" si="104"/>
        <v>23.68</v>
      </c>
      <c r="C352" s="7">
        <f t="shared" si="108"/>
        <v>1.7030887172973204</v>
      </c>
      <c r="D352" s="7">
        <f t="shared" si="109"/>
        <v>2.9458315555520103</v>
      </c>
      <c r="E352" s="7">
        <f t="shared" si="110"/>
        <v>1</v>
      </c>
      <c r="G352" s="4">
        <f t="shared" si="111"/>
        <v>3400.0000000000214</v>
      </c>
      <c r="H352" s="1">
        <f t="shared" si="122"/>
        <v>1.5413851351351349</v>
      </c>
      <c r="I352" s="1">
        <f t="shared" si="123"/>
        <v>580.95753163570828</v>
      </c>
      <c r="J352" s="1">
        <f t="shared" si="112"/>
        <v>19.365251054523608</v>
      </c>
      <c r="K352" s="7">
        <f t="shared" si="113"/>
        <v>1.5916644702348173</v>
      </c>
      <c r="L352" s="4">
        <f t="shared" si="114"/>
        <v>6487.6712328767135</v>
      </c>
      <c r="M352" s="1">
        <f t="shared" si="115"/>
        <v>851.54435864866014</v>
      </c>
      <c r="N352" s="7">
        <f t="shared" si="116"/>
        <v>2.9458315555520103</v>
      </c>
      <c r="O352" s="1">
        <f t="shared" si="117"/>
        <v>3000</v>
      </c>
      <c r="P352" s="2">
        <f t="shared" si="118"/>
        <v>5.5245398391233635</v>
      </c>
      <c r="Q352" s="2">
        <f t="shared" si="105"/>
        <v>196.91670070610471</v>
      </c>
      <c r="S352" s="1">
        <f t="shared" si="106"/>
        <v>3000</v>
      </c>
      <c r="T352" s="1">
        <f t="shared" si="107"/>
        <v>6487.6712328767135</v>
      </c>
      <c r="V352" s="1">
        <f t="shared" si="119"/>
        <v>6487.6712328767135</v>
      </c>
      <c r="W352" s="1">
        <f t="shared" si="120"/>
        <v>3000</v>
      </c>
    </row>
    <row r="353" spans="1:23" x14ac:dyDescent="0.25">
      <c r="A353" s="2">
        <f t="shared" si="121"/>
        <v>34.100000000000215</v>
      </c>
      <c r="B353" s="7">
        <f t="shared" si="104"/>
        <v>23.68</v>
      </c>
      <c r="C353" s="7">
        <f t="shared" si="108"/>
        <v>1.7038484642762175</v>
      </c>
      <c r="D353" s="7">
        <f t="shared" si="109"/>
        <v>2.9637137851724815</v>
      </c>
      <c r="E353" s="7">
        <f t="shared" si="110"/>
        <v>1</v>
      </c>
      <c r="G353" s="4">
        <f t="shared" si="111"/>
        <v>3410.0000000000214</v>
      </c>
      <c r="H353" s="1">
        <f t="shared" si="122"/>
        <v>1.5413851351351349</v>
      </c>
      <c r="I353" s="1">
        <f t="shared" si="123"/>
        <v>582.49891677084338</v>
      </c>
      <c r="J353" s="1">
        <f t="shared" si="112"/>
        <v>19.416630559028114</v>
      </c>
      <c r="K353" s="7">
        <f t="shared" si="113"/>
        <v>1.5958874432077901</v>
      </c>
      <c r="L353" s="4">
        <f t="shared" si="114"/>
        <v>6487.6712328767135</v>
      </c>
      <c r="M353" s="1">
        <f t="shared" si="115"/>
        <v>851.92423213810878</v>
      </c>
      <c r="N353" s="7">
        <f t="shared" si="116"/>
        <v>2.9637137851724815</v>
      </c>
      <c r="O353" s="1">
        <f t="shared" si="117"/>
        <v>3000</v>
      </c>
      <c r="P353" s="2">
        <f t="shared" si="118"/>
        <v>5.5270043334329921</v>
      </c>
      <c r="Q353" s="2">
        <f t="shared" si="105"/>
        <v>198.14856294042315</v>
      </c>
      <c r="S353" s="1">
        <f t="shared" si="106"/>
        <v>3000</v>
      </c>
      <c r="T353" s="1">
        <f t="shared" si="107"/>
        <v>6487.6712328767135</v>
      </c>
      <c r="V353" s="1">
        <f t="shared" si="119"/>
        <v>6487.6712328767135</v>
      </c>
      <c r="W353" s="1">
        <f t="shared" si="120"/>
        <v>3000</v>
      </c>
    </row>
    <row r="354" spans="1:23" x14ac:dyDescent="0.25">
      <c r="A354" s="2">
        <f t="shared" si="121"/>
        <v>34.200000000000216</v>
      </c>
      <c r="B354" s="7">
        <f t="shared" si="104"/>
        <v>23.68</v>
      </c>
      <c r="C354" s="7">
        <f t="shared" si="108"/>
        <v>1.7046085501778414</v>
      </c>
      <c r="D354" s="7">
        <f t="shared" si="109"/>
        <v>2.9817045661918273</v>
      </c>
      <c r="E354" s="7">
        <f t="shared" si="110"/>
        <v>1</v>
      </c>
      <c r="G354" s="4">
        <f t="shared" si="111"/>
        <v>3420.0000000000214</v>
      </c>
      <c r="H354" s="1">
        <f t="shared" si="122"/>
        <v>1.5413851351351349</v>
      </c>
      <c r="I354" s="1">
        <f t="shared" si="123"/>
        <v>584.04030190597848</v>
      </c>
      <c r="J354" s="1">
        <f t="shared" si="112"/>
        <v>19.468010063532617</v>
      </c>
      <c r="K354" s="7">
        <f t="shared" si="113"/>
        <v>1.6001104161807629</v>
      </c>
      <c r="L354" s="4">
        <f t="shared" si="114"/>
        <v>6487.6712328767135</v>
      </c>
      <c r="M354" s="1">
        <f t="shared" si="115"/>
        <v>852.30427508892069</v>
      </c>
      <c r="N354" s="7">
        <f t="shared" si="116"/>
        <v>2.9817045661918273</v>
      </c>
      <c r="O354" s="1">
        <f t="shared" si="117"/>
        <v>3000</v>
      </c>
      <c r="P354" s="2">
        <f t="shared" si="118"/>
        <v>5.5294699271522312</v>
      </c>
      <c r="Q354" s="2">
        <f t="shared" si="105"/>
        <v>199.38836126241509</v>
      </c>
      <c r="S354" s="1">
        <f t="shared" si="106"/>
        <v>3000</v>
      </c>
      <c r="T354" s="1">
        <f t="shared" si="107"/>
        <v>6487.6712328767135</v>
      </c>
      <c r="V354" s="1">
        <f t="shared" si="119"/>
        <v>6487.6712328767135</v>
      </c>
      <c r="W354" s="1">
        <f t="shared" si="120"/>
        <v>3000</v>
      </c>
    </row>
    <row r="355" spans="1:23" x14ac:dyDescent="0.25">
      <c r="A355" s="2">
        <f t="shared" si="121"/>
        <v>34.300000000000217</v>
      </c>
      <c r="B355" s="7">
        <f t="shared" si="104"/>
        <v>23.68</v>
      </c>
      <c r="C355" s="7">
        <f t="shared" si="108"/>
        <v>1.7053689751533851</v>
      </c>
      <c r="D355" s="7">
        <f t="shared" si="109"/>
        <v>2.9998045575550667</v>
      </c>
      <c r="E355" s="7">
        <f t="shared" si="110"/>
        <v>1</v>
      </c>
      <c r="G355" s="4">
        <f t="shared" si="111"/>
        <v>3430.0000000000218</v>
      </c>
      <c r="H355" s="1">
        <f t="shared" si="122"/>
        <v>1.541385135135205</v>
      </c>
      <c r="I355" s="1">
        <f t="shared" si="123"/>
        <v>585.5816870411137</v>
      </c>
      <c r="J355" s="1">
        <f t="shared" si="112"/>
        <v>19.519389568037123</v>
      </c>
      <c r="K355" s="7">
        <f t="shared" si="113"/>
        <v>1.6043333891537361</v>
      </c>
      <c r="L355" s="4">
        <f t="shared" si="114"/>
        <v>6487.6712328767135</v>
      </c>
      <c r="M355" s="1">
        <f t="shared" si="115"/>
        <v>852.68448757669262</v>
      </c>
      <c r="N355" s="7">
        <f t="shared" si="116"/>
        <v>2.9998045575550667</v>
      </c>
      <c r="O355" s="1">
        <f t="shared" si="117"/>
        <v>3000</v>
      </c>
      <c r="P355" s="2">
        <f t="shared" si="118"/>
        <v>5.5319366207715301</v>
      </c>
      <c r="Q355" s="2">
        <f t="shared" si="105"/>
        <v>200.63614968538997</v>
      </c>
      <c r="S355" s="1">
        <f t="shared" si="106"/>
        <v>3000</v>
      </c>
      <c r="T355" s="1">
        <f t="shared" si="107"/>
        <v>6487.6712328767135</v>
      </c>
      <c r="V355" s="1">
        <f t="shared" si="119"/>
        <v>6487.6712328767135</v>
      </c>
      <c r="W355" s="1">
        <f t="shared" si="120"/>
        <v>3000</v>
      </c>
    </row>
    <row r="356" spans="1:23" x14ac:dyDescent="0.25">
      <c r="A356" s="2">
        <f t="shared" si="121"/>
        <v>34.400000000000219</v>
      </c>
      <c r="B356" s="7">
        <f t="shared" si="104"/>
        <v>23.68</v>
      </c>
      <c r="C356" s="7">
        <f t="shared" si="108"/>
        <v>1.7061297393541097</v>
      </c>
      <c r="D356" s="7">
        <f t="shared" si="109"/>
        <v>3.0180144222072509</v>
      </c>
      <c r="E356" s="7">
        <f t="shared" si="110"/>
        <v>1</v>
      </c>
      <c r="G356" s="4">
        <f t="shared" si="111"/>
        <v>3440.0000000000218</v>
      </c>
      <c r="H356" s="1">
        <f t="shared" si="122"/>
        <v>1.5413851351351349</v>
      </c>
      <c r="I356" s="1">
        <f t="shared" si="123"/>
        <v>587.1230721762488</v>
      </c>
      <c r="J356" s="1">
        <f t="shared" si="112"/>
        <v>19.570769072541626</v>
      </c>
      <c r="K356" s="7">
        <f t="shared" si="113"/>
        <v>1.6085563621267089</v>
      </c>
      <c r="L356" s="4">
        <f t="shared" si="114"/>
        <v>6487.6712328767135</v>
      </c>
      <c r="M356" s="1">
        <f t="shared" si="115"/>
        <v>853.06486967705484</v>
      </c>
      <c r="N356" s="7">
        <f t="shared" si="116"/>
        <v>3.0180144222072509</v>
      </c>
      <c r="O356" s="1">
        <f t="shared" si="117"/>
        <v>3000</v>
      </c>
      <c r="P356" s="2">
        <f t="shared" si="118"/>
        <v>5.5344044147815508</v>
      </c>
      <c r="Q356" s="2">
        <f t="shared" si="105"/>
        <v>201.89198262655989</v>
      </c>
      <c r="S356" s="1">
        <f t="shared" si="106"/>
        <v>3000</v>
      </c>
      <c r="T356" s="1">
        <f t="shared" si="107"/>
        <v>6487.6712328767135</v>
      </c>
      <c r="V356" s="1">
        <f t="shared" si="119"/>
        <v>6487.6712328767135</v>
      </c>
      <c r="W356" s="1">
        <f t="shared" si="120"/>
        <v>3000</v>
      </c>
    </row>
    <row r="357" spans="1:23" x14ac:dyDescent="0.25">
      <c r="A357" s="2">
        <f t="shared" si="121"/>
        <v>34.50000000000022</v>
      </c>
      <c r="B357" s="7">
        <f t="shared" si="104"/>
        <v>23.68</v>
      </c>
      <c r="C357" s="7">
        <f t="shared" si="108"/>
        <v>1.7068908429313432</v>
      </c>
      <c r="D357" s="7">
        <f t="shared" si="109"/>
        <v>3.0363348271177397</v>
      </c>
      <c r="E357" s="7">
        <f t="shared" si="110"/>
        <v>1</v>
      </c>
      <c r="G357" s="4">
        <f t="shared" si="111"/>
        <v>3450.0000000000218</v>
      </c>
      <c r="H357" s="1">
        <f t="shared" si="122"/>
        <v>1.5413851351351349</v>
      </c>
      <c r="I357" s="1">
        <f t="shared" si="123"/>
        <v>588.6644573113839</v>
      </c>
      <c r="J357" s="1">
        <f t="shared" si="112"/>
        <v>19.622148577046129</v>
      </c>
      <c r="K357" s="7">
        <f t="shared" si="113"/>
        <v>1.612779335099682</v>
      </c>
      <c r="L357" s="4">
        <f t="shared" si="114"/>
        <v>6487.6712328767135</v>
      </c>
      <c r="M357" s="1">
        <f t="shared" si="115"/>
        <v>853.44542146567164</v>
      </c>
      <c r="N357" s="7">
        <f t="shared" si="116"/>
        <v>3.0363348271177397</v>
      </c>
      <c r="O357" s="1">
        <f t="shared" si="117"/>
        <v>3000</v>
      </c>
      <c r="P357" s="2">
        <f t="shared" si="118"/>
        <v>5.5368733096731795</v>
      </c>
      <c r="Q357" s="2">
        <f t="shared" si="105"/>
        <v>203.15591491051205</v>
      </c>
      <c r="S357" s="1">
        <f t="shared" si="106"/>
        <v>3000</v>
      </c>
      <c r="T357" s="1">
        <f t="shared" si="107"/>
        <v>6487.6712328767135</v>
      </c>
      <c r="V357" s="1">
        <f t="shared" si="119"/>
        <v>6487.6712328767135</v>
      </c>
      <c r="W357" s="1">
        <f t="shared" si="120"/>
        <v>3000</v>
      </c>
    </row>
    <row r="358" spans="1:23" x14ac:dyDescent="0.25">
      <c r="A358" s="2">
        <f t="shared" si="121"/>
        <v>34.600000000000222</v>
      </c>
      <c r="B358" s="7">
        <f t="shared" si="104"/>
        <v>23.68</v>
      </c>
      <c r="C358" s="7">
        <f t="shared" si="108"/>
        <v>1.7076522860364809</v>
      </c>
      <c r="D358" s="7">
        <f t="shared" si="109"/>
        <v>3.0547664433046262</v>
      </c>
      <c r="E358" s="7">
        <f t="shared" si="110"/>
        <v>1</v>
      </c>
      <c r="G358" s="4">
        <f t="shared" si="111"/>
        <v>3460.0000000000223</v>
      </c>
      <c r="H358" s="1">
        <f t="shared" si="122"/>
        <v>1.541385135135205</v>
      </c>
      <c r="I358" s="1">
        <f t="shared" si="123"/>
        <v>590.20584244651911</v>
      </c>
      <c r="J358" s="1">
        <f t="shared" si="112"/>
        <v>19.673528081550636</v>
      </c>
      <c r="K358" s="7">
        <f t="shared" si="113"/>
        <v>1.6170023080726552</v>
      </c>
      <c r="L358" s="4">
        <f t="shared" si="114"/>
        <v>6487.6712328767135</v>
      </c>
      <c r="M358" s="1">
        <f t="shared" si="115"/>
        <v>853.82614301824049</v>
      </c>
      <c r="N358" s="7">
        <f t="shared" si="116"/>
        <v>3.0547664433046262</v>
      </c>
      <c r="O358" s="1">
        <f t="shared" si="117"/>
        <v>3000</v>
      </c>
      <c r="P358" s="2">
        <f t="shared" si="118"/>
        <v>5.5393433059375177</v>
      </c>
      <c r="Q358" s="2">
        <f t="shared" si="105"/>
        <v>204.4280017727165</v>
      </c>
      <c r="S358" s="1">
        <f t="shared" si="106"/>
        <v>3000</v>
      </c>
      <c r="T358" s="1">
        <f t="shared" si="107"/>
        <v>6487.6712328767135</v>
      </c>
      <c r="V358" s="1">
        <f t="shared" si="119"/>
        <v>6487.6712328767135</v>
      </c>
      <c r="W358" s="1">
        <f t="shared" si="120"/>
        <v>3000</v>
      </c>
    </row>
    <row r="359" spans="1:23" x14ac:dyDescent="0.25">
      <c r="A359" s="2">
        <f t="shared" si="121"/>
        <v>34.700000000000223</v>
      </c>
      <c r="B359" s="7">
        <f t="shared" si="104"/>
        <v>23.68</v>
      </c>
      <c r="C359" s="7">
        <f t="shared" si="108"/>
        <v>1.7084140688209868</v>
      </c>
      <c r="D359" s="7">
        <f t="shared" si="109"/>
        <v>3.073309945859322</v>
      </c>
      <c r="E359" s="7">
        <f t="shared" si="110"/>
        <v>1</v>
      </c>
      <c r="G359" s="4">
        <f t="shared" si="111"/>
        <v>3470.0000000000223</v>
      </c>
      <c r="H359" s="1">
        <f t="shared" si="122"/>
        <v>1.5413851351351349</v>
      </c>
      <c r="I359" s="1">
        <f t="shared" si="123"/>
        <v>591.74722758165422</v>
      </c>
      <c r="J359" s="1">
        <f t="shared" si="112"/>
        <v>19.724907586055142</v>
      </c>
      <c r="K359" s="7">
        <f t="shared" si="113"/>
        <v>1.621225281045628</v>
      </c>
      <c r="L359" s="4">
        <f t="shared" si="114"/>
        <v>6487.6712328767135</v>
      </c>
      <c r="M359" s="1">
        <f t="shared" si="115"/>
        <v>854.20703441049341</v>
      </c>
      <c r="N359" s="7">
        <f t="shared" si="116"/>
        <v>3.073309945859322</v>
      </c>
      <c r="O359" s="1">
        <f t="shared" si="117"/>
        <v>3000</v>
      </c>
      <c r="P359" s="2">
        <f t="shared" si="118"/>
        <v>5.5418144040658861</v>
      </c>
      <c r="Q359" s="2">
        <f t="shared" si="105"/>
        <v>205.70829886307089</v>
      </c>
      <c r="S359" s="1">
        <f t="shared" si="106"/>
        <v>3000</v>
      </c>
      <c r="T359" s="1">
        <f t="shared" si="107"/>
        <v>6487.6712328767135</v>
      </c>
      <c r="V359" s="1">
        <f t="shared" si="119"/>
        <v>6487.6712328767135</v>
      </c>
      <c r="W359" s="1">
        <f t="shared" si="120"/>
        <v>3000</v>
      </c>
    </row>
    <row r="360" spans="1:23" x14ac:dyDescent="0.25">
      <c r="A360" s="2">
        <f t="shared" si="121"/>
        <v>34.800000000000225</v>
      </c>
      <c r="B360" s="7">
        <f t="shared" si="104"/>
        <v>23.68</v>
      </c>
      <c r="C360" s="7">
        <f t="shared" si="108"/>
        <v>1.7091761914363908</v>
      </c>
      <c r="D360" s="7">
        <f t="shared" si="109"/>
        <v>3.0919660139712803</v>
      </c>
      <c r="E360" s="7">
        <f t="shared" si="110"/>
        <v>1</v>
      </c>
      <c r="G360" s="4">
        <f t="shared" si="111"/>
        <v>3480.0000000000227</v>
      </c>
      <c r="H360" s="1">
        <f t="shared" si="122"/>
        <v>1.541385135135205</v>
      </c>
      <c r="I360" s="1">
        <f t="shared" si="123"/>
        <v>593.28861271678943</v>
      </c>
      <c r="J360" s="1">
        <f t="shared" si="112"/>
        <v>19.776287090559649</v>
      </c>
      <c r="K360" s="7">
        <f t="shared" si="113"/>
        <v>1.6254482540186013</v>
      </c>
      <c r="L360" s="4">
        <f t="shared" si="114"/>
        <v>6487.6712328767135</v>
      </c>
      <c r="M360" s="1">
        <f t="shared" si="115"/>
        <v>854.5880957181954</v>
      </c>
      <c r="N360" s="7">
        <f t="shared" si="116"/>
        <v>3.0919660139712803</v>
      </c>
      <c r="O360" s="1">
        <f t="shared" si="117"/>
        <v>3000</v>
      </c>
      <c r="P360" s="2">
        <f t="shared" si="118"/>
        <v>5.5442866045498276</v>
      </c>
      <c r="Q360" s="2">
        <f t="shared" si="105"/>
        <v>206.99686224948042</v>
      </c>
      <c r="S360" s="1">
        <f t="shared" si="106"/>
        <v>3000</v>
      </c>
      <c r="T360" s="1">
        <f t="shared" si="107"/>
        <v>6487.6712328767135</v>
      </c>
      <c r="V360" s="1">
        <f t="shared" si="119"/>
        <v>6487.6712328767135</v>
      </c>
      <c r="W360" s="1">
        <f t="shared" si="120"/>
        <v>3000</v>
      </c>
    </row>
    <row r="361" spans="1:23" x14ac:dyDescent="0.25">
      <c r="A361" s="2">
        <f t="shared" si="121"/>
        <v>34.900000000000226</v>
      </c>
      <c r="B361" s="7">
        <f t="shared" si="104"/>
        <v>23.68</v>
      </c>
      <c r="C361" s="7">
        <f t="shared" si="108"/>
        <v>1.7099386540342918</v>
      </c>
      <c r="D361" s="7">
        <f t="shared" si="109"/>
        <v>3.1107353309528722</v>
      </c>
      <c r="E361" s="7">
        <f t="shared" si="110"/>
        <v>1</v>
      </c>
      <c r="G361" s="4">
        <f t="shared" si="111"/>
        <v>3490.0000000000223</v>
      </c>
      <c r="H361" s="1">
        <f t="shared" si="122"/>
        <v>1.5413851351350647</v>
      </c>
      <c r="I361" s="1">
        <f t="shared" si="123"/>
        <v>594.82999785192453</v>
      </c>
      <c r="J361" s="1">
        <f t="shared" si="112"/>
        <v>19.827666595064152</v>
      </c>
      <c r="K361" s="7">
        <f t="shared" si="113"/>
        <v>1.6296712269915741</v>
      </c>
      <c r="L361" s="4">
        <f t="shared" si="114"/>
        <v>6487.6712328767135</v>
      </c>
      <c r="M361" s="1">
        <f t="shared" si="115"/>
        <v>854.96932701714593</v>
      </c>
      <c r="N361" s="7">
        <f t="shared" si="116"/>
        <v>3.1107353309528722</v>
      </c>
      <c r="O361" s="1">
        <f t="shared" si="117"/>
        <v>3000</v>
      </c>
      <c r="P361" s="2">
        <f t="shared" si="118"/>
        <v>5.5467599078811016</v>
      </c>
      <c r="Q361" s="2">
        <f t="shared" si="105"/>
        <v>208.29374842147465</v>
      </c>
      <c r="S361" s="1">
        <f t="shared" si="106"/>
        <v>3000</v>
      </c>
      <c r="T361" s="1">
        <f t="shared" si="107"/>
        <v>6487.6712328767135</v>
      </c>
      <c r="V361" s="1">
        <f t="shared" si="119"/>
        <v>6487.6712328767135</v>
      </c>
      <c r="W361" s="1">
        <f t="shared" si="120"/>
        <v>3000</v>
      </c>
    </row>
    <row r="362" spans="1:23" x14ac:dyDescent="0.25">
      <c r="A362" s="2">
        <f t="shared" si="121"/>
        <v>35.000000000000227</v>
      </c>
      <c r="B362" s="7">
        <f t="shared" si="104"/>
        <v>23.68</v>
      </c>
      <c r="C362" s="7">
        <f t="shared" si="108"/>
        <v>1.7107014567663561</v>
      </c>
      <c r="D362" s="7">
        <f t="shared" si="109"/>
        <v>3.1296185842644104</v>
      </c>
      <c r="E362" s="7">
        <f t="shared" si="110"/>
        <v>1</v>
      </c>
      <c r="G362" s="4">
        <f t="shared" si="111"/>
        <v>3500.0000000000227</v>
      </c>
      <c r="H362" s="1">
        <f t="shared" si="122"/>
        <v>1.541385135135205</v>
      </c>
      <c r="I362" s="1">
        <f t="shared" si="123"/>
        <v>596.37138298705975</v>
      </c>
      <c r="J362" s="1">
        <f t="shared" si="112"/>
        <v>19.879046099568658</v>
      </c>
      <c r="K362" s="7">
        <f t="shared" si="113"/>
        <v>1.6338941999645473</v>
      </c>
      <c r="L362" s="4">
        <f t="shared" si="114"/>
        <v>6487.6712328767135</v>
      </c>
      <c r="M362" s="1">
        <f t="shared" si="115"/>
        <v>855.35072838317808</v>
      </c>
      <c r="N362" s="7">
        <f t="shared" si="116"/>
        <v>3.1296185842644104</v>
      </c>
      <c r="O362" s="1">
        <f t="shared" si="117"/>
        <v>3000</v>
      </c>
      <c r="P362" s="2">
        <f t="shared" si="118"/>
        <v>5.549234314551688</v>
      </c>
      <c r="Q362" s="2">
        <f t="shared" si="105"/>
        <v>209.59901429386133</v>
      </c>
      <c r="S362" s="1">
        <f t="shared" si="106"/>
        <v>3000</v>
      </c>
      <c r="T362" s="1">
        <f t="shared" si="107"/>
        <v>6487.6712328767135</v>
      </c>
      <c r="V362" s="1">
        <f t="shared" si="119"/>
        <v>6487.6712328767135</v>
      </c>
      <c r="W362" s="1">
        <f t="shared" si="120"/>
        <v>3000</v>
      </c>
    </row>
    <row r="363" spans="1:23" x14ac:dyDescent="0.25">
      <c r="A363" s="2">
        <f t="shared" si="121"/>
        <v>35.100000000000229</v>
      </c>
      <c r="B363" s="7">
        <f t="shared" si="104"/>
        <v>23.68</v>
      </c>
      <c r="C363" s="7">
        <f t="shared" si="108"/>
        <v>1.7114645997843165</v>
      </c>
      <c r="D363" s="7">
        <f t="shared" si="109"/>
        <v>3.1486164655393378</v>
      </c>
      <c r="E363" s="7">
        <f t="shared" si="110"/>
        <v>1</v>
      </c>
      <c r="G363" s="4">
        <f t="shared" si="111"/>
        <v>3510.0000000000227</v>
      </c>
      <c r="H363" s="1">
        <f t="shared" si="122"/>
        <v>1.5413851351351349</v>
      </c>
      <c r="I363" s="1">
        <f t="shared" si="123"/>
        <v>597.91276812219485</v>
      </c>
      <c r="J363" s="1">
        <f t="shared" si="112"/>
        <v>19.930425604073161</v>
      </c>
      <c r="K363" s="7">
        <f t="shared" si="113"/>
        <v>1.6381171729375201</v>
      </c>
      <c r="L363" s="4">
        <f t="shared" si="114"/>
        <v>6487.6712328767135</v>
      </c>
      <c r="M363" s="1">
        <f t="shared" si="115"/>
        <v>855.73229989215827</v>
      </c>
      <c r="N363" s="7">
        <f t="shared" si="116"/>
        <v>3.1486164655393378</v>
      </c>
      <c r="O363" s="1">
        <f t="shared" si="117"/>
        <v>3000</v>
      </c>
      <c r="P363" s="2">
        <f t="shared" si="118"/>
        <v>5.5517098250537842</v>
      </c>
      <c r="Q363" s="2">
        <f t="shared" si="105"/>
        <v>210.9127172104188</v>
      </c>
      <c r="S363" s="1">
        <f t="shared" si="106"/>
        <v>3000</v>
      </c>
      <c r="T363" s="1">
        <f t="shared" si="107"/>
        <v>6487.6712328767135</v>
      </c>
      <c r="V363" s="1">
        <f t="shared" si="119"/>
        <v>6487.6712328767135</v>
      </c>
      <c r="W363" s="1">
        <f t="shared" si="120"/>
        <v>3000</v>
      </c>
    </row>
    <row r="364" spans="1:23" x14ac:dyDescent="0.25">
      <c r="A364" s="2">
        <f t="shared" si="121"/>
        <v>35.20000000000023</v>
      </c>
      <c r="B364" s="7">
        <f t="shared" ref="B364:B427" si="124">IF(A364&lt;=$B$2,$B$3*EXP(A364*$B$4),IF(A364&lt;$B$7,$B$6,IF($B$8*EXP(A364*$B$9)&gt;$B$6,$B$6,$B$8*EXP(A364*$B$9))))</f>
        <v>23.68</v>
      </c>
      <c r="C364" s="7">
        <f t="shared" si="108"/>
        <v>1.7122280832399754</v>
      </c>
      <c r="D364" s="7">
        <f t="shared" si="109"/>
        <v>3.1677296706095524</v>
      </c>
      <c r="E364" s="7">
        <f t="shared" si="110"/>
        <v>1</v>
      </c>
      <c r="G364" s="4">
        <f t="shared" si="111"/>
        <v>3520.0000000000232</v>
      </c>
      <c r="H364" s="1">
        <f t="shared" si="122"/>
        <v>1.541385135135205</v>
      </c>
      <c r="I364" s="1">
        <f t="shared" si="123"/>
        <v>599.45415325733006</v>
      </c>
      <c r="J364" s="1">
        <f t="shared" si="112"/>
        <v>19.981805108577667</v>
      </c>
      <c r="K364" s="7">
        <f t="shared" si="113"/>
        <v>1.6423401459104934</v>
      </c>
      <c r="L364" s="4">
        <f t="shared" si="114"/>
        <v>6487.6712328767135</v>
      </c>
      <c r="M364" s="1">
        <f t="shared" si="115"/>
        <v>856.11404161998769</v>
      </c>
      <c r="N364" s="7">
        <f t="shared" si="116"/>
        <v>3.1677296706095524</v>
      </c>
      <c r="O364" s="1">
        <f t="shared" si="117"/>
        <v>3000</v>
      </c>
      <c r="P364" s="2">
        <f t="shared" si="118"/>
        <v>5.5541864398798113</v>
      </c>
      <c r="Q364" s="2">
        <f t="shared" si="105"/>
        <v>212.23491494762507</v>
      </c>
      <c r="S364" s="1">
        <f t="shared" si="106"/>
        <v>3000</v>
      </c>
      <c r="T364" s="1">
        <f t="shared" si="107"/>
        <v>6487.6712328767135</v>
      </c>
      <c r="V364" s="1">
        <f t="shared" si="119"/>
        <v>6487.6712328767135</v>
      </c>
      <c r="W364" s="1">
        <f t="shared" si="120"/>
        <v>3000</v>
      </c>
    </row>
    <row r="365" spans="1:23" x14ac:dyDescent="0.25">
      <c r="A365" s="2">
        <f t="shared" si="121"/>
        <v>35.300000000000232</v>
      </c>
      <c r="B365" s="7">
        <f t="shared" si="124"/>
        <v>23.68</v>
      </c>
      <c r="C365" s="7">
        <f t="shared" si="108"/>
        <v>1.7129919072852011</v>
      </c>
      <c r="D365" s="7">
        <f t="shared" si="109"/>
        <v>3.1869588995308931</v>
      </c>
      <c r="E365" s="7">
        <f t="shared" si="110"/>
        <v>1</v>
      </c>
      <c r="G365" s="4">
        <f t="shared" si="111"/>
        <v>3530.0000000000232</v>
      </c>
      <c r="H365" s="1">
        <f t="shared" si="122"/>
        <v>1.5413851351351349</v>
      </c>
      <c r="I365" s="1">
        <f t="shared" si="123"/>
        <v>600.99553839246516</v>
      </c>
      <c r="J365" s="1">
        <f t="shared" si="112"/>
        <v>20.033184613082174</v>
      </c>
      <c r="K365" s="7">
        <f t="shared" si="113"/>
        <v>1.6465631188834662</v>
      </c>
      <c r="L365" s="4">
        <f t="shared" si="114"/>
        <v>6487.6712328767135</v>
      </c>
      <c r="M365" s="1">
        <f t="shared" si="115"/>
        <v>856.49595364260051</v>
      </c>
      <c r="N365" s="7">
        <f t="shared" si="116"/>
        <v>3.1869588995308931</v>
      </c>
      <c r="O365" s="1">
        <f t="shared" si="117"/>
        <v>3000</v>
      </c>
      <c r="P365" s="2">
        <f t="shared" si="118"/>
        <v>5.5566641595224064</v>
      </c>
      <c r="Q365" s="2">
        <f t="shared" si="105"/>
        <v>213.56566571842581</v>
      </c>
      <c r="S365" s="1">
        <f t="shared" si="106"/>
        <v>3000</v>
      </c>
      <c r="T365" s="1">
        <f t="shared" si="107"/>
        <v>6487.6712328767135</v>
      </c>
      <c r="V365" s="1">
        <f t="shared" si="119"/>
        <v>6487.6712328767135</v>
      </c>
      <c r="W365" s="1">
        <f t="shared" si="120"/>
        <v>3000</v>
      </c>
    </row>
    <row r="366" spans="1:23" x14ac:dyDescent="0.25">
      <c r="A366" s="2">
        <f t="shared" si="121"/>
        <v>35.400000000000233</v>
      </c>
      <c r="B366" s="7">
        <f t="shared" si="124"/>
        <v>23.68</v>
      </c>
      <c r="C366" s="7">
        <f t="shared" si="108"/>
        <v>1.7137560720719307</v>
      </c>
      <c r="D366" s="7">
        <f t="shared" si="109"/>
        <v>3.2063048566087877</v>
      </c>
      <c r="E366" s="7">
        <f t="shared" si="110"/>
        <v>1</v>
      </c>
      <c r="G366" s="4">
        <f t="shared" si="111"/>
        <v>3540.0000000000232</v>
      </c>
      <c r="H366" s="1">
        <f t="shared" si="122"/>
        <v>1.5413851351351349</v>
      </c>
      <c r="I366" s="1">
        <f t="shared" si="123"/>
        <v>602.53692352760027</v>
      </c>
      <c r="J366" s="1">
        <f t="shared" si="112"/>
        <v>20.084564117586677</v>
      </c>
      <c r="K366" s="7">
        <f t="shared" si="113"/>
        <v>1.650786091856439</v>
      </c>
      <c r="L366" s="4">
        <f t="shared" si="114"/>
        <v>6487.6712328767135</v>
      </c>
      <c r="M366" s="1">
        <f t="shared" si="115"/>
        <v>856.87803603596535</v>
      </c>
      <c r="N366" s="7">
        <f t="shared" si="116"/>
        <v>3.2063048566087877</v>
      </c>
      <c r="O366" s="1">
        <f t="shared" si="117"/>
        <v>3000</v>
      </c>
      <c r="P366" s="2">
        <f t="shared" si="118"/>
        <v>5.5591429844744278</v>
      </c>
      <c r="Q366" s="2">
        <f t="shared" si="105"/>
        <v>214.90502817604218</v>
      </c>
      <c r="S366" s="1">
        <f t="shared" si="106"/>
        <v>3000</v>
      </c>
      <c r="T366" s="1">
        <f t="shared" si="107"/>
        <v>6487.6712328767135</v>
      </c>
      <c r="V366" s="1">
        <f t="shared" si="119"/>
        <v>6487.6712328767135</v>
      </c>
      <c r="W366" s="1">
        <f t="shared" si="120"/>
        <v>3000</v>
      </c>
    </row>
    <row r="367" spans="1:23" x14ac:dyDescent="0.25">
      <c r="A367" s="2">
        <f t="shared" si="121"/>
        <v>35.500000000000234</v>
      </c>
      <c r="B367" s="7">
        <f t="shared" si="124"/>
        <v>23.68</v>
      </c>
      <c r="C367" s="7">
        <f t="shared" si="108"/>
        <v>1.7145205777521688</v>
      </c>
      <c r="D367" s="7">
        <f t="shared" si="109"/>
        <v>3.2257682504240428</v>
      </c>
      <c r="E367" s="7">
        <f t="shared" si="110"/>
        <v>1</v>
      </c>
      <c r="G367" s="4">
        <f t="shared" si="111"/>
        <v>3550.0000000000236</v>
      </c>
      <c r="H367" s="1">
        <f t="shared" si="122"/>
        <v>1.541385135135205</v>
      </c>
      <c r="I367" s="1">
        <f t="shared" si="123"/>
        <v>604.07830866273548</v>
      </c>
      <c r="J367" s="1">
        <f t="shared" si="112"/>
        <v>20.135943622091183</v>
      </c>
      <c r="K367" s="7">
        <f t="shared" si="113"/>
        <v>1.6550090648294122</v>
      </c>
      <c r="L367" s="4">
        <f t="shared" si="114"/>
        <v>6487.6712328767135</v>
      </c>
      <c r="M367" s="1">
        <f t="shared" si="115"/>
        <v>857.26028887608436</v>
      </c>
      <c r="N367" s="7">
        <f t="shared" si="116"/>
        <v>3.2257682504240428</v>
      </c>
      <c r="O367" s="1">
        <f t="shared" si="117"/>
        <v>3000</v>
      </c>
      <c r="P367" s="2">
        <f t="shared" si="118"/>
        <v>5.5616229152289538</v>
      </c>
      <c r="Q367" s="2">
        <f t="shared" si="105"/>
        <v>216.25306141781707</v>
      </c>
      <c r="S367" s="1">
        <f t="shared" si="106"/>
        <v>3000</v>
      </c>
      <c r="T367" s="1">
        <f t="shared" si="107"/>
        <v>6487.6712328767135</v>
      </c>
      <c r="V367" s="1">
        <f t="shared" si="119"/>
        <v>6487.6712328767135</v>
      </c>
      <c r="W367" s="1">
        <f t="shared" si="120"/>
        <v>3000</v>
      </c>
    </row>
    <row r="368" spans="1:23" x14ac:dyDescent="0.25">
      <c r="A368" s="2">
        <f t="shared" si="121"/>
        <v>35.600000000000236</v>
      </c>
      <c r="B368" s="7">
        <f t="shared" si="124"/>
        <v>23.68</v>
      </c>
      <c r="C368" s="7">
        <f t="shared" si="108"/>
        <v>1.7152854244779878</v>
      </c>
      <c r="D368" s="7">
        <f t="shared" si="109"/>
        <v>3.2453497938587961</v>
      </c>
      <c r="E368" s="7">
        <f t="shared" si="110"/>
        <v>1</v>
      </c>
      <c r="G368" s="4">
        <f t="shared" si="111"/>
        <v>3560.0000000000236</v>
      </c>
      <c r="H368" s="1">
        <f t="shared" si="122"/>
        <v>1.5413851351351349</v>
      </c>
      <c r="I368" s="1">
        <f t="shared" si="123"/>
        <v>605.61969379787058</v>
      </c>
      <c r="J368" s="1">
        <f t="shared" si="112"/>
        <v>20.187323126595686</v>
      </c>
      <c r="K368" s="7">
        <f t="shared" si="113"/>
        <v>1.6592320378023853</v>
      </c>
      <c r="L368" s="4">
        <f t="shared" si="114"/>
        <v>6487.6712328767135</v>
      </c>
      <c r="M368" s="1">
        <f t="shared" si="115"/>
        <v>857.64271223899391</v>
      </c>
      <c r="N368" s="7">
        <f t="shared" si="116"/>
        <v>3.2453497938587961</v>
      </c>
      <c r="O368" s="1">
        <f t="shared" si="117"/>
        <v>3000</v>
      </c>
      <c r="P368" s="2">
        <f t="shared" si="118"/>
        <v>5.5641039522792815</v>
      </c>
      <c r="Q368" s="2">
        <f t="shared" ref="Q368:Q431" si="125">IFERROR(N368/100*L368/(1-N368/100),L368*100)</f>
        <v>217.60982498910113</v>
      </c>
      <c r="S368" s="1">
        <f t="shared" si="106"/>
        <v>3000</v>
      </c>
      <c r="T368" s="1">
        <f t="shared" si="107"/>
        <v>6487.6712328767135</v>
      </c>
      <c r="V368" s="1">
        <f t="shared" si="119"/>
        <v>6487.6712328767135</v>
      </c>
      <c r="W368" s="1">
        <f t="shared" si="120"/>
        <v>3000</v>
      </c>
    </row>
    <row r="369" spans="1:23" x14ac:dyDescent="0.25">
      <c r="A369" s="2">
        <f t="shared" si="121"/>
        <v>35.700000000000237</v>
      </c>
      <c r="B369" s="7">
        <f t="shared" si="124"/>
        <v>23.68</v>
      </c>
      <c r="C369" s="7">
        <f t="shared" si="108"/>
        <v>1.716050612401528</v>
      </c>
      <c r="D369" s="7">
        <f t="shared" si="109"/>
        <v>3.2650502041226326</v>
      </c>
      <c r="E369" s="7">
        <f t="shared" si="110"/>
        <v>1</v>
      </c>
      <c r="G369" s="4">
        <f t="shared" si="111"/>
        <v>3570.0000000000236</v>
      </c>
      <c r="H369" s="1">
        <f t="shared" si="122"/>
        <v>1.5413851351351349</v>
      </c>
      <c r="I369" s="1">
        <f t="shared" si="123"/>
        <v>607.16107893300568</v>
      </c>
      <c r="J369" s="1">
        <f t="shared" si="112"/>
        <v>20.238702631100189</v>
      </c>
      <c r="K369" s="7">
        <f t="shared" si="113"/>
        <v>1.6634550107753581</v>
      </c>
      <c r="L369" s="4">
        <f t="shared" si="114"/>
        <v>6487.6712328767135</v>
      </c>
      <c r="M369" s="1">
        <f t="shared" si="115"/>
        <v>858.02530620076402</v>
      </c>
      <c r="N369" s="7">
        <f t="shared" si="116"/>
        <v>3.2650502041226326</v>
      </c>
      <c r="O369" s="1">
        <f t="shared" si="117"/>
        <v>3000</v>
      </c>
      <c r="P369" s="2">
        <f t="shared" si="118"/>
        <v>5.5665860961189306</v>
      </c>
      <c r="Q369" s="2">
        <f t="shared" si="125"/>
        <v>218.97537888718063</v>
      </c>
      <c r="S369" s="1">
        <f t="shared" si="106"/>
        <v>3000</v>
      </c>
      <c r="T369" s="1">
        <f t="shared" si="107"/>
        <v>6487.6712328767135</v>
      </c>
      <c r="V369" s="1">
        <f t="shared" si="119"/>
        <v>6487.6712328767135</v>
      </c>
      <c r="W369" s="1">
        <f t="shared" si="120"/>
        <v>3000</v>
      </c>
    </row>
    <row r="370" spans="1:23" x14ac:dyDescent="0.25">
      <c r="A370" s="2">
        <f t="shared" si="121"/>
        <v>35.800000000000239</v>
      </c>
      <c r="B370" s="7">
        <f t="shared" si="124"/>
        <v>23.68</v>
      </c>
      <c r="C370" s="7">
        <f t="shared" si="108"/>
        <v>1.7168161416749974</v>
      </c>
      <c r="D370" s="7">
        <f t="shared" si="109"/>
        <v>3.284870202778853</v>
      </c>
      <c r="E370" s="7">
        <f t="shared" si="110"/>
        <v>1</v>
      </c>
      <c r="G370" s="4">
        <f t="shared" si="111"/>
        <v>3580.0000000000236</v>
      </c>
      <c r="H370" s="1">
        <f t="shared" si="122"/>
        <v>1.5413851351351349</v>
      </c>
      <c r="I370" s="1">
        <f t="shared" si="123"/>
        <v>608.70246406814078</v>
      </c>
      <c r="J370" s="1">
        <f t="shared" si="112"/>
        <v>20.290082135604692</v>
      </c>
      <c r="K370" s="7">
        <f t="shared" si="113"/>
        <v>1.6676779837483309</v>
      </c>
      <c r="L370" s="4">
        <f t="shared" si="114"/>
        <v>6487.6712328767135</v>
      </c>
      <c r="M370" s="1">
        <f t="shared" si="115"/>
        <v>858.40807083749871</v>
      </c>
      <c r="N370" s="7">
        <f t="shared" si="116"/>
        <v>3.284870202778853</v>
      </c>
      <c r="O370" s="1">
        <f t="shared" si="117"/>
        <v>3000</v>
      </c>
      <c r="P370" s="2">
        <f t="shared" si="118"/>
        <v>5.5690693472416362</v>
      </c>
      <c r="Q370" s="2">
        <f t="shared" si="125"/>
        <v>220.34978356524502</v>
      </c>
      <c r="S370" s="1">
        <f t="shared" si="106"/>
        <v>3000</v>
      </c>
      <c r="T370" s="1">
        <f t="shared" si="107"/>
        <v>6487.6712328767135</v>
      </c>
      <c r="V370" s="1">
        <f t="shared" si="119"/>
        <v>6487.6712328767135</v>
      </c>
      <c r="W370" s="1">
        <f t="shared" si="120"/>
        <v>3000</v>
      </c>
    </row>
    <row r="371" spans="1:23" x14ac:dyDescent="0.25">
      <c r="A371" s="2">
        <f t="shared" si="121"/>
        <v>35.90000000000024</v>
      </c>
      <c r="B371" s="7">
        <f t="shared" si="124"/>
        <v>23.68</v>
      </c>
      <c r="C371" s="7">
        <f t="shared" si="108"/>
        <v>1.7175820124506722</v>
      </c>
      <c r="D371" s="7">
        <f t="shared" si="109"/>
        <v>3.3048105157708929</v>
      </c>
      <c r="E371" s="7">
        <f t="shared" si="110"/>
        <v>1</v>
      </c>
      <c r="G371" s="4">
        <f t="shared" si="111"/>
        <v>3590.0000000000241</v>
      </c>
      <c r="H371" s="1">
        <f t="shared" si="122"/>
        <v>1.541385135135205</v>
      </c>
      <c r="I371" s="1">
        <f t="shared" si="123"/>
        <v>610.243849203276</v>
      </c>
      <c r="J371" s="1">
        <f t="shared" si="112"/>
        <v>20.341461640109198</v>
      </c>
      <c r="K371" s="7">
        <f t="shared" si="113"/>
        <v>1.6719009567213041</v>
      </c>
      <c r="L371" s="4">
        <f t="shared" si="114"/>
        <v>6487.6712328767135</v>
      </c>
      <c r="M371" s="1">
        <f t="shared" si="115"/>
        <v>858.7910062253361</v>
      </c>
      <c r="N371" s="7">
        <f t="shared" si="116"/>
        <v>3.3048105157708929</v>
      </c>
      <c r="O371" s="1">
        <f t="shared" si="117"/>
        <v>3000</v>
      </c>
      <c r="P371" s="2">
        <f t="shared" si="118"/>
        <v>5.5715537061413594</v>
      </c>
      <c r="Q371" s="2">
        <f t="shared" si="125"/>
        <v>221.73309993639555</v>
      </c>
      <c r="S371" s="1">
        <f t="shared" si="106"/>
        <v>3000</v>
      </c>
      <c r="T371" s="1">
        <f t="shared" si="107"/>
        <v>6487.6712328767135</v>
      </c>
      <c r="V371" s="1">
        <f t="shared" si="119"/>
        <v>6487.6712328767135</v>
      </c>
      <c r="W371" s="1">
        <f t="shared" si="120"/>
        <v>3000</v>
      </c>
    </row>
    <row r="372" spans="1:23" x14ac:dyDescent="0.25">
      <c r="A372" s="2">
        <f t="shared" si="121"/>
        <v>36.000000000000242</v>
      </c>
      <c r="B372" s="7">
        <f t="shared" si="124"/>
        <v>23.68</v>
      </c>
      <c r="C372" s="7">
        <f t="shared" si="108"/>
        <v>1.7183482248808961</v>
      </c>
      <c r="D372" s="7">
        <f t="shared" si="109"/>
        <v>3.3248718734489251</v>
      </c>
      <c r="E372" s="7">
        <f t="shared" si="110"/>
        <v>1</v>
      </c>
      <c r="G372" s="4">
        <f t="shared" si="111"/>
        <v>3600.0000000000246</v>
      </c>
      <c r="H372" s="1">
        <f t="shared" si="122"/>
        <v>1.541385135135205</v>
      </c>
      <c r="I372" s="1">
        <f t="shared" si="123"/>
        <v>611.78523433841121</v>
      </c>
      <c r="J372" s="1">
        <f t="shared" si="112"/>
        <v>20.392841144613708</v>
      </c>
      <c r="K372" s="7">
        <f t="shared" si="113"/>
        <v>1.6761239296942774</v>
      </c>
      <c r="L372" s="4">
        <f t="shared" si="114"/>
        <v>6487.6712328767135</v>
      </c>
      <c r="M372" s="1">
        <f t="shared" si="115"/>
        <v>859.17411244044808</v>
      </c>
      <c r="N372" s="7">
        <f t="shared" si="116"/>
        <v>3.3248718734489251</v>
      </c>
      <c r="O372" s="1">
        <f t="shared" si="117"/>
        <v>3000</v>
      </c>
      <c r="P372" s="2">
        <f t="shared" si="118"/>
        <v>5.5740391733122774</v>
      </c>
      <c r="Q372" s="2">
        <f t="shared" si="125"/>
        <v>223.12538937769742</v>
      </c>
      <c r="S372" s="1">
        <f t="shared" si="106"/>
        <v>3000</v>
      </c>
      <c r="T372" s="1">
        <f t="shared" si="107"/>
        <v>6487.6712328767135</v>
      </c>
      <c r="V372" s="1">
        <f t="shared" si="119"/>
        <v>6487.6712328767135</v>
      </c>
      <c r="W372" s="1">
        <f t="shared" si="120"/>
        <v>3000</v>
      </c>
    </row>
    <row r="373" spans="1:23" x14ac:dyDescent="0.25">
      <c r="A373" s="2">
        <f t="shared" si="121"/>
        <v>36.100000000000243</v>
      </c>
      <c r="B373" s="7">
        <f t="shared" si="124"/>
        <v>23.68</v>
      </c>
      <c r="C373" s="7">
        <f t="shared" si="108"/>
        <v>1.719114779118081</v>
      </c>
      <c r="D373" s="7">
        <f t="shared" si="109"/>
        <v>3.3450550105966035</v>
      </c>
      <c r="E373" s="7">
        <f t="shared" si="110"/>
        <v>1</v>
      </c>
      <c r="G373" s="4">
        <f t="shared" si="111"/>
        <v>3610.0000000000241</v>
      </c>
      <c r="H373" s="1">
        <f t="shared" si="122"/>
        <v>1.5413851351350647</v>
      </c>
      <c r="I373" s="1">
        <f t="shared" si="123"/>
        <v>613.32661947354632</v>
      </c>
      <c r="J373" s="1">
        <f t="shared" si="112"/>
        <v>20.444220649118211</v>
      </c>
      <c r="K373" s="7">
        <f t="shared" si="113"/>
        <v>1.6803469026672502</v>
      </c>
      <c r="L373" s="4">
        <f t="shared" si="114"/>
        <v>6487.6712328767135</v>
      </c>
      <c r="M373" s="1">
        <f t="shared" si="115"/>
        <v>859.55738955904053</v>
      </c>
      <c r="N373" s="7">
        <f t="shared" si="116"/>
        <v>3.3450550105966035</v>
      </c>
      <c r="O373" s="1">
        <f t="shared" si="117"/>
        <v>3000</v>
      </c>
      <c r="P373" s="2">
        <f t="shared" si="118"/>
        <v>5.5765257492487894</v>
      </c>
      <c r="Q373" s="2">
        <f t="shared" si="125"/>
        <v>224.52671373427316</v>
      </c>
      <c r="S373" s="1">
        <f t="shared" si="106"/>
        <v>3000</v>
      </c>
      <c r="T373" s="1">
        <f t="shared" si="107"/>
        <v>6487.6712328767135</v>
      </c>
      <c r="V373" s="1">
        <f t="shared" si="119"/>
        <v>6487.6712328767135</v>
      </c>
      <c r="W373" s="1">
        <f t="shared" si="120"/>
        <v>3000</v>
      </c>
    </row>
    <row r="374" spans="1:23" x14ac:dyDescent="0.25">
      <c r="A374" s="2">
        <f t="shared" si="121"/>
        <v>36.200000000000244</v>
      </c>
      <c r="B374" s="7">
        <f t="shared" si="124"/>
        <v>23.68</v>
      </c>
      <c r="C374" s="7">
        <f t="shared" si="108"/>
        <v>1.7198816753147073</v>
      </c>
      <c r="D374" s="7">
        <f t="shared" si="109"/>
        <v>3.3653606664579714</v>
      </c>
      <c r="E374" s="7">
        <f t="shared" si="110"/>
        <v>1</v>
      </c>
      <c r="G374" s="4">
        <f t="shared" si="111"/>
        <v>3620.0000000000241</v>
      </c>
      <c r="H374" s="1">
        <f t="shared" si="122"/>
        <v>1.5413851351351349</v>
      </c>
      <c r="I374" s="1">
        <f t="shared" si="123"/>
        <v>614.86800460868142</v>
      </c>
      <c r="J374" s="1">
        <f t="shared" si="112"/>
        <v>20.495600153622714</v>
      </c>
      <c r="K374" s="7">
        <f t="shared" si="113"/>
        <v>1.684569875640223</v>
      </c>
      <c r="L374" s="4">
        <f t="shared" si="114"/>
        <v>6487.6712328767135</v>
      </c>
      <c r="M374" s="1">
        <f t="shared" si="115"/>
        <v>859.94083765735365</v>
      </c>
      <c r="N374" s="7">
        <f t="shared" si="116"/>
        <v>3.3653606664579714</v>
      </c>
      <c r="O374" s="1">
        <f t="shared" si="117"/>
        <v>3000</v>
      </c>
      <c r="P374" s="2">
        <f t="shared" si="118"/>
        <v>5.5790134344455176</v>
      </c>
      <c r="Q374" s="2">
        <f t="shared" si="125"/>
        <v>225.93713532343878</v>
      </c>
      <c r="S374" s="1">
        <f t="shared" si="106"/>
        <v>3000</v>
      </c>
      <c r="T374" s="1">
        <f t="shared" si="107"/>
        <v>6487.6712328767135</v>
      </c>
      <c r="V374" s="1">
        <f t="shared" si="119"/>
        <v>6487.6712328767135</v>
      </c>
      <c r="W374" s="1">
        <f t="shared" si="120"/>
        <v>3000</v>
      </c>
    </row>
    <row r="375" spans="1:23" x14ac:dyDescent="0.25">
      <c r="A375" s="2">
        <f t="shared" si="121"/>
        <v>36.300000000000246</v>
      </c>
      <c r="B375" s="7">
        <f t="shared" si="124"/>
        <v>23.68</v>
      </c>
      <c r="C375" s="7">
        <f t="shared" si="108"/>
        <v>1.7206489136233225</v>
      </c>
      <c r="D375" s="7">
        <f t="shared" si="109"/>
        <v>3.3857895847645465</v>
      </c>
      <c r="E375" s="7">
        <f t="shared" si="110"/>
        <v>1</v>
      </c>
      <c r="G375" s="4">
        <f t="shared" si="111"/>
        <v>3630.0000000000241</v>
      </c>
      <c r="H375" s="1">
        <f t="shared" si="122"/>
        <v>1.5413851351351349</v>
      </c>
      <c r="I375" s="1">
        <f t="shared" si="123"/>
        <v>616.40938974381652</v>
      </c>
      <c r="J375" s="1">
        <f t="shared" si="112"/>
        <v>20.546979658127217</v>
      </c>
      <c r="K375" s="7">
        <f t="shared" si="113"/>
        <v>1.688792848613196</v>
      </c>
      <c r="L375" s="4">
        <f t="shared" si="114"/>
        <v>6487.6712328767135</v>
      </c>
      <c r="M375" s="1">
        <f t="shared" si="115"/>
        <v>860.32445681166121</v>
      </c>
      <c r="N375" s="7">
        <f t="shared" si="116"/>
        <v>3.3857895847645465</v>
      </c>
      <c r="O375" s="1">
        <f t="shared" si="117"/>
        <v>3000</v>
      </c>
      <c r="P375" s="2">
        <f t="shared" si="118"/>
        <v>5.5815022293972989</v>
      </c>
      <c r="Q375" s="2">
        <f t="shared" si="125"/>
        <v>227.35671693888477</v>
      </c>
      <c r="S375" s="1">
        <f t="shared" si="106"/>
        <v>3000</v>
      </c>
      <c r="T375" s="1">
        <f t="shared" si="107"/>
        <v>6487.6712328767135</v>
      </c>
      <c r="V375" s="1">
        <f t="shared" si="119"/>
        <v>6487.6712328767135</v>
      </c>
      <c r="W375" s="1">
        <f t="shared" si="120"/>
        <v>3000</v>
      </c>
    </row>
    <row r="376" spans="1:23" x14ac:dyDescent="0.25">
      <c r="A376" s="2">
        <f t="shared" si="121"/>
        <v>36.400000000000247</v>
      </c>
      <c r="B376" s="7">
        <f t="shared" si="124"/>
        <v>23.68</v>
      </c>
      <c r="C376" s="7">
        <f t="shared" si="108"/>
        <v>1.7214164941965426</v>
      </c>
      <c r="D376" s="7">
        <f t="shared" si="109"/>
        <v>3.4063425137625569</v>
      </c>
      <c r="E376" s="7">
        <f t="shared" si="110"/>
        <v>1</v>
      </c>
      <c r="G376" s="4">
        <f t="shared" si="111"/>
        <v>3640.000000000025</v>
      </c>
      <c r="H376" s="1">
        <f t="shared" si="122"/>
        <v>1.541385135135275</v>
      </c>
      <c r="I376" s="1">
        <f t="shared" si="123"/>
        <v>617.95077487895185</v>
      </c>
      <c r="J376" s="1">
        <f t="shared" si="112"/>
        <v>20.598359162631727</v>
      </c>
      <c r="K376" s="7">
        <f t="shared" si="113"/>
        <v>1.6930158215861695</v>
      </c>
      <c r="L376" s="4">
        <f t="shared" si="114"/>
        <v>6487.6712328767135</v>
      </c>
      <c r="M376" s="1">
        <f t="shared" si="115"/>
        <v>860.70824709827127</v>
      </c>
      <c r="N376" s="7">
        <f t="shared" si="116"/>
        <v>3.4063425137625569</v>
      </c>
      <c r="O376" s="1">
        <f t="shared" si="117"/>
        <v>3000</v>
      </c>
      <c r="P376" s="2">
        <f t="shared" si="118"/>
        <v>5.583992134599197</v>
      </c>
      <c r="Q376" s="2">
        <f t="shared" si="125"/>
        <v>228.78552185489991</v>
      </c>
      <c r="S376" s="1">
        <f t="shared" si="106"/>
        <v>3000</v>
      </c>
      <c r="T376" s="1">
        <f t="shared" si="107"/>
        <v>6487.6712328767135</v>
      </c>
      <c r="V376" s="1">
        <f t="shared" si="119"/>
        <v>6487.6712328767135</v>
      </c>
      <c r="W376" s="1">
        <f t="shared" si="120"/>
        <v>3000</v>
      </c>
    </row>
    <row r="377" spans="1:23" x14ac:dyDescent="0.25">
      <c r="A377" s="2">
        <f t="shared" si="121"/>
        <v>36.500000000000249</v>
      </c>
      <c r="B377" s="7">
        <f t="shared" si="124"/>
        <v>23.68</v>
      </c>
      <c r="C377" s="7">
        <f t="shared" si="108"/>
        <v>1.7221844171870517</v>
      </c>
      <c r="D377" s="7">
        <f t="shared" si="109"/>
        <v>3.427020206240349</v>
      </c>
      <c r="E377" s="7">
        <f t="shared" si="110"/>
        <v>1</v>
      </c>
      <c r="G377" s="4">
        <f t="shared" si="111"/>
        <v>3650.0000000000246</v>
      </c>
      <c r="H377" s="1">
        <f t="shared" si="122"/>
        <v>1.5413851351350647</v>
      </c>
      <c r="I377" s="1">
        <f t="shared" si="123"/>
        <v>619.49216001408695</v>
      </c>
      <c r="J377" s="1">
        <f t="shared" si="112"/>
        <v>20.64973866713623</v>
      </c>
      <c r="K377" s="7">
        <f t="shared" si="113"/>
        <v>1.6972387945591423</v>
      </c>
      <c r="L377" s="4">
        <f t="shared" si="114"/>
        <v>6487.6712328767135</v>
      </c>
      <c r="M377" s="1">
        <f t="shared" si="115"/>
        <v>861.09220859352581</v>
      </c>
      <c r="N377" s="7">
        <f t="shared" si="116"/>
        <v>3.427020206240349</v>
      </c>
      <c r="O377" s="1">
        <f t="shared" si="117"/>
        <v>3000</v>
      </c>
      <c r="P377" s="2">
        <f t="shared" si="118"/>
        <v>5.586483150546492</v>
      </c>
      <c r="Q377" s="2">
        <f t="shared" si="125"/>
        <v>230.22361383064012</v>
      </c>
      <c r="S377" s="1">
        <f t="shared" si="106"/>
        <v>3000</v>
      </c>
      <c r="T377" s="1">
        <f t="shared" si="107"/>
        <v>6487.6712328767135</v>
      </c>
      <c r="V377" s="1">
        <f t="shared" si="119"/>
        <v>6487.6712328767135</v>
      </c>
      <c r="W377" s="1">
        <f t="shared" si="120"/>
        <v>3000</v>
      </c>
    </row>
    <row r="378" spans="1:23" x14ac:dyDescent="0.25">
      <c r="A378" s="2">
        <f t="shared" si="121"/>
        <v>36.60000000000025</v>
      </c>
      <c r="B378" s="7">
        <f t="shared" si="124"/>
        <v>23.68</v>
      </c>
      <c r="C378" s="7">
        <f t="shared" si="108"/>
        <v>1.7229526827476023</v>
      </c>
      <c r="D378" s="7">
        <f t="shared" si="109"/>
        <v>3.4478234195559523</v>
      </c>
      <c r="E378" s="7">
        <f t="shared" si="110"/>
        <v>1</v>
      </c>
      <c r="G378" s="4">
        <f t="shared" si="111"/>
        <v>3660.000000000025</v>
      </c>
      <c r="H378" s="1">
        <f t="shared" si="122"/>
        <v>1.541385135135205</v>
      </c>
      <c r="I378" s="1">
        <f t="shared" si="123"/>
        <v>621.03354514922216</v>
      </c>
      <c r="J378" s="1">
        <f t="shared" si="112"/>
        <v>20.70111817164074</v>
      </c>
      <c r="K378" s="7">
        <f t="shared" si="113"/>
        <v>1.7014617675321155</v>
      </c>
      <c r="L378" s="4">
        <f t="shared" si="114"/>
        <v>6487.6712328767135</v>
      </c>
      <c r="M378" s="1">
        <f t="shared" si="115"/>
        <v>861.47634137380112</v>
      </c>
      <c r="N378" s="7">
        <f t="shared" si="116"/>
        <v>3.4478234195559523</v>
      </c>
      <c r="O378" s="1">
        <f t="shared" si="117"/>
        <v>3000</v>
      </c>
      <c r="P378" s="2">
        <f t="shared" si="118"/>
        <v>5.5889752777346882</v>
      </c>
      <c r="Q378" s="2">
        <f t="shared" si="125"/>
        <v>231.67105711444231</v>
      </c>
      <c r="S378" s="1">
        <f t="shared" si="106"/>
        <v>3000</v>
      </c>
      <c r="T378" s="1">
        <f t="shared" si="107"/>
        <v>6487.6712328767135</v>
      </c>
      <c r="V378" s="1">
        <f t="shared" si="119"/>
        <v>6487.6712328767135</v>
      </c>
      <c r="W378" s="1">
        <f t="shared" si="120"/>
        <v>3000</v>
      </c>
    </row>
    <row r="379" spans="1:23" x14ac:dyDescent="0.25">
      <c r="A379" s="2">
        <f t="shared" si="121"/>
        <v>36.700000000000252</v>
      </c>
      <c r="B379" s="7">
        <f t="shared" si="124"/>
        <v>23.68</v>
      </c>
      <c r="C379" s="7">
        <f t="shared" si="108"/>
        <v>1.723721291031014</v>
      </c>
      <c r="D379" s="7">
        <f t="shared" si="109"/>
        <v>3.4687529156648305</v>
      </c>
      <c r="E379" s="7">
        <f t="shared" si="110"/>
        <v>1</v>
      </c>
      <c r="G379" s="4">
        <f t="shared" si="111"/>
        <v>3670.000000000025</v>
      </c>
      <c r="H379" s="1">
        <f t="shared" si="122"/>
        <v>1.5413851351351349</v>
      </c>
      <c r="I379" s="1">
        <f t="shared" si="123"/>
        <v>622.57493028435727</v>
      </c>
      <c r="J379" s="1">
        <f t="shared" si="112"/>
        <v>20.752497676145243</v>
      </c>
      <c r="K379" s="7">
        <f t="shared" si="113"/>
        <v>1.7056847405050883</v>
      </c>
      <c r="L379" s="4">
        <f t="shared" si="114"/>
        <v>6487.6712328767135</v>
      </c>
      <c r="M379" s="1">
        <f t="shared" si="115"/>
        <v>861.86064551550703</v>
      </c>
      <c r="N379" s="7">
        <f t="shared" si="116"/>
        <v>3.4687529156648305</v>
      </c>
      <c r="O379" s="1">
        <f t="shared" si="117"/>
        <v>3000</v>
      </c>
      <c r="P379" s="2">
        <f t="shared" si="118"/>
        <v>5.5914685166595097</v>
      </c>
      <c r="Q379" s="2">
        <f t="shared" si="125"/>
        <v>233.12791644818452</v>
      </c>
      <c r="S379" s="1">
        <f t="shared" si="106"/>
        <v>3000</v>
      </c>
      <c r="T379" s="1">
        <f t="shared" si="107"/>
        <v>6487.6712328767135</v>
      </c>
      <c r="V379" s="1">
        <f t="shared" si="119"/>
        <v>6487.6712328767135</v>
      </c>
      <c r="W379" s="1">
        <f t="shared" si="120"/>
        <v>3000</v>
      </c>
    </row>
    <row r="380" spans="1:23" x14ac:dyDescent="0.25">
      <c r="A380" s="2">
        <f t="shared" si="121"/>
        <v>36.800000000000253</v>
      </c>
      <c r="B380" s="7">
        <f t="shared" si="124"/>
        <v>23.68</v>
      </c>
      <c r="C380" s="7">
        <f t="shared" si="108"/>
        <v>1.724490242190176</v>
      </c>
      <c r="D380" s="7">
        <f t="shared" si="109"/>
        <v>3.489809461147785</v>
      </c>
      <c r="E380" s="7">
        <f t="shared" si="110"/>
        <v>1</v>
      </c>
      <c r="G380" s="4">
        <f t="shared" si="111"/>
        <v>3680.0000000000255</v>
      </c>
      <c r="H380" s="1">
        <f t="shared" si="122"/>
        <v>1.541385135135205</v>
      </c>
      <c r="I380" s="1">
        <f t="shared" si="123"/>
        <v>624.11631541949248</v>
      </c>
      <c r="J380" s="1">
        <f t="shared" si="112"/>
        <v>20.803877180649749</v>
      </c>
      <c r="K380" s="7">
        <f t="shared" si="113"/>
        <v>1.7099077134780616</v>
      </c>
      <c r="L380" s="4">
        <f t="shared" si="114"/>
        <v>6487.6712328767135</v>
      </c>
      <c r="M380" s="1">
        <f t="shared" si="115"/>
        <v>862.24512109508805</v>
      </c>
      <c r="N380" s="7">
        <f t="shared" si="116"/>
        <v>3.489809461147785</v>
      </c>
      <c r="O380" s="1">
        <f t="shared" si="117"/>
        <v>3000</v>
      </c>
      <c r="P380" s="2">
        <f t="shared" si="118"/>
        <v>5.5939628678169004</v>
      </c>
      <c r="Q380" s="2">
        <f t="shared" si="125"/>
        <v>234.59425707169197</v>
      </c>
      <c r="S380" s="1">
        <f t="shared" si="106"/>
        <v>3000</v>
      </c>
      <c r="T380" s="1">
        <f t="shared" si="107"/>
        <v>6487.6712328767135</v>
      </c>
      <c r="V380" s="1">
        <f t="shared" si="119"/>
        <v>6487.6712328767135</v>
      </c>
      <c r="W380" s="1">
        <f t="shared" si="120"/>
        <v>3000</v>
      </c>
    </row>
    <row r="381" spans="1:23" x14ac:dyDescent="0.25">
      <c r="A381" s="2">
        <f t="shared" si="121"/>
        <v>36.900000000000254</v>
      </c>
      <c r="B381" s="7">
        <f t="shared" si="124"/>
        <v>23.68</v>
      </c>
      <c r="C381" s="7">
        <f t="shared" si="108"/>
        <v>1.725259536378045</v>
      </c>
      <c r="D381" s="7">
        <f t="shared" si="109"/>
        <v>3.510993827239024</v>
      </c>
      <c r="E381" s="7">
        <f t="shared" si="110"/>
        <v>1</v>
      </c>
      <c r="G381" s="4">
        <f t="shared" si="111"/>
        <v>3690.0000000000255</v>
      </c>
      <c r="H381" s="1">
        <f t="shared" si="122"/>
        <v>1.5413851351351349</v>
      </c>
      <c r="I381" s="1">
        <f t="shared" si="123"/>
        <v>625.65770055462758</v>
      </c>
      <c r="J381" s="1">
        <f t="shared" si="112"/>
        <v>20.855256685154252</v>
      </c>
      <c r="K381" s="7">
        <f t="shared" si="113"/>
        <v>1.7141306864510344</v>
      </c>
      <c r="L381" s="4">
        <f t="shared" si="114"/>
        <v>6487.6712328767135</v>
      </c>
      <c r="M381" s="1">
        <f t="shared" si="115"/>
        <v>862.62976818902246</v>
      </c>
      <c r="N381" s="7">
        <f t="shared" si="116"/>
        <v>3.510993827239024</v>
      </c>
      <c r="O381" s="1">
        <f t="shared" si="117"/>
        <v>3000</v>
      </c>
      <c r="P381" s="2">
        <f t="shared" si="118"/>
        <v>5.5964583317030288</v>
      </c>
      <c r="Q381" s="2">
        <f t="shared" si="125"/>
        <v>236.07014472718919</v>
      </c>
      <c r="S381" s="1">
        <f t="shared" si="106"/>
        <v>3000</v>
      </c>
      <c r="T381" s="1">
        <f t="shared" si="107"/>
        <v>6487.6712328767135</v>
      </c>
      <c r="V381" s="1">
        <f t="shared" si="119"/>
        <v>6487.6712328767135</v>
      </c>
      <c r="W381" s="1">
        <f t="shared" si="120"/>
        <v>3000</v>
      </c>
    </row>
    <row r="382" spans="1:23" x14ac:dyDescent="0.25">
      <c r="A382" s="2">
        <f t="shared" si="121"/>
        <v>37.000000000000256</v>
      </c>
      <c r="B382" s="7">
        <f t="shared" si="124"/>
        <v>23.68</v>
      </c>
      <c r="C382" s="7">
        <f t="shared" si="108"/>
        <v>1.726029173747645</v>
      </c>
      <c r="D382" s="7">
        <f t="shared" si="109"/>
        <v>3.5323067898544238</v>
      </c>
      <c r="E382" s="7">
        <f t="shared" si="110"/>
        <v>1</v>
      </c>
      <c r="G382" s="4">
        <f t="shared" si="111"/>
        <v>3700.0000000000255</v>
      </c>
      <c r="H382" s="1">
        <f t="shared" si="122"/>
        <v>1.5413851351351349</v>
      </c>
      <c r="I382" s="1">
        <f t="shared" si="123"/>
        <v>627.19908568976268</v>
      </c>
      <c r="J382" s="1">
        <f t="shared" si="112"/>
        <v>20.906636189658755</v>
      </c>
      <c r="K382" s="7">
        <f t="shared" si="113"/>
        <v>1.7183536594240074</v>
      </c>
      <c r="L382" s="4">
        <f t="shared" si="114"/>
        <v>6487.6712328767135</v>
      </c>
      <c r="M382" s="1">
        <f t="shared" si="115"/>
        <v>863.01458687382251</v>
      </c>
      <c r="N382" s="7">
        <f t="shared" si="116"/>
        <v>3.5323067898544238</v>
      </c>
      <c r="O382" s="1">
        <f t="shared" si="117"/>
        <v>3000</v>
      </c>
      <c r="P382" s="2">
        <f t="shared" si="118"/>
        <v>5.5989549088142789</v>
      </c>
      <c r="Q382" s="2">
        <f t="shared" si="125"/>
        <v>237.55564566380133</v>
      </c>
      <c r="S382" s="1">
        <f t="shared" si="106"/>
        <v>3000</v>
      </c>
      <c r="T382" s="1">
        <f t="shared" si="107"/>
        <v>6487.6712328767135</v>
      </c>
      <c r="V382" s="1">
        <f t="shared" si="119"/>
        <v>6487.6712328767135</v>
      </c>
      <c r="W382" s="1">
        <f t="shared" si="120"/>
        <v>3000</v>
      </c>
    </row>
    <row r="383" spans="1:23" x14ac:dyDescent="0.25">
      <c r="A383" s="2">
        <f t="shared" si="121"/>
        <v>37.100000000000257</v>
      </c>
      <c r="B383" s="7">
        <f t="shared" si="124"/>
        <v>23.68</v>
      </c>
      <c r="C383" s="7">
        <f t="shared" si="108"/>
        <v>1.7267991544520702</v>
      </c>
      <c r="D383" s="7">
        <f t="shared" si="109"/>
        <v>3.5537491296199422</v>
      </c>
      <c r="E383" s="7">
        <f t="shared" si="110"/>
        <v>1</v>
      </c>
      <c r="G383" s="4">
        <f t="shared" si="111"/>
        <v>3710.0000000000259</v>
      </c>
      <c r="H383" s="1">
        <f t="shared" si="122"/>
        <v>1.541385135135205</v>
      </c>
      <c r="I383" s="1">
        <f t="shared" si="123"/>
        <v>628.7404708248979</v>
      </c>
      <c r="J383" s="1">
        <f t="shared" si="112"/>
        <v>20.958015694163262</v>
      </c>
      <c r="K383" s="7">
        <f t="shared" si="113"/>
        <v>1.7225766323969804</v>
      </c>
      <c r="L383" s="4">
        <f t="shared" si="114"/>
        <v>6487.6712328767135</v>
      </c>
      <c r="M383" s="1">
        <f t="shared" si="115"/>
        <v>863.39957722603515</v>
      </c>
      <c r="N383" s="7">
        <f t="shared" si="116"/>
        <v>3.5537491296199422</v>
      </c>
      <c r="O383" s="1">
        <f t="shared" si="117"/>
        <v>3000</v>
      </c>
      <c r="P383" s="2">
        <f t="shared" si="118"/>
        <v>5.6014525996472653</v>
      </c>
      <c r="Q383" s="2">
        <f t="shared" si="125"/>
        <v>239.05082664210258</v>
      </c>
      <c r="S383" s="1">
        <f t="shared" si="106"/>
        <v>3000</v>
      </c>
      <c r="T383" s="1">
        <f t="shared" si="107"/>
        <v>6487.6712328767135</v>
      </c>
      <c r="V383" s="1">
        <f t="shared" si="119"/>
        <v>6487.6712328767135</v>
      </c>
      <c r="W383" s="1">
        <f t="shared" si="120"/>
        <v>3000</v>
      </c>
    </row>
    <row r="384" spans="1:23" x14ac:dyDescent="0.25">
      <c r="A384" s="2">
        <f t="shared" si="121"/>
        <v>37.200000000000259</v>
      </c>
      <c r="B384" s="7">
        <f t="shared" si="124"/>
        <v>23.68</v>
      </c>
      <c r="C384" s="7">
        <f t="shared" si="108"/>
        <v>1.7275694786444817</v>
      </c>
      <c r="D384" s="7">
        <f t="shared" si="109"/>
        <v>3.5753216319002035</v>
      </c>
      <c r="E384" s="7">
        <f t="shared" si="110"/>
        <v>1</v>
      </c>
      <c r="G384" s="4">
        <f t="shared" si="111"/>
        <v>3720.0000000000259</v>
      </c>
      <c r="H384" s="1">
        <f t="shared" si="122"/>
        <v>1.5413851351351349</v>
      </c>
      <c r="I384" s="1">
        <f t="shared" si="123"/>
        <v>630.281855960033</v>
      </c>
      <c r="J384" s="1">
        <f t="shared" si="112"/>
        <v>21.009395198667768</v>
      </c>
      <c r="K384" s="7">
        <f t="shared" si="113"/>
        <v>1.7267996053699535</v>
      </c>
      <c r="L384" s="4">
        <f t="shared" si="114"/>
        <v>6487.6712328767135</v>
      </c>
      <c r="M384" s="1">
        <f t="shared" si="115"/>
        <v>863.78473932224085</v>
      </c>
      <c r="N384" s="7">
        <f t="shared" si="116"/>
        <v>3.5753216319002035</v>
      </c>
      <c r="O384" s="1">
        <f t="shared" si="117"/>
        <v>3000</v>
      </c>
      <c r="P384" s="2">
        <f t="shared" si="118"/>
        <v>5.6039514046988135</v>
      </c>
      <c r="Q384" s="2">
        <f t="shared" si="125"/>
        <v>240.55575493871243</v>
      </c>
      <c r="S384" s="1">
        <f t="shared" si="106"/>
        <v>3000</v>
      </c>
      <c r="T384" s="1">
        <f t="shared" si="107"/>
        <v>6487.6712328767135</v>
      </c>
      <c r="V384" s="1">
        <f t="shared" si="119"/>
        <v>6487.6712328767135</v>
      </c>
      <c r="W384" s="1">
        <f t="shared" si="120"/>
        <v>3000</v>
      </c>
    </row>
    <row r="385" spans="1:23" x14ac:dyDescent="0.25">
      <c r="A385" s="2">
        <f t="shared" si="121"/>
        <v>37.30000000000026</v>
      </c>
      <c r="B385" s="7">
        <f t="shared" si="124"/>
        <v>23.68</v>
      </c>
      <c r="C385" s="7">
        <f t="shared" si="108"/>
        <v>1.7283401464781092</v>
      </c>
      <c r="D385" s="7">
        <f t="shared" si="109"/>
        <v>3.5970250868272786</v>
      </c>
      <c r="E385" s="7">
        <f t="shared" si="110"/>
        <v>1</v>
      </c>
      <c r="G385" s="4">
        <f t="shared" si="111"/>
        <v>3730.0000000000264</v>
      </c>
      <c r="H385" s="1">
        <f t="shared" si="122"/>
        <v>1.541385135135205</v>
      </c>
      <c r="I385" s="1">
        <f t="shared" si="123"/>
        <v>631.82324109516821</v>
      </c>
      <c r="J385" s="1">
        <f t="shared" si="112"/>
        <v>21.060774703172275</v>
      </c>
      <c r="K385" s="7">
        <f t="shared" si="113"/>
        <v>1.7310225783429267</v>
      </c>
      <c r="L385" s="4">
        <f t="shared" si="114"/>
        <v>6487.6712328767135</v>
      </c>
      <c r="M385" s="1">
        <f t="shared" si="115"/>
        <v>864.17007323905455</v>
      </c>
      <c r="N385" s="7">
        <f t="shared" si="116"/>
        <v>3.5970250868272786</v>
      </c>
      <c r="O385" s="1">
        <f t="shared" si="117"/>
        <v>3000</v>
      </c>
      <c r="P385" s="2">
        <f t="shared" si="118"/>
        <v>5.6064513244659766</v>
      </c>
      <c r="Q385" s="2">
        <f t="shared" si="125"/>
        <v>242.07049835094324</v>
      </c>
      <c r="S385" s="1">
        <f t="shared" si="106"/>
        <v>3000</v>
      </c>
      <c r="T385" s="1">
        <f t="shared" si="107"/>
        <v>6487.6712328767135</v>
      </c>
      <c r="V385" s="1">
        <f t="shared" si="119"/>
        <v>6487.6712328767135</v>
      </c>
      <c r="W385" s="1">
        <f t="shared" si="120"/>
        <v>3000</v>
      </c>
    </row>
    <row r="386" spans="1:23" x14ac:dyDescent="0.25">
      <c r="A386" s="2">
        <f t="shared" si="121"/>
        <v>37.400000000000261</v>
      </c>
      <c r="B386" s="7">
        <f t="shared" si="124"/>
        <v>23.68</v>
      </c>
      <c r="C386" s="7">
        <f t="shared" si="108"/>
        <v>1.7291111581062506</v>
      </c>
      <c r="D386" s="7">
        <f t="shared" si="109"/>
        <v>3.6188602893296129</v>
      </c>
      <c r="E386" s="7">
        <f t="shared" si="110"/>
        <v>1</v>
      </c>
      <c r="G386" s="4">
        <f t="shared" si="111"/>
        <v>3740.0000000000259</v>
      </c>
      <c r="H386" s="1">
        <f t="shared" si="122"/>
        <v>1.5413851351350647</v>
      </c>
      <c r="I386" s="1">
        <f t="shared" si="123"/>
        <v>633.36462623030332</v>
      </c>
      <c r="J386" s="1">
        <f t="shared" si="112"/>
        <v>21.112154207676777</v>
      </c>
      <c r="K386" s="7">
        <f t="shared" si="113"/>
        <v>1.7352455513158995</v>
      </c>
      <c r="L386" s="4">
        <f t="shared" si="114"/>
        <v>6487.6712328767135</v>
      </c>
      <c r="M386" s="1">
        <f t="shared" si="115"/>
        <v>864.55557905312526</v>
      </c>
      <c r="N386" s="7">
        <f t="shared" si="116"/>
        <v>3.6188602893296129</v>
      </c>
      <c r="O386" s="1">
        <f t="shared" si="117"/>
        <v>3000</v>
      </c>
      <c r="P386" s="2">
        <f t="shared" si="118"/>
        <v>5.6089523594460298</v>
      </c>
      <c r="Q386" s="2">
        <f t="shared" si="125"/>
        <v>243.59512520149602</v>
      </c>
      <c r="S386" s="1">
        <f t="shared" si="106"/>
        <v>3000</v>
      </c>
      <c r="T386" s="1">
        <f t="shared" si="107"/>
        <v>6487.6712328767135</v>
      </c>
      <c r="V386" s="1">
        <f t="shared" si="119"/>
        <v>6487.6712328767135</v>
      </c>
      <c r="W386" s="1">
        <f t="shared" si="120"/>
        <v>3000</v>
      </c>
    </row>
    <row r="387" spans="1:23" x14ac:dyDescent="0.25">
      <c r="A387" s="2">
        <f t="shared" si="121"/>
        <v>37.500000000000263</v>
      </c>
      <c r="B387" s="7">
        <f t="shared" si="124"/>
        <v>23.68</v>
      </c>
      <c r="C387" s="7">
        <f t="shared" si="108"/>
        <v>1.7298825136822735</v>
      </c>
      <c r="D387" s="7">
        <f t="shared" si="109"/>
        <v>3.6408280391611445</v>
      </c>
      <c r="E387" s="7">
        <f t="shared" si="110"/>
        <v>1</v>
      </c>
      <c r="G387" s="4">
        <f t="shared" si="111"/>
        <v>3750.0000000000264</v>
      </c>
      <c r="H387" s="1">
        <f t="shared" si="122"/>
        <v>1.541385135135205</v>
      </c>
      <c r="I387" s="1">
        <f t="shared" si="123"/>
        <v>634.90601136543853</v>
      </c>
      <c r="J387" s="1">
        <f t="shared" si="112"/>
        <v>21.163533712181284</v>
      </c>
      <c r="K387" s="7">
        <f t="shared" si="113"/>
        <v>1.7394685242888728</v>
      </c>
      <c r="L387" s="4">
        <f t="shared" si="114"/>
        <v>6487.6712328767135</v>
      </c>
      <c r="M387" s="1">
        <f t="shared" si="115"/>
        <v>864.94125684113681</v>
      </c>
      <c r="N387" s="7">
        <f t="shared" si="116"/>
        <v>3.6408280391611445</v>
      </c>
      <c r="O387" s="1">
        <f t="shared" si="117"/>
        <v>3000</v>
      </c>
      <c r="P387" s="2">
        <f t="shared" si="118"/>
        <v>5.6114545101364719</v>
      </c>
      <c r="Q387" s="2">
        <f t="shared" si="125"/>
        <v>245.12970434320721</v>
      </c>
      <c r="S387" s="1">
        <f t="shared" si="106"/>
        <v>3000</v>
      </c>
      <c r="T387" s="1">
        <f t="shared" si="107"/>
        <v>6487.6712328767135</v>
      </c>
      <c r="V387" s="1">
        <f t="shared" si="119"/>
        <v>6487.6712328767135</v>
      </c>
      <c r="W387" s="1">
        <f t="shared" si="120"/>
        <v>3000</v>
      </c>
    </row>
    <row r="388" spans="1:23" x14ac:dyDescent="0.25">
      <c r="A388" s="2">
        <f t="shared" si="121"/>
        <v>37.600000000000264</v>
      </c>
      <c r="B388" s="7">
        <f t="shared" si="124"/>
        <v>23.68</v>
      </c>
      <c r="C388" s="7">
        <f t="shared" si="108"/>
        <v>1.7306542133596121</v>
      </c>
      <c r="D388" s="7">
        <f t="shared" si="109"/>
        <v>3.6629291409306002</v>
      </c>
      <c r="E388" s="7">
        <f t="shared" si="110"/>
        <v>1</v>
      </c>
      <c r="G388" s="4">
        <f t="shared" si="111"/>
        <v>3760.0000000000264</v>
      </c>
      <c r="H388" s="1">
        <f t="shared" si="122"/>
        <v>1.5413851351351349</v>
      </c>
      <c r="I388" s="1">
        <f t="shared" si="123"/>
        <v>636.44739650057363</v>
      </c>
      <c r="J388" s="1">
        <f t="shared" si="112"/>
        <v>21.214913216685787</v>
      </c>
      <c r="K388" s="7">
        <f t="shared" si="113"/>
        <v>1.7436914972618456</v>
      </c>
      <c r="L388" s="4">
        <f t="shared" si="114"/>
        <v>6487.6712328767135</v>
      </c>
      <c r="M388" s="1">
        <f t="shared" si="115"/>
        <v>865.32710667980609</v>
      </c>
      <c r="N388" s="7">
        <f t="shared" si="116"/>
        <v>3.6629291409306002</v>
      </c>
      <c r="O388" s="1">
        <f t="shared" si="117"/>
        <v>3000</v>
      </c>
      <c r="P388" s="2">
        <f t="shared" si="118"/>
        <v>5.6139577770350169</v>
      </c>
      <c r="Q388" s="2">
        <f t="shared" si="125"/>
        <v>246.67430516384732</v>
      </c>
      <c r="S388" s="1">
        <f t="shared" si="106"/>
        <v>3000</v>
      </c>
      <c r="T388" s="1">
        <f t="shared" si="107"/>
        <v>6487.6712328767135</v>
      </c>
      <c r="V388" s="1">
        <f t="shared" si="119"/>
        <v>6487.6712328767135</v>
      </c>
      <c r="W388" s="1">
        <f t="shared" si="120"/>
        <v>3000</v>
      </c>
    </row>
    <row r="389" spans="1:23" x14ac:dyDescent="0.25">
      <c r="A389" s="2">
        <f t="shared" si="121"/>
        <v>37.700000000000266</v>
      </c>
      <c r="B389" s="7">
        <f t="shared" si="124"/>
        <v>23.68</v>
      </c>
      <c r="C389" s="7">
        <f t="shared" si="108"/>
        <v>1.7314262572917696</v>
      </c>
      <c r="D389" s="7">
        <f t="shared" si="109"/>
        <v>3.6851644041309659</v>
      </c>
      <c r="E389" s="7">
        <f t="shared" si="110"/>
        <v>1</v>
      </c>
      <c r="G389" s="4">
        <f t="shared" si="111"/>
        <v>3770.0000000000268</v>
      </c>
      <c r="H389" s="1">
        <f t="shared" si="122"/>
        <v>1.541385135135205</v>
      </c>
      <c r="I389" s="1">
        <f t="shared" si="123"/>
        <v>637.98878163570885</v>
      </c>
      <c r="J389" s="1">
        <f t="shared" si="112"/>
        <v>21.266292721190293</v>
      </c>
      <c r="K389" s="7">
        <f t="shared" si="113"/>
        <v>1.7479144702348188</v>
      </c>
      <c r="L389" s="4">
        <f t="shared" si="114"/>
        <v>6487.6712328767135</v>
      </c>
      <c r="M389" s="1">
        <f t="shared" si="115"/>
        <v>865.71312864588481</v>
      </c>
      <c r="N389" s="7">
        <f t="shared" si="116"/>
        <v>3.6851644041309659</v>
      </c>
      <c r="O389" s="1">
        <f t="shared" si="117"/>
        <v>3000</v>
      </c>
      <c r="P389" s="2">
        <f t="shared" si="118"/>
        <v>5.6164621606396041</v>
      </c>
      <c r="Q389" s="2">
        <f t="shared" si="125"/>
        <v>248.22899759097081</v>
      </c>
      <c r="S389" s="1">
        <f t="shared" si="106"/>
        <v>3000</v>
      </c>
      <c r="T389" s="1">
        <f t="shared" si="107"/>
        <v>6487.6712328767135</v>
      </c>
      <c r="V389" s="1">
        <f t="shared" si="119"/>
        <v>6487.6712328767135</v>
      </c>
      <c r="W389" s="1">
        <f t="shared" si="120"/>
        <v>3000</v>
      </c>
    </row>
    <row r="390" spans="1:23" x14ac:dyDescent="0.25">
      <c r="A390" s="2">
        <f t="shared" si="121"/>
        <v>37.800000000000267</v>
      </c>
      <c r="B390" s="7">
        <f t="shared" si="124"/>
        <v>23.68</v>
      </c>
      <c r="C390" s="7">
        <f t="shared" si="108"/>
        <v>1.7321986456323182</v>
      </c>
      <c r="D390" s="7">
        <f t="shared" si="109"/>
        <v>3.7075346431691272</v>
      </c>
      <c r="E390" s="7">
        <f t="shared" si="110"/>
        <v>1</v>
      </c>
      <c r="G390" s="4">
        <f t="shared" si="111"/>
        <v>3780.0000000000268</v>
      </c>
      <c r="H390" s="1">
        <f t="shared" si="122"/>
        <v>1.5413851351351349</v>
      </c>
      <c r="I390" s="1">
        <f t="shared" si="123"/>
        <v>639.53016677084395</v>
      </c>
      <c r="J390" s="1">
        <f t="shared" si="112"/>
        <v>21.3176722256948</v>
      </c>
      <c r="K390" s="7">
        <f t="shared" si="113"/>
        <v>1.7521374432077916</v>
      </c>
      <c r="L390" s="4">
        <f t="shared" si="114"/>
        <v>6487.6712328767135</v>
      </c>
      <c r="M390" s="1">
        <f t="shared" si="115"/>
        <v>866.09932281615909</v>
      </c>
      <c r="N390" s="7">
        <f t="shared" si="116"/>
        <v>3.7075346431691272</v>
      </c>
      <c r="O390" s="1">
        <f t="shared" si="117"/>
        <v>3000</v>
      </c>
      <c r="P390" s="2">
        <f t="shared" si="118"/>
        <v>5.6189676614483979</v>
      </c>
      <c r="Q390" s="2">
        <f t="shared" si="125"/>
        <v>249.79385209681797</v>
      </c>
      <c r="S390" s="1">
        <f t="shared" si="106"/>
        <v>3000</v>
      </c>
      <c r="T390" s="1">
        <f t="shared" si="107"/>
        <v>6487.6712328767135</v>
      </c>
      <c r="V390" s="1">
        <f t="shared" si="119"/>
        <v>6487.6712328767135</v>
      </c>
      <c r="W390" s="1">
        <f t="shared" si="120"/>
        <v>3000</v>
      </c>
    </row>
    <row r="391" spans="1:23" x14ac:dyDescent="0.25">
      <c r="A391" s="2">
        <f t="shared" si="121"/>
        <v>37.900000000000269</v>
      </c>
      <c r="B391" s="7">
        <f t="shared" si="124"/>
        <v>23.68</v>
      </c>
      <c r="C391" s="7">
        <f t="shared" si="108"/>
        <v>1.7329713785348984</v>
      </c>
      <c r="D391" s="7">
        <f t="shared" si="109"/>
        <v>3.73004067739571</v>
      </c>
      <c r="E391" s="7">
        <f t="shared" si="110"/>
        <v>1</v>
      </c>
      <c r="G391" s="4">
        <f t="shared" si="111"/>
        <v>3790.0000000000268</v>
      </c>
      <c r="H391" s="1">
        <f t="shared" si="122"/>
        <v>1.5413851351351349</v>
      </c>
      <c r="I391" s="1">
        <f t="shared" si="123"/>
        <v>641.07155190597905</v>
      </c>
      <c r="J391" s="1">
        <f t="shared" si="112"/>
        <v>21.369051730199303</v>
      </c>
      <c r="K391" s="7">
        <f t="shared" si="113"/>
        <v>1.7563604161807644</v>
      </c>
      <c r="L391" s="4">
        <f t="shared" si="114"/>
        <v>6487.6712328767135</v>
      </c>
      <c r="M391" s="1">
        <f t="shared" si="115"/>
        <v>866.48568926744917</v>
      </c>
      <c r="N391" s="7">
        <f t="shared" si="116"/>
        <v>3.73004067739571</v>
      </c>
      <c r="O391" s="1">
        <f t="shared" si="117"/>
        <v>3000</v>
      </c>
      <c r="P391" s="2">
        <f t="shared" si="118"/>
        <v>5.6214742799597808</v>
      </c>
      <c r="Q391" s="2">
        <f t="shared" si="125"/>
        <v>251.36893970327151</v>
      </c>
      <c r="S391" s="1">
        <f t="shared" si="106"/>
        <v>3000</v>
      </c>
      <c r="T391" s="1">
        <f t="shared" si="107"/>
        <v>6487.6712328767135</v>
      </c>
      <c r="V391" s="1">
        <f t="shared" si="119"/>
        <v>6487.6712328767135</v>
      </c>
      <c r="W391" s="1">
        <f t="shared" si="120"/>
        <v>3000</v>
      </c>
    </row>
    <row r="392" spans="1:23" x14ac:dyDescent="0.25">
      <c r="A392" s="2">
        <f t="shared" si="121"/>
        <v>38.00000000000027</v>
      </c>
      <c r="B392" s="7">
        <f t="shared" si="124"/>
        <v>23.68</v>
      </c>
      <c r="C392" s="7">
        <f t="shared" si="108"/>
        <v>1.7337444561532191</v>
      </c>
      <c r="D392" s="7">
        <f t="shared" si="109"/>
        <v>3.7526833311350867</v>
      </c>
      <c r="E392" s="7">
        <f t="shared" si="110"/>
        <v>1</v>
      </c>
      <c r="G392" s="4">
        <f t="shared" si="111"/>
        <v>3800.0000000000273</v>
      </c>
      <c r="H392" s="1">
        <f t="shared" si="122"/>
        <v>1.541385135135205</v>
      </c>
      <c r="I392" s="1">
        <f t="shared" si="123"/>
        <v>642.61293704111426</v>
      </c>
      <c r="J392" s="1">
        <f t="shared" si="112"/>
        <v>21.420431234703809</v>
      </c>
      <c r="K392" s="7">
        <f t="shared" si="113"/>
        <v>1.7605833891537377</v>
      </c>
      <c r="L392" s="4">
        <f t="shared" si="114"/>
        <v>6487.6712328767135</v>
      </c>
      <c r="M392" s="1">
        <f t="shared" si="115"/>
        <v>866.87222807660953</v>
      </c>
      <c r="N392" s="7">
        <f t="shared" si="116"/>
        <v>3.7526833311350867</v>
      </c>
      <c r="O392" s="1">
        <f t="shared" si="117"/>
        <v>3000</v>
      </c>
      <c r="P392" s="2">
        <f t="shared" si="118"/>
        <v>5.6239820166723611</v>
      </c>
      <c r="Q392" s="2">
        <f t="shared" si="125"/>
        <v>252.95433198686581</v>
      </c>
      <c r="S392" s="1">
        <f t="shared" si="106"/>
        <v>3000</v>
      </c>
      <c r="T392" s="1">
        <f t="shared" si="107"/>
        <v>6487.6712328767135</v>
      </c>
      <c r="V392" s="1">
        <f t="shared" si="119"/>
        <v>6487.6712328767135</v>
      </c>
      <c r="W392" s="1">
        <f t="shared" si="120"/>
        <v>3000</v>
      </c>
    </row>
    <row r="393" spans="1:23" x14ac:dyDescent="0.25">
      <c r="A393" s="2">
        <f t="shared" si="121"/>
        <v>38.100000000000271</v>
      </c>
      <c r="B393" s="7">
        <f t="shared" si="124"/>
        <v>23.68</v>
      </c>
      <c r="C393" s="7">
        <f t="shared" si="108"/>
        <v>1.7345178786410578</v>
      </c>
      <c r="D393" s="7">
        <f t="shared" si="109"/>
        <v>3.7754634337155606</v>
      </c>
      <c r="E393" s="7">
        <f t="shared" si="110"/>
        <v>1</v>
      </c>
      <c r="G393" s="4">
        <f t="shared" si="111"/>
        <v>3810.0000000000273</v>
      </c>
      <c r="H393" s="1">
        <f t="shared" si="122"/>
        <v>1.5413851351351349</v>
      </c>
      <c r="I393" s="1">
        <f t="shared" si="123"/>
        <v>644.15432217624937</v>
      </c>
      <c r="J393" s="1">
        <f t="shared" si="112"/>
        <v>21.471810739208312</v>
      </c>
      <c r="K393" s="7">
        <f t="shared" si="113"/>
        <v>1.7648063621267105</v>
      </c>
      <c r="L393" s="4">
        <f t="shared" si="114"/>
        <v>6487.6712328767135</v>
      </c>
      <c r="M393" s="1">
        <f t="shared" si="115"/>
        <v>867.25893932052884</v>
      </c>
      <c r="N393" s="7">
        <f t="shared" si="116"/>
        <v>3.7754634337155606</v>
      </c>
      <c r="O393" s="1">
        <f t="shared" si="117"/>
        <v>3000</v>
      </c>
      <c r="P393" s="2">
        <f t="shared" si="118"/>
        <v>5.6264908720849656</v>
      </c>
      <c r="Q393" s="2">
        <f t="shared" si="125"/>
        <v>254.55010108385059</v>
      </c>
      <c r="S393" s="1">
        <f t="shared" si="106"/>
        <v>3000</v>
      </c>
      <c r="T393" s="1">
        <f t="shared" si="107"/>
        <v>6487.6712328767135</v>
      </c>
      <c r="V393" s="1">
        <f t="shared" si="119"/>
        <v>6487.6712328767135</v>
      </c>
      <c r="W393" s="1">
        <f t="shared" si="120"/>
        <v>3000</v>
      </c>
    </row>
    <row r="394" spans="1:23" x14ac:dyDescent="0.25">
      <c r="A394" s="2">
        <f t="shared" si="121"/>
        <v>38.200000000000273</v>
      </c>
      <c r="B394" s="7">
        <f t="shared" si="124"/>
        <v>23.68</v>
      </c>
      <c r="C394" s="7">
        <f t="shared" si="108"/>
        <v>1.7352916461522605</v>
      </c>
      <c r="D394" s="7">
        <f t="shared" si="109"/>
        <v>3.7983818194997552</v>
      </c>
      <c r="E394" s="7">
        <f t="shared" si="110"/>
        <v>1</v>
      </c>
      <c r="G394" s="4">
        <f t="shared" si="111"/>
        <v>3820.0000000000273</v>
      </c>
      <c r="H394" s="1">
        <f t="shared" si="122"/>
        <v>1.5413851351351349</v>
      </c>
      <c r="I394" s="1">
        <f t="shared" si="123"/>
        <v>645.69570731138447</v>
      </c>
      <c r="J394" s="1">
        <f t="shared" si="112"/>
        <v>21.523190243712815</v>
      </c>
      <c r="K394" s="7">
        <f t="shared" si="113"/>
        <v>1.7690293350996835</v>
      </c>
      <c r="L394" s="4">
        <f t="shared" si="114"/>
        <v>6487.6712328767135</v>
      </c>
      <c r="M394" s="1">
        <f t="shared" si="115"/>
        <v>867.64582307613023</v>
      </c>
      <c r="N394" s="7">
        <f t="shared" si="116"/>
        <v>3.7983818194997552</v>
      </c>
      <c r="O394" s="1">
        <f t="shared" si="117"/>
        <v>3000</v>
      </c>
      <c r="P394" s="2">
        <f t="shared" si="118"/>
        <v>5.6290008466966484</v>
      </c>
      <c r="Q394" s="2">
        <f t="shared" si="125"/>
        <v>256.15631969531103</v>
      </c>
      <c r="S394" s="1">
        <f t="shared" si="106"/>
        <v>3000</v>
      </c>
      <c r="T394" s="1">
        <f t="shared" si="107"/>
        <v>6487.6712328767135</v>
      </c>
      <c r="V394" s="1">
        <f t="shared" si="119"/>
        <v>6487.6712328767135</v>
      </c>
      <c r="W394" s="1">
        <f t="shared" si="120"/>
        <v>3000</v>
      </c>
    </row>
    <row r="395" spans="1:23" x14ac:dyDescent="0.25">
      <c r="A395" s="2">
        <f t="shared" si="121"/>
        <v>38.300000000000274</v>
      </c>
      <c r="B395" s="7">
        <f t="shared" si="124"/>
        <v>23.68</v>
      </c>
      <c r="C395" s="7">
        <f t="shared" si="108"/>
        <v>1.7360657588407418</v>
      </c>
      <c r="D395" s="7">
        <f t="shared" si="109"/>
        <v>3.8214393279151637</v>
      </c>
      <c r="E395" s="7">
        <f t="shared" si="110"/>
        <v>1</v>
      </c>
      <c r="G395" s="4">
        <f t="shared" si="111"/>
        <v>3830.0000000000273</v>
      </c>
      <c r="H395" s="1">
        <f t="shared" si="122"/>
        <v>1.5413851351351349</v>
      </c>
      <c r="I395" s="1">
        <f t="shared" si="123"/>
        <v>647.23709244651957</v>
      </c>
      <c r="J395" s="1">
        <f t="shared" si="112"/>
        <v>21.574569748217318</v>
      </c>
      <c r="K395" s="7">
        <f t="shared" si="113"/>
        <v>1.7732523080726563</v>
      </c>
      <c r="L395" s="4">
        <f t="shared" si="114"/>
        <v>6487.6712328767135</v>
      </c>
      <c r="M395" s="1">
        <f t="shared" si="115"/>
        <v>868.03287942037093</v>
      </c>
      <c r="N395" s="7">
        <f t="shared" si="116"/>
        <v>3.8214393279151637</v>
      </c>
      <c r="O395" s="1">
        <f t="shared" si="117"/>
        <v>3000</v>
      </c>
      <c r="P395" s="2">
        <f t="shared" si="118"/>
        <v>5.6315119410066821</v>
      </c>
      <c r="Q395" s="2">
        <f t="shared" si="125"/>
        <v>257.77306109234291</v>
      </c>
      <c r="S395" s="1">
        <f t="shared" si="106"/>
        <v>3000</v>
      </c>
      <c r="T395" s="1">
        <f t="shared" si="107"/>
        <v>6487.6712328767135</v>
      </c>
      <c r="V395" s="1">
        <f t="shared" si="119"/>
        <v>6487.6712328767135</v>
      </c>
      <c r="W395" s="1">
        <f t="shared" si="120"/>
        <v>3000</v>
      </c>
    </row>
    <row r="396" spans="1:23" x14ac:dyDescent="0.25">
      <c r="A396" s="2">
        <f t="shared" si="121"/>
        <v>38.400000000000276</v>
      </c>
      <c r="B396" s="7">
        <f t="shared" si="124"/>
        <v>23.68</v>
      </c>
      <c r="C396" s="7">
        <f t="shared" si="108"/>
        <v>1.7368402168604855</v>
      </c>
      <c r="D396" s="7">
        <f t="shared" si="109"/>
        <v>3.8446368034849026</v>
      </c>
      <c r="E396" s="7">
        <f t="shared" si="110"/>
        <v>1</v>
      </c>
      <c r="G396" s="4">
        <f t="shared" si="111"/>
        <v>3840.0000000000277</v>
      </c>
      <c r="H396" s="1">
        <f t="shared" si="122"/>
        <v>1.541385135135205</v>
      </c>
      <c r="I396" s="1">
        <f t="shared" si="123"/>
        <v>648.77847758165478</v>
      </c>
      <c r="J396" s="1">
        <f t="shared" si="112"/>
        <v>21.625949252721828</v>
      </c>
      <c r="K396" s="7">
        <f t="shared" si="113"/>
        <v>1.7774752810456296</v>
      </c>
      <c r="L396" s="4">
        <f t="shared" si="114"/>
        <v>6487.6712328767135</v>
      </c>
      <c r="M396" s="1">
        <f t="shared" si="115"/>
        <v>868.42010843024275</v>
      </c>
      <c r="N396" s="7">
        <f t="shared" si="116"/>
        <v>3.8446368034849026</v>
      </c>
      <c r="O396" s="1">
        <f t="shared" si="117"/>
        <v>3000</v>
      </c>
      <c r="P396" s="2">
        <f t="shared" si="118"/>
        <v>5.6340241555145623</v>
      </c>
      <c r="Q396" s="2">
        <f t="shared" si="125"/>
        <v>259.40039912128447</v>
      </c>
      <c r="S396" s="1">
        <f t="shared" ref="S396:S459" si="126">E396*$H$3</f>
        <v>3000</v>
      </c>
      <c r="T396" s="1">
        <f t="shared" ref="T396:T459" si="127">B396/100*$H$2/365*1000000</f>
        <v>6487.6712328767135</v>
      </c>
      <c r="V396" s="1">
        <f t="shared" si="119"/>
        <v>6487.6712328767135</v>
      </c>
      <c r="W396" s="1">
        <f t="shared" si="120"/>
        <v>3000</v>
      </c>
    </row>
    <row r="397" spans="1:23" x14ac:dyDescent="0.25">
      <c r="A397" s="2">
        <f t="shared" si="121"/>
        <v>38.500000000000277</v>
      </c>
      <c r="B397" s="7">
        <f t="shared" si="124"/>
        <v>23.68</v>
      </c>
      <c r="C397" s="7">
        <f t="shared" ref="C397:C460" si="128">IF($C$5&lt;$C$7,IF(A397&lt;=$C$2,$C$3*EXP(A397*$C$4),IF(A397&lt;=$C$7,$C$6,IF($C$8*EXP(A397*$C$9)&gt;$C$6,$C$6,$C$8*EXP(A397*$C$9)))),IF(A397&lt;=$C$2,$C$3*EXP(A397*$C$4),IF(A397&lt;=$C$5,$C$6,IF($C$8*EXP(A397*$C$9)&gt;$C$6,$C$6,$C$8*EXP(A397*$C$9)))))</f>
        <v>1.7376150203655436</v>
      </c>
      <c r="D397" s="7">
        <f t="shared" ref="D397:D460" si="129">IF(IF($D$5&lt;$D$7,IF(A397&lt;=$D$2,$D$3*EXP(A397*$D$4),IF(A397&lt;=$D$7,$D$6,IF($D$8*EXP(A397*$D$9)&gt;$D$6,$D$6,$D$8*EXP(A397*$D$9)))),IF(A397&lt;=$D$2,$D$3*EXP(A397*$D$4),IF(A397&lt;=$D$5,$D$6,IF($D$8*EXP(A397*$D$9)&gt;$D$6,$D$6,$D$8*EXP(A397*$D$9)))))&lt;=100,IF($D$5&lt;$D$7,IF(A397&lt;=$D$2,$D$3*EXP(A397*$D$4),IF(A397&lt;=$D$7,$D$6,IF($D$8*EXP(A397*$D$9)&gt;$D$6,$D$6,$D$8*EXP(A397*$D$9)))),IF(A397&lt;=$D$2,$D$3*EXP(A397*$D$4),IF(A397&lt;=$D$5,$D$6,IF($D$8*EXP(A397*$D$9)&gt;$D$6,$D$6,$D$8*EXP(A397*$D$9))))),100)</f>
        <v>3.8679750958586321</v>
      </c>
      <c r="E397" s="7">
        <f t="shared" ref="E397:E460" si="130">IF($E$5&lt;$E$7,IF(A397&lt;=$E$2,$E$3*EXP(A397*$E$4),IF(A397&lt;=$E$7,$E$6,IF($E$8*EXP(A397*$E$9)&gt;$E$6,$E$6,$E$8*EXP(A397*$E$9)))),IF(A397&lt;=$E$2,$E$3*EXP(A397*$E$4),IF(A397&lt;=$E$5,$E$6,IF($E$8*EXP(A397*$E$9)&gt;$E$6,$E$6,$E$8*EXP(A397*$E$9)))))</f>
        <v>1</v>
      </c>
      <c r="G397" s="4">
        <f t="shared" ref="G397:G460" si="131">A397/100*$H$2*1000</f>
        <v>3850.0000000000282</v>
      </c>
      <c r="H397" s="1">
        <f t="shared" si="122"/>
        <v>1.541385135135205</v>
      </c>
      <c r="I397" s="1">
        <f t="shared" si="123"/>
        <v>650.31986271679</v>
      </c>
      <c r="J397" s="1">
        <f t="shared" ref="J397:J460" si="132">I397/30</f>
        <v>21.677328757226334</v>
      </c>
      <c r="K397" s="7">
        <f t="shared" ref="K397:K460" si="133">I397/365</f>
        <v>1.7816982540186028</v>
      </c>
      <c r="L397" s="4">
        <f t="shared" ref="L397:L460" si="134">IF(A397&gt;$B$2,IF(AND(B397/100*$H$2/365*1000000&gt;=$H$5,O397&gt;=$H$6,M397&lt;=$L$4,N397&lt;=$L$5),B397/100*$H$2/365*1000000*$L$6/100,#N/A),B397/100*$H$2/365*1000000*$L$6/100)</f>
        <v>6487.6712328767135</v>
      </c>
      <c r="M397" s="1">
        <f t="shared" ref="M397:M460" si="135">C397*$H$4</f>
        <v>868.80751018277181</v>
      </c>
      <c r="N397" s="7">
        <f t="shared" ref="N397:N460" si="136">D397</f>
        <v>3.8679750958586321</v>
      </c>
      <c r="O397" s="1">
        <f t="shared" ref="O397:O460" si="137">E397*$H$3</f>
        <v>3000</v>
      </c>
      <c r="P397" s="2">
        <f t="shared" ref="P397:P460" si="138">L397*M397/1000000</f>
        <v>5.636537490720011</v>
      </c>
      <c r="Q397" s="2">
        <f t="shared" si="125"/>
        <v>261.03840820900609</v>
      </c>
      <c r="S397" s="1">
        <f t="shared" si="126"/>
        <v>3000</v>
      </c>
      <c r="T397" s="1">
        <f t="shared" si="127"/>
        <v>6487.6712328767135</v>
      </c>
      <c r="V397" s="1">
        <f t="shared" ref="V397:V460" si="139">T397</f>
        <v>6487.6712328767135</v>
      </c>
      <c r="W397" s="1">
        <f t="shared" ref="W397:W460" si="140">S397</f>
        <v>3000</v>
      </c>
    </row>
    <row r="398" spans="1:23" x14ac:dyDescent="0.25">
      <c r="A398" s="2">
        <f t="shared" ref="A398:A461" si="141">A397+0.1</f>
        <v>38.600000000000279</v>
      </c>
      <c r="B398" s="7">
        <f t="shared" si="124"/>
        <v>23.68</v>
      </c>
      <c r="C398" s="7">
        <f t="shared" si="128"/>
        <v>1.7383901695100366</v>
      </c>
      <c r="D398" s="7">
        <f t="shared" si="129"/>
        <v>3.8914550598436901</v>
      </c>
      <c r="E398" s="7">
        <f t="shared" si="130"/>
        <v>1</v>
      </c>
      <c r="G398" s="4">
        <f t="shared" si="131"/>
        <v>3860.0000000000277</v>
      </c>
      <c r="H398" s="1">
        <f t="shared" ref="H398:H461" si="142">(G398-G397)*1000/L398</f>
        <v>1.5413851351350647</v>
      </c>
      <c r="I398" s="1">
        <f t="shared" ref="I398:I461" si="143">H398+I397</f>
        <v>651.8612478519251</v>
      </c>
      <c r="J398" s="1">
        <f t="shared" si="132"/>
        <v>21.728708261730837</v>
      </c>
      <c r="K398" s="7">
        <f t="shared" si="133"/>
        <v>1.7859212269915756</v>
      </c>
      <c r="L398" s="4">
        <f t="shared" si="134"/>
        <v>6487.6712328767135</v>
      </c>
      <c r="M398" s="1">
        <f t="shared" si="135"/>
        <v>869.19508475501823</v>
      </c>
      <c r="N398" s="7">
        <f t="shared" si="136"/>
        <v>3.8914550598436901</v>
      </c>
      <c r="O398" s="1">
        <f t="shared" si="137"/>
        <v>3000</v>
      </c>
      <c r="P398" s="2">
        <f t="shared" si="138"/>
        <v>5.6390519471229688</v>
      </c>
      <c r="Q398" s="2">
        <f t="shared" si="125"/>
        <v>262.68716336825838</v>
      </c>
      <c r="S398" s="1">
        <f t="shared" si="126"/>
        <v>3000</v>
      </c>
      <c r="T398" s="1">
        <f t="shared" si="127"/>
        <v>6487.6712328767135</v>
      </c>
      <c r="V398" s="1">
        <f t="shared" si="139"/>
        <v>6487.6712328767135</v>
      </c>
      <c r="W398" s="1">
        <f t="shared" si="140"/>
        <v>3000</v>
      </c>
    </row>
    <row r="399" spans="1:23" x14ac:dyDescent="0.25">
      <c r="A399" s="2">
        <f t="shared" si="141"/>
        <v>38.70000000000028</v>
      </c>
      <c r="B399" s="7">
        <f t="shared" si="124"/>
        <v>23.68</v>
      </c>
      <c r="C399" s="7">
        <f t="shared" si="128"/>
        <v>1.7391656644481546</v>
      </c>
      <c r="D399" s="7">
        <f t="shared" si="129"/>
        <v>3.9150775554363939</v>
      </c>
      <c r="E399" s="7">
        <f t="shared" si="130"/>
        <v>1</v>
      </c>
      <c r="G399" s="4">
        <f t="shared" si="131"/>
        <v>3870.0000000000277</v>
      </c>
      <c r="H399" s="1">
        <f t="shared" si="142"/>
        <v>1.5413851351351349</v>
      </c>
      <c r="I399" s="1">
        <f t="shared" si="143"/>
        <v>653.4026329870602</v>
      </c>
      <c r="J399" s="1">
        <f t="shared" si="132"/>
        <v>21.78008776623534</v>
      </c>
      <c r="K399" s="7">
        <f t="shared" si="133"/>
        <v>1.7901441999645484</v>
      </c>
      <c r="L399" s="4">
        <f t="shared" si="134"/>
        <v>6487.6712328767135</v>
      </c>
      <c r="M399" s="1">
        <f t="shared" si="135"/>
        <v>869.58283222407726</v>
      </c>
      <c r="N399" s="7">
        <f t="shared" si="136"/>
        <v>3.9150775554363939</v>
      </c>
      <c r="O399" s="1">
        <f t="shared" si="137"/>
        <v>3000</v>
      </c>
      <c r="P399" s="2">
        <f t="shared" si="138"/>
        <v>5.6415675252236035</v>
      </c>
      <c r="Q399" s="2">
        <f t="shared" si="125"/>
        <v>264.3467402030783</v>
      </c>
      <c r="S399" s="1">
        <f t="shared" si="126"/>
        <v>3000</v>
      </c>
      <c r="T399" s="1">
        <f t="shared" si="127"/>
        <v>6487.6712328767135</v>
      </c>
      <c r="V399" s="1">
        <f t="shared" si="139"/>
        <v>6487.6712328767135</v>
      </c>
      <c r="W399" s="1">
        <f t="shared" si="140"/>
        <v>3000</v>
      </c>
    </row>
    <row r="400" spans="1:23" x14ac:dyDescent="0.25">
      <c r="A400" s="2">
        <f t="shared" si="141"/>
        <v>38.800000000000281</v>
      </c>
      <c r="B400" s="7">
        <f t="shared" si="124"/>
        <v>23.68</v>
      </c>
      <c r="C400" s="7">
        <f t="shared" si="128"/>
        <v>1.7399415053341556</v>
      </c>
      <c r="D400" s="7">
        <f t="shared" si="129"/>
        <v>3.9388434478535346</v>
      </c>
      <c r="E400" s="7">
        <f t="shared" si="130"/>
        <v>1</v>
      </c>
      <c r="G400" s="4">
        <f t="shared" si="131"/>
        <v>3880.0000000000277</v>
      </c>
      <c r="H400" s="1">
        <f t="shared" si="142"/>
        <v>1.5413851351351349</v>
      </c>
      <c r="I400" s="1">
        <f t="shared" si="143"/>
        <v>654.9440181221953</v>
      </c>
      <c r="J400" s="1">
        <f t="shared" si="132"/>
        <v>21.831467270739843</v>
      </c>
      <c r="K400" s="7">
        <f t="shared" si="133"/>
        <v>1.7943671729375215</v>
      </c>
      <c r="L400" s="4">
        <f t="shared" si="134"/>
        <v>6487.6712328767135</v>
      </c>
      <c r="M400" s="1">
        <f t="shared" si="135"/>
        <v>869.97075266707782</v>
      </c>
      <c r="N400" s="7">
        <f t="shared" si="136"/>
        <v>3.9388434478535346</v>
      </c>
      <c r="O400" s="1">
        <f t="shared" si="137"/>
        <v>3000</v>
      </c>
      <c r="P400" s="2">
        <f t="shared" si="138"/>
        <v>5.6440842255223034</v>
      </c>
      <c r="Q400" s="2">
        <f t="shared" si="125"/>
        <v>266.01721491425565</v>
      </c>
      <c r="S400" s="1">
        <f t="shared" si="126"/>
        <v>3000</v>
      </c>
      <c r="T400" s="1">
        <f t="shared" si="127"/>
        <v>6487.6712328767135</v>
      </c>
      <c r="V400" s="1">
        <f t="shared" si="139"/>
        <v>6487.6712328767135</v>
      </c>
      <c r="W400" s="1">
        <f t="shared" si="140"/>
        <v>3000</v>
      </c>
    </row>
    <row r="401" spans="1:23" x14ac:dyDescent="0.25">
      <c r="A401" s="2">
        <f t="shared" si="141"/>
        <v>38.900000000000283</v>
      </c>
      <c r="B401" s="7">
        <f t="shared" si="124"/>
        <v>23.68</v>
      </c>
      <c r="C401" s="7">
        <f t="shared" si="128"/>
        <v>1.7407176923223666</v>
      </c>
      <c r="D401" s="7">
        <f t="shared" si="129"/>
        <v>3.962753607564077</v>
      </c>
      <c r="E401" s="7">
        <f t="shared" si="130"/>
        <v>1</v>
      </c>
      <c r="G401" s="4">
        <f t="shared" si="131"/>
        <v>3890.0000000000286</v>
      </c>
      <c r="H401" s="1">
        <f t="shared" si="142"/>
        <v>1.541385135135275</v>
      </c>
      <c r="I401" s="1">
        <f t="shared" si="143"/>
        <v>656.48540325733063</v>
      </c>
      <c r="J401" s="1">
        <f t="shared" si="132"/>
        <v>21.882846775244353</v>
      </c>
      <c r="K401" s="7">
        <f t="shared" si="133"/>
        <v>1.7985901459104949</v>
      </c>
      <c r="L401" s="4">
        <f t="shared" si="134"/>
        <v>6487.6712328767135</v>
      </c>
      <c r="M401" s="1">
        <f t="shared" si="135"/>
        <v>870.35884616118335</v>
      </c>
      <c r="N401" s="7">
        <f t="shared" si="136"/>
        <v>3.962753607564077</v>
      </c>
      <c r="O401" s="1">
        <f t="shared" si="137"/>
        <v>3000</v>
      </c>
      <c r="P401" s="2">
        <f t="shared" si="138"/>
        <v>5.6466020485196786</v>
      </c>
      <c r="Q401" s="2">
        <f t="shared" si="125"/>
        <v>267.69866430486047</v>
      </c>
      <c r="S401" s="1">
        <f t="shared" si="126"/>
        <v>3000</v>
      </c>
      <c r="T401" s="1">
        <f t="shared" si="127"/>
        <v>6487.6712328767135</v>
      </c>
      <c r="V401" s="1">
        <f t="shared" si="139"/>
        <v>6487.6712328767135</v>
      </c>
      <c r="W401" s="1">
        <f t="shared" si="140"/>
        <v>3000</v>
      </c>
    </row>
    <row r="402" spans="1:23" x14ac:dyDescent="0.25">
      <c r="A402" s="2">
        <f t="shared" si="141"/>
        <v>39.000000000000284</v>
      </c>
      <c r="B402" s="7">
        <f t="shared" si="124"/>
        <v>23.68</v>
      </c>
      <c r="C402" s="7">
        <f t="shared" si="128"/>
        <v>1.7414942255671837</v>
      </c>
      <c r="D402" s="7">
        <f t="shared" si="129"/>
        <v>3.9868089103210393</v>
      </c>
      <c r="E402" s="7">
        <f t="shared" si="130"/>
        <v>1</v>
      </c>
      <c r="G402" s="4">
        <f t="shared" si="131"/>
        <v>3900.0000000000282</v>
      </c>
      <c r="H402" s="1">
        <f t="shared" si="142"/>
        <v>1.5413851351350647</v>
      </c>
      <c r="I402" s="1">
        <f t="shared" si="143"/>
        <v>658.02678839246573</v>
      </c>
      <c r="J402" s="1">
        <f t="shared" si="132"/>
        <v>21.934226279748859</v>
      </c>
      <c r="K402" s="7">
        <f t="shared" si="133"/>
        <v>1.8028131188834677</v>
      </c>
      <c r="L402" s="4">
        <f t="shared" si="134"/>
        <v>6487.6712328767135</v>
      </c>
      <c r="M402" s="1">
        <f t="shared" si="135"/>
        <v>870.74711278359189</v>
      </c>
      <c r="N402" s="7">
        <f t="shared" si="136"/>
        <v>3.9868089103210393</v>
      </c>
      <c r="O402" s="1">
        <f t="shared" si="137"/>
        <v>3000</v>
      </c>
      <c r="P402" s="2">
        <f t="shared" si="138"/>
        <v>5.6491209947165641</v>
      </c>
      <c r="Q402" s="2">
        <f t="shared" si="125"/>
        <v>269.39116578583088</v>
      </c>
      <c r="S402" s="1">
        <f t="shared" si="126"/>
        <v>3000</v>
      </c>
      <c r="T402" s="1">
        <f t="shared" si="127"/>
        <v>6487.6712328767135</v>
      </c>
      <c r="V402" s="1">
        <f t="shared" si="139"/>
        <v>6487.6712328767135</v>
      </c>
      <c r="W402" s="1">
        <f t="shared" si="140"/>
        <v>3000</v>
      </c>
    </row>
    <row r="403" spans="1:23" x14ac:dyDescent="0.25">
      <c r="A403" s="2">
        <f t="shared" si="141"/>
        <v>39.100000000000286</v>
      </c>
      <c r="B403" s="7">
        <f t="shared" si="124"/>
        <v>23.68</v>
      </c>
      <c r="C403" s="7">
        <f t="shared" si="128"/>
        <v>1.7422711052230722</v>
      </c>
      <c r="D403" s="7">
        <f t="shared" si="129"/>
        <v>4.0110102371935605</v>
      </c>
      <c r="E403" s="7">
        <f t="shared" si="130"/>
        <v>1</v>
      </c>
      <c r="G403" s="4">
        <f t="shared" si="131"/>
        <v>3910.0000000000286</v>
      </c>
      <c r="H403" s="1">
        <f t="shared" si="142"/>
        <v>1.541385135135205</v>
      </c>
      <c r="I403" s="1">
        <f t="shared" si="143"/>
        <v>659.56817352760095</v>
      </c>
      <c r="J403" s="1">
        <f t="shared" si="132"/>
        <v>21.985605784253366</v>
      </c>
      <c r="K403" s="7">
        <f t="shared" si="133"/>
        <v>1.807036091856441</v>
      </c>
      <c r="L403" s="4">
        <f t="shared" si="134"/>
        <v>6487.6712328767135</v>
      </c>
      <c r="M403" s="1">
        <f t="shared" si="135"/>
        <v>871.13555261153613</v>
      </c>
      <c r="N403" s="7">
        <f t="shared" si="136"/>
        <v>4.0110102371935605</v>
      </c>
      <c r="O403" s="1">
        <f t="shared" si="137"/>
        <v>3000</v>
      </c>
      <c r="P403" s="2">
        <f t="shared" si="138"/>
        <v>5.6516410646140214</v>
      </c>
      <c r="Q403" s="2">
        <f t="shared" si="125"/>
        <v>271.09479738162264</v>
      </c>
      <c r="S403" s="1">
        <f t="shared" si="126"/>
        <v>3000</v>
      </c>
      <c r="T403" s="1">
        <f t="shared" si="127"/>
        <v>6487.6712328767135</v>
      </c>
      <c r="V403" s="1">
        <f t="shared" si="139"/>
        <v>6487.6712328767135</v>
      </c>
      <c r="W403" s="1">
        <f t="shared" si="140"/>
        <v>3000</v>
      </c>
    </row>
    <row r="404" spans="1:23" x14ac:dyDescent="0.25">
      <c r="A404" s="2">
        <f t="shared" si="141"/>
        <v>39.200000000000287</v>
      </c>
      <c r="B404" s="7">
        <f t="shared" si="124"/>
        <v>23.68</v>
      </c>
      <c r="C404" s="7">
        <f t="shared" si="128"/>
        <v>1.7430483314445657</v>
      </c>
      <c r="D404" s="7">
        <f t="shared" si="129"/>
        <v>4.0353584745991835</v>
      </c>
      <c r="E404" s="7">
        <f t="shared" si="130"/>
        <v>1</v>
      </c>
      <c r="G404" s="4">
        <f t="shared" si="131"/>
        <v>3920.0000000000282</v>
      </c>
      <c r="H404" s="1">
        <f t="shared" si="142"/>
        <v>1.5413851351350647</v>
      </c>
      <c r="I404" s="1">
        <f t="shared" si="143"/>
        <v>661.10955866273605</v>
      </c>
      <c r="J404" s="1">
        <f t="shared" si="132"/>
        <v>22.036985288757869</v>
      </c>
      <c r="K404" s="7">
        <f t="shared" si="133"/>
        <v>1.8112590648294138</v>
      </c>
      <c r="L404" s="4">
        <f t="shared" si="134"/>
        <v>6487.6712328767135</v>
      </c>
      <c r="M404" s="1">
        <f t="shared" si="135"/>
        <v>871.52416572228287</v>
      </c>
      <c r="N404" s="7">
        <f t="shared" si="136"/>
        <v>4.0353584745991835</v>
      </c>
      <c r="O404" s="1">
        <f t="shared" si="137"/>
        <v>3000</v>
      </c>
      <c r="P404" s="2">
        <f t="shared" si="138"/>
        <v>5.654162258713332</v>
      </c>
      <c r="Q404" s="2">
        <f t="shared" si="125"/>
        <v>272.80963773592373</v>
      </c>
      <c r="S404" s="1">
        <f t="shared" si="126"/>
        <v>3000</v>
      </c>
      <c r="T404" s="1">
        <f t="shared" si="127"/>
        <v>6487.6712328767135</v>
      </c>
      <c r="V404" s="1">
        <f t="shared" si="139"/>
        <v>6487.6712328767135</v>
      </c>
      <c r="W404" s="1">
        <f t="shared" si="140"/>
        <v>3000</v>
      </c>
    </row>
    <row r="405" spans="1:23" x14ac:dyDescent="0.25">
      <c r="A405" s="2">
        <f t="shared" si="141"/>
        <v>39.300000000000288</v>
      </c>
      <c r="B405" s="7">
        <f t="shared" si="124"/>
        <v>23.68</v>
      </c>
      <c r="C405" s="7">
        <f t="shared" si="128"/>
        <v>1.7438259043862665</v>
      </c>
      <c r="D405" s="7">
        <f t="shared" si="129"/>
        <v>4.0598545143363163</v>
      </c>
      <c r="E405" s="7">
        <f t="shared" si="130"/>
        <v>1</v>
      </c>
      <c r="G405" s="4">
        <f t="shared" si="131"/>
        <v>3930.0000000000291</v>
      </c>
      <c r="H405" s="1">
        <f t="shared" si="142"/>
        <v>1.541385135135275</v>
      </c>
      <c r="I405" s="1">
        <f t="shared" si="143"/>
        <v>662.65094379787138</v>
      </c>
      <c r="J405" s="1">
        <f t="shared" si="132"/>
        <v>22.088364793262379</v>
      </c>
      <c r="K405" s="7">
        <f t="shared" si="133"/>
        <v>1.8154820378023873</v>
      </c>
      <c r="L405" s="4">
        <f t="shared" si="134"/>
        <v>6487.6712328767135</v>
      </c>
      <c r="M405" s="1">
        <f t="shared" si="135"/>
        <v>871.91295219313326</v>
      </c>
      <c r="N405" s="7">
        <f t="shared" si="136"/>
        <v>4.0598545143363163</v>
      </c>
      <c r="O405" s="1">
        <f t="shared" si="137"/>
        <v>3000</v>
      </c>
      <c r="P405" s="2">
        <f t="shared" si="138"/>
        <v>5.6566845775159997</v>
      </c>
      <c r="Q405" s="2">
        <f t="shared" si="125"/>
        <v>274.53576611743006</v>
      </c>
      <c r="S405" s="1">
        <f t="shared" si="126"/>
        <v>3000</v>
      </c>
      <c r="T405" s="1">
        <f t="shared" si="127"/>
        <v>6487.6712328767135</v>
      </c>
      <c r="V405" s="1">
        <f t="shared" si="139"/>
        <v>6487.6712328767135</v>
      </c>
      <c r="W405" s="1">
        <f t="shared" si="140"/>
        <v>3000</v>
      </c>
    </row>
    <row r="406" spans="1:23" x14ac:dyDescent="0.25">
      <c r="A406" s="2">
        <f t="shared" si="141"/>
        <v>39.40000000000029</v>
      </c>
      <c r="B406" s="7">
        <f t="shared" si="124"/>
        <v>23.68</v>
      </c>
      <c r="C406" s="7">
        <f t="shared" si="128"/>
        <v>1.744603824202847</v>
      </c>
      <c r="D406" s="7">
        <f t="shared" si="129"/>
        <v>4.0844992536168911</v>
      </c>
      <c r="E406" s="7">
        <f t="shared" si="130"/>
        <v>1</v>
      </c>
      <c r="G406" s="4">
        <f t="shared" si="131"/>
        <v>3940.0000000000286</v>
      </c>
      <c r="H406" s="1">
        <f t="shared" si="142"/>
        <v>1.5413851351350647</v>
      </c>
      <c r="I406" s="1">
        <f t="shared" si="143"/>
        <v>664.19232893300648</v>
      </c>
      <c r="J406" s="1">
        <f t="shared" si="132"/>
        <v>22.139744297766882</v>
      </c>
      <c r="K406" s="7">
        <f t="shared" si="133"/>
        <v>1.8197050107753603</v>
      </c>
      <c r="L406" s="4">
        <f t="shared" si="134"/>
        <v>6487.6712328767135</v>
      </c>
      <c r="M406" s="1">
        <f t="shared" si="135"/>
        <v>872.30191210142345</v>
      </c>
      <c r="N406" s="7">
        <f t="shared" si="136"/>
        <v>4.0844992536168911</v>
      </c>
      <c r="O406" s="1">
        <f t="shared" si="137"/>
        <v>3000</v>
      </c>
      <c r="P406" s="2">
        <f t="shared" si="138"/>
        <v>5.6592080215237566</v>
      </c>
      <c r="Q406" s="2">
        <f t="shared" si="125"/>
        <v>276.27326242568734</v>
      </c>
      <c r="S406" s="1">
        <f t="shared" si="126"/>
        <v>3000</v>
      </c>
      <c r="T406" s="1">
        <f t="shared" si="127"/>
        <v>6487.6712328767135</v>
      </c>
      <c r="V406" s="1">
        <f t="shared" si="139"/>
        <v>6487.6712328767135</v>
      </c>
      <c r="W406" s="1">
        <f t="shared" si="140"/>
        <v>3000</v>
      </c>
    </row>
    <row r="407" spans="1:23" x14ac:dyDescent="0.25">
      <c r="A407" s="2">
        <f t="shared" si="141"/>
        <v>39.500000000000291</v>
      </c>
      <c r="B407" s="7">
        <f t="shared" si="124"/>
        <v>23.68</v>
      </c>
      <c r="C407" s="7">
        <f t="shared" si="128"/>
        <v>1.7453820910490474</v>
      </c>
      <c r="D407" s="7">
        <f t="shared" si="129"/>
        <v>4.1092935950992349</v>
      </c>
      <c r="E407" s="7">
        <f t="shared" si="130"/>
        <v>1</v>
      </c>
      <c r="G407" s="4">
        <f t="shared" si="131"/>
        <v>3950.0000000000291</v>
      </c>
      <c r="H407" s="1">
        <f t="shared" si="142"/>
        <v>1.541385135135205</v>
      </c>
      <c r="I407" s="1">
        <f t="shared" si="143"/>
        <v>665.73371406814169</v>
      </c>
      <c r="J407" s="1">
        <f t="shared" si="132"/>
        <v>22.191123802271388</v>
      </c>
      <c r="K407" s="7">
        <f t="shared" si="133"/>
        <v>1.8239279837483333</v>
      </c>
      <c r="L407" s="4">
        <f t="shared" si="134"/>
        <v>6487.6712328767135</v>
      </c>
      <c r="M407" s="1">
        <f t="shared" si="135"/>
        <v>872.6910455245237</v>
      </c>
      <c r="N407" s="7">
        <f t="shared" si="136"/>
        <v>4.1092935950992349</v>
      </c>
      <c r="O407" s="1">
        <f t="shared" si="137"/>
        <v>3000</v>
      </c>
      <c r="P407" s="2">
        <f t="shared" si="138"/>
        <v>5.6617325912385548</v>
      </c>
      <c r="Q407" s="2">
        <f t="shared" si="125"/>
        <v>278.02220719699818</v>
      </c>
      <c r="S407" s="1">
        <f t="shared" si="126"/>
        <v>3000</v>
      </c>
      <c r="T407" s="1">
        <f t="shared" si="127"/>
        <v>6487.6712328767135</v>
      </c>
      <c r="V407" s="1">
        <f t="shared" si="139"/>
        <v>6487.6712328767135</v>
      </c>
      <c r="W407" s="1">
        <f t="shared" si="140"/>
        <v>3000</v>
      </c>
    </row>
    <row r="408" spans="1:23" x14ac:dyDescent="0.25">
      <c r="A408" s="2">
        <f t="shared" si="141"/>
        <v>39.600000000000293</v>
      </c>
      <c r="B408" s="7">
        <f t="shared" si="124"/>
        <v>23.68</v>
      </c>
      <c r="C408" s="7">
        <f t="shared" si="128"/>
        <v>1.7461607050796772</v>
      </c>
      <c r="D408" s="7">
        <f t="shared" si="129"/>
        <v>4.1342384469211275</v>
      </c>
      <c r="E408" s="7">
        <f t="shared" si="130"/>
        <v>1</v>
      </c>
      <c r="G408" s="4">
        <f t="shared" si="131"/>
        <v>3960.0000000000291</v>
      </c>
      <c r="H408" s="1">
        <f t="shared" si="142"/>
        <v>1.5413851351351349</v>
      </c>
      <c r="I408" s="1">
        <f t="shared" si="143"/>
        <v>667.2750992032768</v>
      </c>
      <c r="J408" s="1">
        <f t="shared" si="132"/>
        <v>22.242503306775895</v>
      </c>
      <c r="K408" s="7">
        <f t="shared" si="133"/>
        <v>1.8281509567213063</v>
      </c>
      <c r="L408" s="4">
        <f t="shared" si="134"/>
        <v>6487.6712328767135</v>
      </c>
      <c r="M408" s="1">
        <f t="shared" si="135"/>
        <v>873.0803525398386</v>
      </c>
      <c r="N408" s="7">
        <f t="shared" si="136"/>
        <v>4.1342384469211275</v>
      </c>
      <c r="O408" s="1">
        <f t="shared" si="137"/>
        <v>3000</v>
      </c>
      <c r="P408" s="2">
        <f t="shared" si="138"/>
        <v>5.6642582871625704</v>
      </c>
      <c r="Q408" s="2">
        <f t="shared" si="125"/>
        <v>279.78268161039483</v>
      </c>
      <c r="S408" s="1">
        <f t="shared" si="126"/>
        <v>3000</v>
      </c>
      <c r="T408" s="1">
        <f t="shared" si="127"/>
        <v>6487.6712328767135</v>
      </c>
      <c r="V408" s="1">
        <f t="shared" si="139"/>
        <v>6487.6712328767135</v>
      </c>
      <c r="W408" s="1">
        <f t="shared" si="140"/>
        <v>3000</v>
      </c>
    </row>
    <row r="409" spans="1:23" x14ac:dyDescent="0.25">
      <c r="A409" s="2">
        <f t="shared" si="141"/>
        <v>39.700000000000294</v>
      </c>
      <c r="B409" s="7">
        <f t="shared" si="124"/>
        <v>23.68</v>
      </c>
      <c r="C409" s="7">
        <f t="shared" si="128"/>
        <v>1.746939666449616</v>
      </c>
      <c r="D409" s="7">
        <f t="shared" si="129"/>
        <v>4.1593347227330586</v>
      </c>
      <c r="E409" s="7">
        <f t="shared" si="130"/>
        <v>1</v>
      </c>
      <c r="G409" s="4">
        <f t="shared" si="131"/>
        <v>3970.0000000000296</v>
      </c>
      <c r="H409" s="1">
        <f t="shared" si="142"/>
        <v>1.541385135135205</v>
      </c>
      <c r="I409" s="1">
        <f t="shared" si="143"/>
        <v>668.81648433841201</v>
      </c>
      <c r="J409" s="1">
        <f t="shared" si="132"/>
        <v>22.293882811280401</v>
      </c>
      <c r="K409" s="7">
        <f t="shared" si="133"/>
        <v>1.8323739296942796</v>
      </c>
      <c r="L409" s="4">
        <f t="shared" si="134"/>
        <v>6487.6712328767135</v>
      </c>
      <c r="M409" s="1">
        <f t="shared" si="135"/>
        <v>873.46983322480799</v>
      </c>
      <c r="N409" s="7">
        <f t="shared" si="136"/>
        <v>4.1593347227330586</v>
      </c>
      <c r="O409" s="1">
        <f t="shared" si="137"/>
        <v>3000</v>
      </c>
      <c r="P409" s="2">
        <f t="shared" si="138"/>
        <v>5.6667851097982069</v>
      </c>
      <c r="Q409" s="2">
        <f t="shared" si="125"/>
        <v>281.55476749368</v>
      </c>
      <c r="S409" s="1">
        <f t="shared" si="126"/>
        <v>3000</v>
      </c>
      <c r="T409" s="1">
        <f t="shared" si="127"/>
        <v>6487.6712328767135</v>
      </c>
      <c r="V409" s="1">
        <f t="shared" si="139"/>
        <v>6487.6712328767135</v>
      </c>
      <c r="W409" s="1">
        <f t="shared" si="140"/>
        <v>3000</v>
      </c>
    </row>
    <row r="410" spans="1:23" x14ac:dyDescent="0.25">
      <c r="A410" s="2">
        <f t="shared" si="141"/>
        <v>39.800000000000296</v>
      </c>
      <c r="B410" s="7">
        <f t="shared" si="124"/>
        <v>23.68</v>
      </c>
      <c r="C410" s="7">
        <f t="shared" si="128"/>
        <v>1.7477189753138112</v>
      </c>
      <c r="D410" s="7">
        <f t="shared" si="129"/>
        <v>4.1845833417317015</v>
      </c>
      <c r="E410" s="7">
        <f t="shared" si="130"/>
        <v>1</v>
      </c>
      <c r="G410" s="4">
        <f t="shared" si="131"/>
        <v>3980.0000000000296</v>
      </c>
      <c r="H410" s="1">
        <f t="shared" si="142"/>
        <v>1.5413851351351349</v>
      </c>
      <c r="I410" s="1">
        <f t="shared" si="143"/>
        <v>670.35786947354711</v>
      </c>
      <c r="J410" s="1">
        <f t="shared" si="132"/>
        <v>22.345262315784904</v>
      </c>
      <c r="K410" s="7">
        <f t="shared" si="133"/>
        <v>1.8365969026672524</v>
      </c>
      <c r="L410" s="4">
        <f t="shared" si="134"/>
        <v>6487.6712328767135</v>
      </c>
      <c r="M410" s="1">
        <f t="shared" si="135"/>
        <v>873.85948765690557</v>
      </c>
      <c r="N410" s="7">
        <f t="shared" si="136"/>
        <v>4.1845833417317015</v>
      </c>
      <c r="O410" s="1">
        <f t="shared" si="137"/>
        <v>3000</v>
      </c>
      <c r="P410" s="2">
        <f t="shared" si="138"/>
        <v>5.6693130596480898</v>
      </c>
      <c r="Q410" s="2">
        <f t="shared" si="125"/>
        <v>283.338547329535</v>
      </c>
      <c r="S410" s="1">
        <f t="shared" si="126"/>
        <v>3000</v>
      </c>
      <c r="T410" s="1">
        <f t="shared" si="127"/>
        <v>6487.6712328767135</v>
      </c>
      <c r="V410" s="1">
        <f t="shared" si="139"/>
        <v>6487.6712328767135</v>
      </c>
      <c r="W410" s="1">
        <f t="shared" si="140"/>
        <v>3000</v>
      </c>
    </row>
    <row r="411" spans="1:23" x14ac:dyDescent="0.25">
      <c r="A411" s="2">
        <f t="shared" si="141"/>
        <v>39.900000000000297</v>
      </c>
      <c r="B411" s="7">
        <f t="shared" si="124"/>
        <v>23.68</v>
      </c>
      <c r="C411" s="7">
        <f t="shared" si="128"/>
        <v>1.7484986318272797</v>
      </c>
      <c r="D411" s="7">
        <f t="shared" si="129"/>
        <v>4.2099852286935731</v>
      </c>
      <c r="E411" s="7">
        <f t="shared" si="130"/>
        <v>1</v>
      </c>
      <c r="G411" s="4">
        <f t="shared" si="131"/>
        <v>3990.0000000000296</v>
      </c>
      <c r="H411" s="1">
        <f t="shared" si="142"/>
        <v>1.5413851351351349</v>
      </c>
      <c r="I411" s="1">
        <f t="shared" si="143"/>
        <v>671.89925460868221</v>
      </c>
      <c r="J411" s="1">
        <f t="shared" si="132"/>
        <v>22.396641820289407</v>
      </c>
      <c r="K411" s="7">
        <f t="shared" si="133"/>
        <v>1.8408198756402252</v>
      </c>
      <c r="L411" s="4">
        <f t="shared" si="134"/>
        <v>6487.6712328767135</v>
      </c>
      <c r="M411" s="1">
        <f t="shared" si="135"/>
        <v>874.24931591363986</v>
      </c>
      <c r="N411" s="7">
        <f t="shared" si="136"/>
        <v>4.2099852286935731</v>
      </c>
      <c r="O411" s="1">
        <f t="shared" si="137"/>
        <v>3000</v>
      </c>
      <c r="P411" s="2">
        <f t="shared" si="138"/>
        <v>5.6718421372150676</v>
      </c>
      <c r="Q411" s="2">
        <f t="shared" si="125"/>
        <v>285.13410426169702</v>
      </c>
      <c r="S411" s="1">
        <f t="shared" si="126"/>
        <v>3000</v>
      </c>
      <c r="T411" s="1">
        <f t="shared" si="127"/>
        <v>6487.6712328767135</v>
      </c>
      <c r="V411" s="1">
        <f t="shared" si="139"/>
        <v>6487.6712328767135</v>
      </c>
      <c r="W411" s="1">
        <f t="shared" si="140"/>
        <v>3000</v>
      </c>
    </row>
    <row r="412" spans="1:23" x14ac:dyDescent="0.25">
      <c r="A412" s="2">
        <f t="shared" si="141"/>
        <v>40.000000000000298</v>
      </c>
      <c r="B412" s="7">
        <f t="shared" si="124"/>
        <v>23.68</v>
      </c>
      <c r="C412" s="7">
        <f t="shared" si="128"/>
        <v>1.7492786361451083</v>
      </c>
      <c r="D412" s="7">
        <f t="shared" si="129"/>
        <v>4.2355413140089082</v>
      </c>
      <c r="E412" s="7">
        <f t="shared" si="130"/>
        <v>1</v>
      </c>
      <c r="G412" s="4">
        <f t="shared" si="131"/>
        <v>4000.0000000000291</v>
      </c>
      <c r="H412" s="1">
        <f t="shared" si="142"/>
        <v>1.5413851351350647</v>
      </c>
      <c r="I412" s="1">
        <f t="shared" si="143"/>
        <v>673.44063974381731</v>
      </c>
      <c r="J412" s="1">
        <f t="shared" si="132"/>
        <v>22.44802132479391</v>
      </c>
      <c r="K412" s="7">
        <f t="shared" si="133"/>
        <v>1.8450428486131982</v>
      </c>
      <c r="L412" s="4">
        <f t="shared" si="134"/>
        <v>6487.6712328767135</v>
      </c>
      <c r="M412" s="1">
        <f t="shared" si="135"/>
        <v>874.63931807255415</v>
      </c>
      <c r="N412" s="7">
        <f t="shared" si="136"/>
        <v>4.2355413140089082</v>
      </c>
      <c r="O412" s="1">
        <f t="shared" si="137"/>
        <v>3000</v>
      </c>
      <c r="P412" s="2">
        <f t="shared" si="138"/>
        <v>5.674372343002215</v>
      </c>
      <c r="Q412" s="2">
        <f t="shared" si="125"/>
        <v>286.94152210120689</v>
      </c>
      <c r="S412" s="1">
        <f t="shared" si="126"/>
        <v>3000</v>
      </c>
      <c r="T412" s="1">
        <f t="shared" si="127"/>
        <v>6487.6712328767135</v>
      </c>
      <c r="V412" s="1">
        <f t="shared" si="139"/>
        <v>6487.6712328767135</v>
      </c>
      <c r="W412" s="1">
        <f t="shared" si="140"/>
        <v>3000</v>
      </c>
    </row>
    <row r="413" spans="1:23" x14ac:dyDescent="0.25">
      <c r="A413" s="2">
        <f t="shared" si="141"/>
        <v>40.1000000000003</v>
      </c>
      <c r="B413" s="7">
        <f t="shared" si="124"/>
        <v>23.68</v>
      </c>
      <c r="C413" s="7">
        <f t="shared" si="128"/>
        <v>1.7500589884224513</v>
      </c>
      <c r="D413" s="7">
        <f t="shared" si="129"/>
        <v>4.2612525337157354</v>
      </c>
      <c r="E413" s="7">
        <f t="shared" si="130"/>
        <v>1</v>
      </c>
      <c r="G413" s="4">
        <f t="shared" si="131"/>
        <v>4010.00000000003</v>
      </c>
      <c r="H413" s="1">
        <f t="shared" si="142"/>
        <v>1.541385135135275</v>
      </c>
      <c r="I413" s="1">
        <f t="shared" si="143"/>
        <v>674.98202487895264</v>
      </c>
      <c r="J413" s="1">
        <f t="shared" si="132"/>
        <v>22.49940082929842</v>
      </c>
      <c r="K413" s="7">
        <f t="shared" si="133"/>
        <v>1.8492658215861717</v>
      </c>
      <c r="L413" s="4">
        <f t="shared" si="134"/>
        <v>6487.6712328767135</v>
      </c>
      <c r="M413" s="1">
        <f t="shared" si="135"/>
        <v>875.02949421122571</v>
      </c>
      <c r="N413" s="7">
        <f t="shared" si="136"/>
        <v>4.2612525337157354</v>
      </c>
      <c r="O413" s="1">
        <f t="shared" si="137"/>
        <v>3000</v>
      </c>
      <c r="P413" s="2">
        <f t="shared" si="138"/>
        <v>5.6769036775128301</v>
      </c>
      <c r="Q413" s="2">
        <f t="shared" si="125"/>
        <v>288.76088533272662</v>
      </c>
      <c r="S413" s="1">
        <f t="shared" si="126"/>
        <v>3000</v>
      </c>
      <c r="T413" s="1">
        <f t="shared" si="127"/>
        <v>6487.6712328767135</v>
      </c>
      <c r="V413" s="1">
        <f t="shared" si="139"/>
        <v>6487.6712328767135</v>
      </c>
      <c r="W413" s="1">
        <f t="shared" si="140"/>
        <v>3000</v>
      </c>
    </row>
    <row r="414" spans="1:23" x14ac:dyDescent="0.25">
      <c r="A414" s="2">
        <f t="shared" si="141"/>
        <v>40.200000000000301</v>
      </c>
      <c r="B414" s="7">
        <f t="shared" si="124"/>
        <v>23.68</v>
      </c>
      <c r="C414" s="7">
        <f t="shared" si="128"/>
        <v>1.7508396888145339</v>
      </c>
      <c r="D414" s="7">
        <f t="shared" si="129"/>
        <v>4.287119829534161</v>
      </c>
      <c r="E414" s="7">
        <f t="shared" si="130"/>
        <v>1</v>
      </c>
      <c r="G414" s="4">
        <f t="shared" si="131"/>
        <v>4020.0000000000296</v>
      </c>
      <c r="H414" s="1">
        <f t="shared" si="142"/>
        <v>1.5413851351350647</v>
      </c>
      <c r="I414" s="1">
        <f t="shared" si="143"/>
        <v>676.52341001408774</v>
      </c>
      <c r="J414" s="1">
        <f t="shared" si="132"/>
        <v>22.550780333802926</v>
      </c>
      <c r="K414" s="7">
        <f t="shared" si="133"/>
        <v>1.8534887945591445</v>
      </c>
      <c r="L414" s="4">
        <f t="shared" si="134"/>
        <v>6487.6712328767135</v>
      </c>
      <c r="M414" s="1">
        <f t="shared" si="135"/>
        <v>875.41984440726696</v>
      </c>
      <c r="N414" s="7">
        <f t="shared" si="136"/>
        <v>4.287119829534161</v>
      </c>
      <c r="O414" s="1">
        <f t="shared" si="137"/>
        <v>3000</v>
      </c>
      <c r="P414" s="2">
        <f t="shared" si="138"/>
        <v>5.6794361412504344</v>
      </c>
      <c r="Q414" s="2">
        <f t="shared" si="125"/>
        <v>290.59227912092962</v>
      </c>
      <c r="S414" s="1">
        <f t="shared" si="126"/>
        <v>3000</v>
      </c>
      <c r="T414" s="1">
        <f t="shared" si="127"/>
        <v>6487.6712328767135</v>
      </c>
      <c r="V414" s="1">
        <f t="shared" si="139"/>
        <v>6487.6712328767135</v>
      </c>
      <c r="W414" s="1">
        <f t="shared" si="140"/>
        <v>3000</v>
      </c>
    </row>
    <row r="415" spans="1:23" x14ac:dyDescent="0.25">
      <c r="A415" s="2">
        <f t="shared" si="141"/>
        <v>40.300000000000303</v>
      </c>
      <c r="B415" s="7">
        <f t="shared" si="124"/>
        <v>23.68</v>
      </c>
      <c r="C415" s="7">
        <f t="shared" si="128"/>
        <v>1.7516207374766501</v>
      </c>
      <c r="D415" s="7">
        <f t="shared" si="129"/>
        <v>4.3131441489008688</v>
      </c>
      <c r="E415" s="7">
        <f t="shared" si="130"/>
        <v>1</v>
      </c>
      <c r="G415" s="4">
        <f t="shared" si="131"/>
        <v>4030.0000000000305</v>
      </c>
      <c r="H415" s="1">
        <f t="shared" si="142"/>
        <v>1.541385135135275</v>
      </c>
      <c r="I415" s="1">
        <f t="shared" si="143"/>
        <v>678.06479514922307</v>
      </c>
      <c r="J415" s="1">
        <f t="shared" si="132"/>
        <v>22.602159838307436</v>
      </c>
      <c r="K415" s="7">
        <f t="shared" si="133"/>
        <v>1.857711767532118</v>
      </c>
      <c r="L415" s="4">
        <f t="shared" si="134"/>
        <v>6487.6712328767135</v>
      </c>
      <c r="M415" s="1">
        <f t="shared" si="135"/>
        <v>875.81036873832511</v>
      </c>
      <c r="N415" s="7">
        <f t="shared" si="136"/>
        <v>4.3131441489008688</v>
      </c>
      <c r="O415" s="1">
        <f t="shared" si="137"/>
        <v>3000</v>
      </c>
      <c r="P415" s="2">
        <f t="shared" si="138"/>
        <v>5.6819697347187788</v>
      </c>
      <c r="Q415" s="2">
        <f t="shared" si="125"/>
        <v>292.43578931696351</v>
      </c>
      <c r="S415" s="1">
        <f t="shared" si="126"/>
        <v>3000</v>
      </c>
      <c r="T415" s="1">
        <f t="shared" si="127"/>
        <v>6487.6712328767135</v>
      </c>
      <c r="V415" s="1">
        <f t="shared" si="139"/>
        <v>6487.6712328767135</v>
      </c>
      <c r="W415" s="1">
        <f t="shared" si="140"/>
        <v>3000</v>
      </c>
    </row>
    <row r="416" spans="1:23" x14ac:dyDescent="0.25">
      <c r="A416" s="2">
        <f t="shared" si="141"/>
        <v>40.400000000000304</v>
      </c>
      <c r="B416" s="7">
        <f t="shared" si="124"/>
        <v>23.68</v>
      </c>
      <c r="C416" s="7">
        <f t="shared" si="128"/>
        <v>1.7524021345641625</v>
      </c>
      <c r="D416" s="7">
        <f t="shared" si="129"/>
        <v>4.339326445003806</v>
      </c>
      <c r="E416" s="7">
        <f t="shared" si="130"/>
        <v>1</v>
      </c>
      <c r="G416" s="4">
        <f t="shared" si="131"/>
        <v>4040.00000000003</v>
      </c>
      <c r="H416" s="1">
        <f t="shared" si="142"/>
        <v>1.5413851351350647</v>
      </c>
      <c r="I416" s="1">
        <f t="shared" si="143"/>
        <v>679.60618028435817</v>
      </c>
      <c r="J416" s="1">
        <f t="shared" si="132"/>
        <v>22.653539342811939</v>
      </c>
      <c r="K416" s="7">
        <f t="shared" si="133"/>
        <v>1.8619347405050908</v>
      </c>
      <c r="L416" s="4">
        <f t="shared" si="134"/>
        <v>6487.6712328767135</v>
      </c>
      <c r="M416" s="1">
        <f t="shared" si="135"/>
        <v>876.20106728208123</v>
      </c>
      <c r="N416" s="7">
        <f t="shared" si="136"/>
        <v>4.339326445003806</v>
      </c>
      <c r="O416" s="1">
        <f t="shared" si="137"/>
        <v>3000</v>
      </c>
      <c r="P416" s="2">
        <f t="shared" si="138"/>
        <v>5.6845044584218316</v>
      </c>
      <c r="Q416" s="2">
        <f t="shared" si="125"/>
        <v>294.29150246498585</v>
      </c>
      <c r="S416" s="1">
        <f t="shared" si="126"/>
        <v>3000</v>
      </c>
      <c r="T416" s="1">
        <f t="shared" si="127"/>
        <v>6487.6712328767135</v>
      </c>
      <c r="V416" s="1">
        <f t="shared" si="139"/>
        <v>6487.6712328767135</v>
      </c>
      <c r="W416" s="1">
        <f t="shared" si="140"/>
        <v>3000</v>
      </c>
    </row>
    <row r="417" spans="1:23" x14ac:dyDescent="0.25">
      <c r="A417" s="2">
        <f t="shared" si="141"/>
        <v>40.500000000000306</v>
      </c>
      <c r="B417" s="7">
        <f t="shared" si="124"/>
        <v>23.68</v>
      </c>
      <c r="C417" s="7">
        <f t="shared" si="128"/>
        <v>1.7531838802325035</v>
      </c>
      <c r="D417" s="7">
        <f t="shared" si="129"/>
        <v>4.3656676768171101</v>
      </c>
      <c r="E417" s="7">
        <f t="shared" si="130"/>
        <v>1</v>
      </c>
      <c r="G417" s="4">
        <f t="shared" si="131"/>
        <v>4050.0000000000309</v>
      </c>
      <c r="H417" s="1">
        <f t="shared" si="142"/>
        <v>1.541385135135275</v>
      </c>
      <c r="I417" s="1">
        <f t="shared" si="143"/>
        <v>681.1475654194935</v>
      </c>
      <c r="J417" s="1">
        <f t="shared" si="132"/>
        <v>22.704918847316449</v>
      </c>
      <c r="K417" s="7">
        <f t="shared" si="133"/>
        <v>1.8661577134780645</v>
      </c>
      <c r="L417" s="4">
        <f t="shared" si="134"/>
        <v>6487.6712328767135</v>
      </c>
      <c r="M417" s="1">
        <f t="shared" si="135"/>
        <v>876.59194011625175</v>
      </c>
      <c r="N417" s="7">
        <f t="shared" si="136"/>
        <v>4.3656676768171101</v>
      </c>
      <c r="O417" s="1">
        <f t="shared" si="137"/>
        <v>3000</v>
      </c>
      <c r="P417" s="2">
        <f t="shared" si="138"/>
        <v>5.6870403128637932</v>
      </c>
      <c r="Q417" s="2">
        <f t="shared" si="125"/>
        <v>296.15950580877575</v>
      </c>
      <c r="S417" s="1">
        <f t="shared" si="126"/>
        <v>3000</v>
      </c>
      <c r="T417" s="1">
        <f t="shared" si="127"/>
        <v>6487.6712328767135</v>
      </c>
      <c r="V417" s="1">
        <f t="shared" si="139"/>
        <v>6487.6712328767135</v>
      </c>
      <c r="W417" s="1">
        <f t="shared" si="140"/>
        <v>3000</v>
      </c>
    </row>
    <row r="418" spans="1:23" x14ac:dyDescent="0.25">
      <c r="A418" s="2">
        <f t="shared" si="141"/>
        <v>40.600000000000307</v>
      </c>
      <c r="B418" s="7">
        <f t="shared" si="124"/>
        <v>23.68</v>
      </c>
      <c r="C418" s="7">
        <f t="shared" si="128"/>
        <v>1.7539659746371754</v>
      </c>
      <c r="D418" s="7">
        <f t="shared" si="129"/>
        <v>4.3921688091362281</v>
      </c>
      <c r="E418" s="7">
        <f t="shared" si="130"/>
        <v>1</v>
      </c>
      <c r="G418" s="4">
        <f t="shared" si="131"/>
        <v>4060.0000000000309</v>
      </c>
      <c r="H418" s="1">
        <f t="shared" si="142"/>
        <v>1.5413851351351349</v>
      </c>
      <c r="I418" s="1">
        <f t="shared" si="143"/>
        <v>682.6889505546286</v>
      </c>
      <c r="J418" s="1">
        <f t="shared" si="132"/>
        <v>22.756298351820952</v>
      </c>
      <c r="K418" s="7">
        <f t="shared" si="133"/>
        <v>1.8703806864510373</v>
      </c>
      <c r="L418" s="4">
        <f t="shared" si="134"/>
        <v>6487.6712328767135</v>
      </c>
      <c r="M418" s="1">
        <f t="shared" si="135"/>
        <v>876.98298731858767</v>
      </c>
      <c r="N418" s="7">
        <f t="shared" si="136"/>
        <v>4.3921688091362281</v>
      </c>
      <c r="O418" s="1">
        <f t="shared" si="137"/>
        <v>3000</v>
      </c>
      <c r="P418" s="2">
        <f t="shared" si="138"/>
        <v>5.6895772985490849</v>
      </c>
      <c r="Q418" s="2">
        <f t="shared" si="125"/>
        <v>298.03988729842081</v>
      </c>
      <c r="S418" s="1">
        <f t="shared" si="126"/>
        <v>3000</v>
      </c>
      <c r="T418" s="1">
        <f t="shared" si="127"/>
        <v>6487.6712328767135</v>
      </c>
      <c r="V418" s="1">
        <f t="shared" si="139"/>
        <v>6487.6712328767135</v>
      </c>
      <c r="W418" s="1">
        <f t="shared" si="140"/>
        <v>3000</v>
      </c>
    </row>
    <row r="419" spans="1:23" x14ac:dyDescent="0.25">
      <c r="A419" s="2">
        <f t="shared" si="141"/>
        <v>40.700000000000308</v>
      </c>
      <c r="B419" s="7">
        <f t="shared" si="124"/>
        <v>23.68</v>
      </c>
      <c r="C419" s="7">
        <f t="shared" si="128"/>
        <v>1.7547484179337489</v>
      </c>
      <c r="D419" s="7">
        <f t="shared" si="129"/>
        <v>4.4188308126132494</v>
      </c>
      <c r="E419" s="7">
        <f t="shared" si="130"/>
        <v>1</v>
      </c>
      <c r="G419" s="4">
        <f t="shared" si="131"/>
        <v>4070.0000000000305</v>
      </c>
      <c r="H419" s="1">
        <f t="shared" si="142"/>
        <v>1.5413851351350647</v>
      </c>
      <c r="I419" s="1">
        <f t="shared" si="143"/>
        <v>684.23033568976371</v>
      </c>
      <c r="J419" s="1">
        <f t="shared" si="132"/>
        <v>22.807677856325459</v>
      </c>
      <c r="K419" s="7">
        <f t="shared" si="133"/>
        <v>1.8746036594240101</v>
      </c>
      <c r="L419" s="4">
        <f t="shared" si="134"/>
        <v>6487.6712328767135</v>
      </c>
      <c r="M419" s="1">
        <f t="shared" si="135"/>
        <v>877.37420896687445</v>
      </c>
      <c r="N419" s="7">
        <f t="shared" si="136"/>
        <v>4.4188308126132494</v>
      </c>
      <c r="O419" s="1">
        <f t="shared" si="137"/>
        <v>3000</v>
      </c>
      <c r="P419" s="2">
        <f t="shared" si="138"/>
        <v>5.6921154159823537</v>
      </c>
      <c r="Q419" s="2">
        <f t="shared" si="125"/>
        <v>299.93273559707967</v>
      </c>
      <c r="S419" s="1">
        <f t="shared" si="126"/>
        <v>3000</v>
      </c>
      <c r="T419" s="1">
        <f t="shared" si="127"/>
        <v>6487.6712328767135</v>
      </c>
      <c r="V419" s="1">
        <f t="shared" si="139"/>
        <v>6487.6712328767135</v>
      </c>
      <c r="W419" s="1">
        <f t="shared" si="140"/>
        <v>3000</v>
      </c>
    </row>
    <row r="420" spans="1:23" x14ac:dyDescent="0.25">
      <c r="A420" s="2">
        <f t="shared" si="141"/>
        <v>40.80000000000031</v>
      </c>
      <c r="B420" s="7">
        <f t="shared" si="124"/>
        <v>23.68</v>
      </c>
      <c r="C420" s="7">
        <f t="shared" si="128"/>
        <v>1.755531210277864</v>
      </c>
      <c r="D420" s="7">
        <f t="shared" si="129"/>
        <v>4.4456546637924648</v>
      </c>
      <c r="E420" s="7">
        <f t="shared" si="130"/>
        <v>1</v>
      </c>
      <c r="G420" s="4">
        <f t="shared" si="131"/>
        <v>4080.0000000000314</v>
      </c>
      <c r="H420" s="1">
        <f t="shared" si="142"/>
        <v>1.541385135135275</v>
      </c>
      <c r="I420" s="1">
        <f t="shared" si="143"/>
        <v>685.77172082489903</v>
      </c>
      <c r="J420" s="1">
        <f t="shared" si="132"/>
        <v>22.859057360829969</v>
      </c>
      <c r="K420" s="7">
        <f t="shared" si="133"/>
        <v>1.8788266323969836</v>
      </c>
      <c r="L420" s="4">
        <f t="shared" si="134"/>
        <v>6487.6712328767135</v>
      </c>
      <c r="M420" s="1">
        <f t="shared" si="135"/>
        <v>877.76560513893196</v>
      </c>
      <c r="N420" s="7">
        <f t="shared" si="136"/>
        <v>4.4456546637924648</v>
      </c>
      <c r="O420" s="1">
        <f t="shared" si="137"/>
        <v>3000</v>
      </c>
      <c r="P420" s="2">
        <f t="shared" si="138"/>
        <v>5.6946546656684687</v>
      </c>
      <c r="Q420" s="2">
        <f t="shared" si="125"/>
        <v>301.83814008782451</v>
      </c>
      <c r="S420" s="1">
        <f t="shared" si="126"/>
        <v>3000</v>
      </c>
      <c r="T420" s="1">
        <f t="shared" si="127"/>
        <v>6487.6712328767135</v>
      </c>
      <c r="V420" s="1">
        <f t="shared" si="139"/>
        <v>6487.6712328767135</v>
      </c>
      <c r="W420" s="1">
        <f t="shared" si="140"/>
        <v>3000</v>
      </c>
    </row>
    <row r="421" spans="1:23" x14ac:dyDescent="0.25">
      <c r="A421" s="2">
        <f t="shared" si="141"/>
        <v>40.900000000000311</v>
      </c>
      <c r="B421" s="7">
        <f t="shared" si="124"/>
        <v>23.68</v>
      </c>
      <c r="C421" s="7">
        <f t="shared" si="128"/>
        <v>1.7563143518252313</v>
      </c>
      <c r="D421" s="7">
        <f t="shared" si="129"/>
        <v>4.4726413451461315</v>
      </c>
      <c r="E421" s="7">
        <f t="shared" si="130"/>
        <v>1</v>
      </c>
      <c r="G421" s="4">
        <f t="shared" si="131"/>
        <v>4090.0000000000318</v>
      </c>
      <c r="H421" s="1">
        <f t="shared" si="142"/>
        <v>1.541385135135205</v>
      </c>
      <c r="I421" s="1">
        <f t="shared" si="143"/>
        <v>687.31310596003425</v>
      </c>
      <c r="J421" s="1">
        <f t="shared" si="132"/>
        <v>22.910436865334475</v>
      </c>
      <c r="K421" s="7">
        <f t="shared" si="133"/>
        <v>1.8830496053699568</v>
      </c>
      <c r="L421" s="4">
        <f t="shared" si="134"/>
        <v>6487.6712328767135</v>
      </c>
      <c r="M421" s="1">
        <f t="shared" si="135"/>
        <v>878.15717591261568</v>
      </c>
      <c r="N421" s="7">
        <f t="shared" si="136"/>
        <v>4.4726413451461315</v>
      </c>
      <c r="O421" s="1">
        <f t="shared" si="137"/>
        <v>3000</v>
      </c>
      <c r="P421" s="2">
        <f t="shared" si="138"/>
        <v>5.6971950481125324</v>
      </c>
      <c r="Q421" s="2">
        <f t="shared" si="125"/>
        <v>303.75619088056055</v>
      </c>
      <c r="S421" s="1">
        <f t="shared" si="126"/>
        <v>3000</v>
      </c>
      <c r="T421" s="1">
        <f t="shared" si="127"/>
        <v>6487.6712328767135</v>
      </c>
      <c r="V421" s="1">
        <f t="shared" si="139"/>
        <v>6487.6712328767135</v>
      </c>
      <c r="W421" s="1">
        <f t="shared" si="140"/>
        <v>3000</v>
      </c>
    </row>
    <row r="422" spans="1:23" x14ac:dyDescent="0.25">
      <c r="A422" s="2">
        <f t="shared" si="141"/>
        <v>41.000000000000313</v>
      </c>
      <c r="B422" s="7">
        <f t="shared" si="124"/>
        <v>23.68</v>
      </c>
      <c r="C422" s="7">
        <f t="shared" si="128"/>
        <v>1.7570978427316302</v>
      </c>
      <c r="D422" s="7">
        <f t="shared" si="129"/>
        <v>4.4997918451104555</v>
      </c>
      <c r="E422" s="7">
        <f t="shared" si="130"/>
        <v>1</v>
      </c>
      <c r="G422" s="4">
        <f t="shared" si="131"/>
        <v>4100.0000000000318</v>
      </c>
      <c r="H422" s="1">
        <f t="shared" si="142"/>
        <v>1.5413851351351349</v>
      </c>
      <c r="I422" s="1">
        <f t="shared" si="143"/>
        <v>688.85449109516935</v>
      </c>
      <c r="J422" s="1">
        <f t="shared" si="132"/>
        <v>22.961816369838978</v>
      </c>
      <c r="K422" s="7">
        <f t="shared" si="133"/>
        <v>1.8872725783429298</v>
      </c>
      <c r="L422" s="4">
        <f t="shared" si="134"/>
        <v>6487.6712328767135</v>
      </c>
      <c r="M422" s="1">
        <f t="shared" si="135"/>
        <v>878.54892136581509</v>
      </c>
      <c r="N422" s="7">
        <f t="shared" si="136"/>
        <v>4.4997918451104555</v>
      </c>
      <c r="O422" s="1">
        <f t="shared" si="137"/>
        <v>3000</v>
      </c>
      <c r="P422" s="2">
        <f t="shared" si="138"/>
        <v>5.6997365638198652</v>
      </c>
      <c r="Q422" s="2">
        <f t="shared" si="125"/>
        <v>305.68697881902636</v>
      </c>
      <c r="S422" s="1">
        <f t="shared" si="126"/>
        <v>3000</v>
      </c>
      <c r="T422" s="1">
        <f t="shared" si="127"/>
        <v>6487.6712328767135</v>
      </c>
      <c r="V422" s="1">
        <f t="shared" si="139"/>
        <v>6487.6712328767135</v>
      </c>
      <c r="W422" s="1">
        <f t="shared" si="140"/>
        <v>3000</v>
      </c>
    </row>
    <row r="423" spans="1:23" x14ac:dyDescent="0.25">
      <c r="A423" s="2">
        <f t="shared" si="141"/>
        <v>41.100000000000314</v>
      </c>
      <c r="B423" s="7">
        <f t="shared" si="124"/>
        <v>23.68</v>
      </c>
      <c r="C423" s="7">
        <f t="shared" si="128"/>
        <v>1.7578816831529094</v>
      </c>
      <c r="D423" s="7">
        <f t="shared" si="129"/>
        <v>4.5271071581217956</v>
      </c>
      <c r="E423" s="7">
        <f t="shared" si="130"/>
        <v>1</v>
      </c>
      <c r="G423" s="4">
        <f t="shared" si="131"/>
        <v>4110.0000000000318</v>
      </c>
      <c r="H423" s="1">
        <f t="shared" si="142"/>
        <v>1.5413851351351349</v>
      </c>
      <c r="I423" s="1">
        <f t="shared" si="143"/>
        <v>690.39587623030445</v>
      </c>
      <c r="J423" s="1">
        <f t="shared" si="132"/>
        <v>23.013195874343481</v>
      </c>
      <c r="K423" s="7">
        <f t="shared" si="133"/>
        <v>1.8914955513159026</v>
      </c>
      <c r="L423" s="4">
        <f t="shared" si="134"/>
        <v>6487.6712328767135</v>
      </c>
      <c r="M423" s="1">
        <f t="shared" si="135"/>
        <v>878.94084157645466</v>
      </c>
      <c r="N423" s="7">
        <f t="shared" si="136"/>
        <v>4.5271071581217956</v>
      </c>
      <c r="O423" s="1">
        <f t="shared" si="137"/>
        <v>3000</v>
      </c>
      <c r="P423" s="2">
        <f t="shared" si="138"/>
        <v>5.7022792132960136</v>
      </c>
      <c r="Q423" s="2">
        <f t="shared" si="125"/>
        <v>307.63059548787453</v>
      </c>
      <c r="S423" s="1">
        <f t="shared" si="126"/>
        <v>3000</v>
      </c>
      <c r="T423" s="1">
        <f t="shared" si="127"/>
        <v>6487.6712328767135</v>
      </c>
      <c r="V423" s="1">
        <f t="shared" si="139"/>
        <v>6487.6712328767135</v>
      </c>
      <c r="W423" s="1">
        <f t="shared" si="140"/>
        <v>3000</v>
      </c>
    </row>
    <row r="424" spans="1:23" x14ac:dyDescent="0.25">
      <c r="A424" s="2">
        <f t="shared" si="141"/>
        <v>41.200000000000315</v>
      </c>
      <c r="B424" s="7">
        <f t="shared" si="124"/>
        <v>23.68</v>
      </c>
      <c r="C424" s="7">
        <f t="shared" si="128"/>
        <v>1.7586658732449869</v>
      </c>
      <c r="D424" s="7">
        <f t="shared" si="129"/>
        <v>4.5545882846530956</v>
      </c>
      <c r="E424" s="7">
        <f t="shared" si="130"/>
        <v>1</v>
      </c>
      <c r="G424" s="4">
        <f t="shared" si="131"/>
        <v>4120.0000000000309</v>
      </c>
      <c r="H424" s="1">
        <f t="shared" si="142"/>
        <v>1.5413851351349948</v>
      </c>
      <c r="I424" s="1">
        <f t="shared" si="143"/>
        <v>691.93726136543944</v>
      </c>
      <c r="J424" s="1">
        <f t="shared" si="132"/>
        <v>23.06457537884798</v>
      </c>
      <c r="K424" s="7">
        <f t="shared" si="133"/>
        <v>1.8957185242888752</v>
      </c>
      <c r="L424" s="4">
        <f t="shared" si="134"/>
        <v>6487.6712328767135</v>
      </c>
      <c r="M424" s="1">
        <f t="shared" si="135"/>
        <v>879.33293662249343</v>
      </c>
      <c r="N424" s="7">
        <f t="shared" si="136"/>
        <v>4.5545882846530956</v>
      </c>
      <c r="O424" s="1">
        <f t="shared" si="137"/>
        <v>3000</v>
      </c>
      <c r="P424" s="2">
        <f t="shared" si="138"/>
        <v>5.7048229970467528</v>
      </c>
      <c r="Q424" s="2">
        <f t="shared" si="125"/>
        <v>309.58713321983583</v>
      </c>
      <c r="S424" s="1">
        <f t="shared" si="126"/>
        <v>3000</v>
      </c>
      <c r="T424" s="1">
        <f t="shared" si="127"/>
        <v>6487.6712328767135</v>
      </c>
      <c r="V424" s="1">
        <f t="shared" si="139"/>
        <v>6487.6712328767135</v>
      </c>
      <c r="W424" s="1">
        <f t="shared" si="140"/>
        <v>3000</v>
      </c>
    </row>
    <row r="425" spans="1:23" x14ac:dyDescent="0.25">
      <c r="A425" s="2">
        <f t="shared" si="141"/>
        <v>41.300000000000317</v>
      </c>
      <c r="B425" s="7">
        <f t="shared" si="124"/>
        <v>23.68</v>
      </c>
      <c r="C425" s="7">
        <f t="shared" si="128"/>
        <v>1.7594504131638515</v>
      </c>
      <c r="D425" s="7">
        <f t="shared" si="129"/>
        <v>4.5822362312505076</v>
      </c>
      <c r="E425" s="7">
        <f t="shared" si="130"/>
        <v>1</v>
      </c>
      <c r="G425" s="4">
        <f t="shared" si="131"/>
        <v>4130.0000000000309</v>
      </c>
      <c r="H425" s="1">
        <f t="shared" si="142"/>
        <v>1.5413851351351349</v>
      </c>
      <c r="I425" s="1">
        <f t="shared" si="143"/>
        <v>693.47864650057454</v>
      </c>
      <c r="J425" s="1">
        <f t="shared" si="132"/>
        <v>23.115954883352483</v>
      </c>
      <c r="K425" s="7">
        <f t="shared" si="133"/>
        <v>1.899941497261848</v>
      </c>
      <c r="L425" s="4">
        <f t="shared" si="134"/>
        <v>6487.6712328767135</v>
      </c>
      <c r="M425" s="1">
        <f t="shared" si="135"/>
        <v>879.72520658192582</v>
      </c>
      <c r="N425" s="7">
        <f t="shared" si="136"/>
        <v>4.5822362312505076</v>
      </c>
      <c r="O425" s="1">
        <f t="shared" si="137"/>
        <v>3000</v>
      </c>
      <c r="P425" s="2">
        <f t="shared" si="138"/>
        <v>5.7073679155780841</v>
      </c>
      <c r="Q425" s="2">
        <f t="shared" si="125"/>
        <v>311.55668510296431</v>
      </c>
      <c r="S425" s="1">
        <f t="shared" si="126"/>
        <v>3000</v>
      </c>
      <c r="T425" s="1">
        <f t="shared" si="127"/>
        <v>6487.6712328767135</v>
      </c>
      <c r="V425" s="1">
        <f t="shared" si="139"/>
        <v>6487.6712328767135</v>
      </c>
      <c r="W425" s="1">
        <f t="shared" si="140"/>
        <v>3000</v>
      </c>
    </row>
    <row r="426" spans="1:23" x14ac:dyDescent="0.25">
      <c r="A426" s="2">
        <f t="shared" si="141"/>
        <v>41.400000000000318</v>
      </c>
      <c r="B426" s="7">
        <f t="shared" si="124"/>
        <v>23.68</v>
      </c>
      <c r="C426" s="7">
        <f t="shared" si="128"/>
        <v>1.76023530306556</v>
      </c>
      <c r="D426" s="7">
        <f t="shared" si="129"/>
        <v>4.6100520105702829</v>
      </c>
      <c r="E426" s="7">
        <f t="shared" si="130"/>
        <v>1</v>
      </c>
      <c r="G426" s="4">
        <f t="shared" si="131"/>
        <v>4140.0000000000318</v>
      </c>
      <c r="H426" s="1">
        <f t="shared" si="142"/>
        <v>1.541385135135275</v>
      </c>
      <c r="I426" s="1">
        <f t="shared" si="143"/>
        <v>695.02003163570987</v>
      </c>
      <c r="J426" s="1">
        <f t="shared" si="132"/>
        <v>23.167334387856997</v>
      </c>
      <c r="K426" s="7">
        <f t="shared" si="133"/>
        <v>1.9041644702348215</v>
      </c>
      <c r="L426" s="4">
        <f t="shared" si="134"/>
        <v>6487.6712328767135</v>
      </c>
      <c r="M426" s="1">
        <f t="shared" si="135"/>
        <v>880.11765153277997</v>
      </c>
      <c r="N426" s="7">
        <f t="shared" si="136"/>
        <v>4.6100520105702829</v>
      </c>
      <c r="O426" s="1">
        <f t="shared" si="137"/>
        <v>3000</v>
      </c>
      <c r="P426" s="2">
        <f t="shared" si="138"/>
        <v>5.7099139693962275</v>
      </c>
      <c r="Q426" s="2">
        <f t="shared" si="125"/>
        <v>313.53934498796957</v>
      </c>
      <c r="S426" s="1">
        <f t="shared" si="126"/>
        <v>3000</v>
      </c>
      <c r="T426" s="1">
        <f t="shared" si="127"/>
        <v>6487.6712328767135</v>
      </c>
      <c r="V426" s="1">
        <f t="shared" si="139"/>
        <v>6487.6712328767135</v>
      </c>
      <c r="W426" s="1">
        <f t="shared" si="140"/>
        <v>3000</v>
      </c>
    </row>
    <row r="427" spans="1:23" x14ac:dyDescent="0.25">
      <c r="A427" s="2">
        <f t="shared" si="141"/>
        <v>41.50000000000032</v>
      </c>
      <c r="B427" s="7">
        <f t="shared" si="124"/>
        <v>23.68</v>
      </c>
      <c r="C427" s="7">
        <f t="shared" si="128"/>
        <v>1.7610205431062398</v>
      </c>
      <c r="D427" s="7">
        <f t="shared" si="129"/>
        <v>4.6380366414158471</v>
      </c>
      <c r="E427" s="7">
        <f t="shared" si="130"/>
        <v>1</v>
      </c>
      <c r="G427" s="4">
        <f t="shared" si="131"/>
        <v>4150.0000000000327</v>
      </c>
      <c r="H427" s="1">
        <f t="shared" si="142"/>
        <v>1.541385135135275</v>
      </c>
      <c r="I427" s="1">
        <f t="shared" si="143"/>
        <v>696.5614167708452</v>
      </c>
      <c r="J427" s="1">
        <f t="shared" si="132"/>
        <v>23.218713892361507</v>
      </c>
      <c r="K427" s="7">
        <f t="shared" si="133"/>
        <v>1.908387443207795</v>
      </c>
      <c r="L427" s="4">
        <f t="shared" si="134"/>
        <v>6487.6712328767135</v>
      </c>
      <c r="M427" s="1">
        <f t="shared" si="135"/>
        <v>880.51027155311988</v>
      </c>
      <c r="N427" s="7">
        <f t="shared" si="136"/>
        <v>4.6380366414158471</v>
      </c>
      <c r="O427" s="1">
        <f t="shared" si="137"/>
        <v>3000</v>
      </c>
      <c r="P427" s="2">
        <f t="shared" si="138"/>
        <v>5.7124611590076384</v>
      </c>
      <c r="Q427" s="2">
        <f t="shared" si="125"/>
        <v>315.53520749563216</v>
      </c>
      <c r="S427" s="1">
        <f t="shared" si="126"/>
        <v>3000</v>
      </c>
      <c r="T427" s="1">
        <f t="shared" si="127"/>
        <v>6487.6712328767135</v>
      </c>
      <c r="V427" s="1">
        <f t="shared" si="139"/>
        <v>6487.6712328767135</v>
      </c>
      <c r="W427" s="1">
        <f t="shared" si="140"/>
        <v>3000</v>
      </c>
    </row>
    <row r="428" spans="1:23" x14ac:dyDescent="0.25">
      <c r="A428" s="2">
        <f t="shared" si="141"/>
        <v>41.600000000000321</v>
      </c>
      <c r="B428" s="7">
        <f t="shared" ref="B428:B491" si="144">IF(A428&lt;=$B$2,$B$3*EXP(A428*$B$4),IF(A428&lt;$B$7,$B$6,IF($B$8*EXP(A428*$B$9)&gt;$B$6,$B$6,$B$8*EXP(A428*$B$9))))</f>
        <v>23.68</v>
      </c>
      <c r="C428" s="7">
        <f t="shared" si="128"/>
        <v>1.761806133442088</v>
      </c>
      <c r="D428" s="7">
        <f t="shared" si="129"/>
        <v>4.6661911487751171</v>
      </c>
      <c r="E428" s="7">
        <f t="shared" si="130"/>
        <v>1</v>
      </c>
      <c r="G428" s="4">
        <f t="shared" si="131"/>
        <v>4160.0000000000318</v>
      </c>
      <c r="H428" s="1">
        <f t="shared" si="142"/>
        <v>1.5413851351349948</v>
      </c>
      <c r="I428" s="1">
        <f t="shared" si="143"/>
        <v>698.10280190598019</v>
      </c>
      <c r="J428" s="1">
        <f t="shared" si="132"/>
        <v>23.270093396866006</v>
      </c>
      <c r="K428" s="7">
        <f t="shared" si="133"/>
        <v>1.9126104161807675</v>
      </c>
      <c r="L428" s="4">
        <f t="shared" si="134"/>
        <v>6487.6712328767135</v>
      </c>
      <c r="M428" s="1">
        <f t="shared" si="135"/>
        <v>880.90306672104407</v>
      </c>
      <c r="N428" s="7">
        <f t="shared" si="136"/>
        <v>4.6661911487751171</v>
      </c>
      <c r="O428" s="1">
        <f t="shared" si="137"/>
        <v>3000</v>
      </c>
      <c r="P428" s="2">
        <f t="shared" si="138"/>
        <v>5.7150094849189941</v>
      </c>
      <c r="Q428" s="2">
        <f t="shared" si="125"/>
        <v>317.54436802430678</v>
      </c>
      <c r="S428" s="1">
        <f t="shared" si="126"/>
        <v>3000</v>
      </c>
      <c r="T428" s="1">
        <f t="shared" si="127"/>
        <v>6487.6712328767135</v>
      </c>
      <c r="V428" s="1">
        <f t="shared" si="139"/>
        <v>6487.6712328767135</v>
      </c>
      <c r="W428" s="1">
        <f t="shared" si="140"/>
        <v>3000</v>
      </c>
    </row>
    <row r="429" spans="1:23" x14ac:dyDescent="0.25">
      <c r="A429" s="2">
        <f t="shared" si="141"/>
        <v>41.700000000000323</v>
      </c>
      <c r="B429" s="7">
        <f t="shared" si="144"/>
        <v>23.68</v>
      </c>
      <c r="C429" s="7">
        <f t="shared" si="128"/>
        <v>1.7625920742293708</v>
      </c>
      <c r="D429" s="7">
        <f t="shared" si="129"/>
        <v>4.6945165638580484</v>
      </c>
      <c r="E429" s="7">
        <f t="shared" si="130"/>
        <v>1</v>
      </c>
      <c r="G429" s="4">
        <f t="shared" si="131"/>
        <v>4170.0000000000318</v>
      </c>
      <c r="H429" s="1">
        <f t="shared" si="142"/>
        <v>1.5413851351351349</v>
      </c>
      <c r="I429" s="1">
        <f t="shared" si="143"/>
        <v>699.64418704111529</v>
      </c>
      <c r="J429" s="1">
        <f t="shared" si="132"/>
        <v>23.321472901370509</v>
      </c>
      <c r="K429" s="7">
        <f t="shared" si="133"/>
        <v>1.9168333891537406</v>
      </c>
      <c r="L429" s="4">
        <f t="shared" si="134"/>
        <v>6487.6712328767135</v>
      </c>
      <c r="M429" s="1">
        <f t="shared" si="135"/>
        <v>881.29603711468542</v>
      </c>
      <c r="N429" s="7">
        <f t="shared" si="136"/>
        <v>4.6945165638580484</v>
      </c>
      <c r="O429" s="1">
        <f t="shared" si="137"/>
        <v>3000</v>
      </c>
      <c r="P429" s="2">
        <f t="shared" si="138"/>
        <v>5.7175589476371931</v>
      </c>
      <c r="Q429" s="2">
        <f t="shared" si="125"/>
        <v>319.56692275751391</v>
      </c>
      <c r="S429" s="1">
        <f t="shared" si="126"/>
        <v>3000</v>
      </c>
      <c r="T429" s="1">
        <f t="shared" si="127"/>
        <v>6487.6712328767135</v>
      </c>
      <c r="V429" s="1">
        <f t="shared" si="139"/>
        <v>6487.6712328767135</v>
      </c>
      <c r="W429" s="1">
        <f t="shared" si="140"/>
        <v>3000</v>
      </c>
    </row>
    <row r="430" spans="1:23" x14ac:dyDescent="0.25">
      <c r="A430" s="2">
        <f t="shared" si="141"/>
        <v>41.800000000000324</v>
      </c>
      <c r="B430" s="7">
        <f t="shared" si="144"/>
        <v>23.68</v>
      </c>
      <c r="C430" s="7">
        <f t="shared" si="128"/>
        <v>1.7633783656244244</v>
      </c>
      <c r="D430" s="7">
        <f t="shared" si="129"/>
        <v>4.7230139241344018</v>
      </c>
      <c r="E430" s="7">
        <f t="shared" si="130"/>
        <v>1</v>
      </c>
      <c r="G430" s="4">
        <f t="shared" si="131"/>
        <v>4180.0000000000327</v>
      </c>
      <c r="H430" s="1">
        <f t="shared" si="142"/>
        <v>1.541385135135275</v>
      </c>
      <c r="I430" s="1">
        <f t="shared" si="143"/>
        <v>701.18557217625062</v>
      </c>
      <c r="J430" s="1">
        <f t="shared" si="132"/>
        <v>23.372852405875019</v>
      </c>
      <c r="K430" s="7">
        <f t="shared" si="133"/>
        <v>1.921056362126714</v>
      </c>
      <c r="L430" s="4">
        <f t="shared" si="134"/>
        <v>6487.6712328767135</v>
      </c>
      <c r="M430" s="1">
        <f t="shared" si="135"/>
        <v>881.68918281221215</v>
      </c>
      <c r="N430" s="7">
        <f t="shared" si="136"/>
        <v>4.7230139241344018</v>
      </c>
      <c r="O430" s="1">
        <f t="shared" si="137"/>
        <v>3000</v>
      </c>
      <c r="P430" s="2">
        <f t="shared" si="138"/>
        <v>5.7201095476693657</v>
      </c>
      <c r="Q430" s="2">
        <f t="shared" si="125"/>
        <v>321.60296867161935</v>
      </c>
      <c r="S430" s="1">
        <f t="shared" si="126"/>
        <v>3000</v>
      </c>
      <c r="T430" s="1">
        <f t="shared" si="127"/>
        <v>6487.6712328767135</v>
      </c>
      <c r="V430" s="1">
        <f t="shared" si="139"/>
        <v>6487.6712328767135</v>
      </c>
      <c r="W430" s="1">
        <f t="shared" si="140"/>
        <v>3000</v>
      </c>
    </row>
    <row r="431" spans="1:23" x14ac:dyDescent="0.25">
      <c r="A431" s="2">
        <f t="shared" si="141"/>
        <v>41.900000000000325</v>
      </c>
      <c r="B431" s="7">
        <f t="shared" si="144"/>
        <v>23.68</v>
      </c>
      <c r="C431" s="7">
        <f t="shared" si="128"/>
        <v>1.7641650077836546</v>
      </c>
      <c r="D431" s="7">
        <f t="shared" si="129"/>
        <v>4.7516842733717439</v>
      </c>
      <c r="E431" s="7">
        <f t="shared" si="130"/>
        <v>1</v>
      </c>
      <c r="G431" s="4">
        <f t="shared" si="131"/>
        <v>4190.0000000000327</v>
      </c>
      <c r="H431" s="1">
        <f t="shared" si="142"/>
        <v>1.5413851351351349</v>
      </c>
      <c r="I431" s="1">
        <f t="shared" si="143"/>
        <v>702.72695731138572</v>
      </c>
      <c r="J431" s="1">
        <f t="shared" si="132"/>
        <v>23.424231910379525</v>
      </c>
      <c r="K431" s="7">
        <f t="shared" si="133"/>
        <v>1.9252793350996869</v>
      </c>
      <c r="L431" s="4">
        <f t="shared" si="134"/>
        <v>6487.6712328767135</v>
      </c>
      <c r="M431" s="1">
        <f t="shared" si="135"/>
        <v>882.08250389182729</v>
      </c>
      <c r="N431" s="7">
        <f t="shared" si="136"/>
        <v>4.7516842733717439</v>
      </c>
      <c r="O431" s="1">
        <f t="shared" si="137"/>
        <v>3000</v>
      </c>
      <c r="P431" s="2">
        <f t="shared" si="138"/>
        <v>5.7226612855228698</v>
      </c>
      <c r="Q431" s="2">
        <f t="shared" si="125"/>
        <v>323.65260354360521</v>
      </c>
      <c r="S431" s="1">
        <f t="shared" si="126"/>
        <v>3000</v>
      </c>
      <c r="T431" s="1">
        <f t="shared" si="127"/>
        <v>6487.6712328767135</v>
      </c>
      <c r="V431" s="1">
        <f t="shared" si="139"/>
        <v>6487.6712328767135</v>
      </c>
      <c r="W431" s="1">
        <f t="shared" si="140"/>
        <v>3000</v>
      </c>
    </row>
    <row r="432" spans="1:23" x14ac:dyDescent="0.25">
      <c r="A432" s="2">
        <f t="shared" si="141"/>
        <v>42.000000000000327</v>
      </c>
      <c r="B432" s="7">
        <f t="shared" si="144"/>
        <v>23.68</v>
      </c>
      <c r="C432" s="7">
        <f t="shared" si="128"/>
        <v>1.7649520008635378</v>
      </c>
      <c r="D432" s="7">
        <f t="shared" si="129"/>
        <v>4.7805286616736726</v>
      </c>
      <c r="E432" s="7">
        <f t="shared" si="130"/>
        <v>1</v>
      </c>
      <c r="G432" s="4">
        <f t="shared" si="131"/>
        <v>4200.0000000000327</v>
      </c>
      <c r="H432" s="1">
        <f t="shared" si="142"/>
        <v>1.5413851351351349</v>
      </c>
      <c r="I432" s="1">
        <f t="shared" si="143"/>
        <v>704.26834244652082</v>
      </c>
      <c r="J432" s="1">
        <f t="shared" si="132"/>
        <v>23.475611414884028</v>
      </c>
      <c r="K432" s="7">
        <f t="shared" si="133"/>
        <v>1.9295023080726599</v>
      </c>
      <c r="L432" s="4">
        <f t="shared" si="134"/>
        <v>6487.6712328767135</v>
      </c>
      <c r="M432" s="1">
        <f t="shared" si="135"/>
        <v>882.47600043176885</v>
      </c>
      <c r="N432" s="7">
        <f t="shared" si="136"/>
        <v>4.7805286616736726</v>
      </c>
      <c r="O432" s="1">
        <f t="shared" si="137"/>
        <v>3000</v>
      </c>
      <c r="P432" s="2">
        <f t="shared" si="138"/>
        <v>5.725214161705285</v>
      </c>
      <c r="Q432" s="2">
        <f t="shared" ref="Q432:Q495" si="145">IFERROR(N432/100*L432/(1-N432/100),L432*100)</f>
        <v>325.71592595893151</v>
      </c>
      <c r="S432" s="1">
        <f t="shared" si="126"/>
        <v>3000</v>
      </c>
      <c r="T432" s="1">
        <f t="shared" si="127"/>
        <v>6487.6712328767135</v>
      </c>
      <c r="V432" s="1">
        <f t="shared" si="139"/>
        <v>6487.6712328767135</v>
      </c>
      <c r="W432" s="1">
        <f t="shared" si="140"/>
        <v>3000</v>
      </c>
    </row>
    <row r="433" spans="1:23" x14ac:dyDescent="0.25">
      <c r="A433" s="2">
        <f t="shared" si="141"/>
        <v>42.100000000000328</v>
      </c>
      <c r="B433" s="7">
        <f t="shared" si="144"/>
        <v>23.68</v>
      </c>
      <c r="C433" s="7">
        <f t="shared" si="128"/>
        <v>1.7657393450206185</v>
      </c>
      <c r="D433" s="7">
        <f t="shared" si="129"/>
        <v>4.8095481455182849</v>
      </c>
      <c r="E433" s="7">
        <f t="shared" si="130"/>
        <v>1</v>
      </c>
      <c r="G433" s="4">
        <f t="shared" si="131"/>
        <v>4210.0000000000327</v>
      </c>
      <c r="H433" s="1">
        <f t="shared" si="142"/>
        <v>1.5413851351351349</v>
      </c>
      <c r="I433" s="1">
        <f t="shared" si="143"/>
        <v>705.80972758165592</v>
      </c>
      <c r="J433" s="1">
        <f t="shared" si="132"/>
        <v>23.526990919388531</v>
      </c>
      <c r="K433" s="7">
        <f t="shared" si="133"/>
        <v>1.9337252810456327</v>
      </c>
      <c r="L433" s="4">
        <f t="shared" si="134"/>
        <v>6487.6712328767135</v>
      </c>
      <c r="M433" s="1">
        <f t="shared" si="135"/>
        <v>882.86967251030921</v>
      </c>
      <c r="N433" s="7">
        <f t="shared" si="136"/>
        <v>4.8095481455182849</v>
      </c>
      <c r="O433" s="1">
        <f t="shared" si="137"/>
        <v>3000</v>
      </c>
      <c r="P433" s="2">
        <f t="shared" si="138"/>
        <v>5.7277681767244184</v>
      </c>
      <c r="Q433" s="2">
        <f t="shared" si="145"/>
        <v>327.79303531949193</v>
      </c>
      <c r="S433" s="1">
        <f t="shared" si="126"/>
        <v>3000</v>
      </c>
      <c r="T433" s="1">
        <f t="shared" si="127"/>
        <v>6487.6712328767135</v>
      </c>
      <c r="V433" s="1">
        <f t="shared" si="139"/>
        <v>6487.6712328767135</v>
      </c>
      <c r="W433" s="1">
        <f t="shared" si="140"/>
        <v>3000</v>
      </c>
    </row>
    <row r="434" spans="1:23" x14ac:dyDescent="0.25">
      <c r="A434" s="2">
        <f t="shared" si="141"/>
        <v>42.20000000000033</v>
      </c>
      <c r="B434" s="7">
        <f t="shared" si="144"/>
        <v>23.68</v>
      </c>
      <c r="C434" s="7">
        <f t="shared" si="128"/>
        <v>1.7665270404115128</v>
      </c>
      <c r="D434" s="7">
        <f t="shared" si="129"/>
        <v>4.838743787796874</v>
      </c>
      <c r="E434" s="7">
        <f t="shared" si="130"/>
        <v>1</v>
      </c>
      <c r="G434" s="4">
        <f t="shared" si="131"/>
        <v>4220.0000000000337</v>
      </c>
      <c r="H434" s="1">
        <f t="shared" si="142"/>
        <v>1.541385135135275</v>
      </c>
      <c r="I434" s="1">
        <f t="shared" si="143"/>
        <v>707.35111271679125</v>
      </c>
      <c r="J434" s="1">
        <f t="shared" si="132"/>
        <v>23.578370423893041</v>
      </c>
      <c r="K434" s="7">
        <f t="shared" si="133"/>
        <v>1.9379482540186062</v>
      </c>
      <c r="L434" s="4">
        <f t="shared" si="134"/>
        <v>6487.6712328767135</v>
      </c>
      <c r="M434" s="1">
        <f t="shared" si="135"/>
        <v>883.26352020575644</v>
      </c>
      <c r="N434" s="7">
        <f t="shared" si="136"/>
        <v>4.838743787796874</v>
      </c>
      <c r="O434" s="1">
        <f t="shared" si="137"/>
        <v>3000</v>
      </c>
      <c r="P434" s="2">
        <f t="shared" si="138"/>
        <v>5.7303233310883055</v>
      </c>
      <c r="Q434" s="2">
        <f t="shared" si="145"/>
        <v>329.884031851663</v>
      </c>
      <c r="S434" s="1">
        <f t="shared" si="126"/>
        <v>3000</v>
      </c>
      <c r="T434" s="1">
        <f t="shared" si="127"/>
        <v>6487.6712328767135</v>
      </c>
      <c r="V434" s="1">
        <f t="shared" si="139"/>
        <v>6487.6712328767135</v>
      </c>
      <c r="W434" s="1">
        <f t="shared" si="140"/>
        <v>3000</v>
      </c>
    </row>
    <row r="435" spans="1:23" x14ac:dyDescent="0.25">
      <c r="A435" s="2">
        <f t="shared" si="141"/>
        <v>42.300000000000331</v>
      </c>
      <c r="B435" s="7">
        <f t="shared" si="144"/>
        <v>23.68</v>
      </c>
      <c r="C435" s="7">
        <f t="shared" si="128"/>
        <v>1.7673150871929055</v>
      </c>
      <c r="D435" s="7">
        <f t="shared" si="129"/>
        <v>4.8681166578528465</v>
      </c>
      <c r="E435" s="7">
        <f t="shared" si="130"/>
        <v>1</v>
      </c>
      <c r="G435" s="4">
        <f t="shared" si="131"/>
        <v>4230.0000000000337</v>
      </c>
      <c r="H435" s="1">
        <f t="shared" si="142"/>
        <v>1.5413851351351349</v>
      </c>
      <c r="I435" s="1">
        <f t="shared" si="143"/>
        <v>708.89249785192635</v>
      </c>
      <c r="J435" s="1">
        <f t="shared" si="132"/>
        <v>23.629749928397544</v>
      </c>
      <c r="K435" s="7">
        <f t="shared" si="133"/>
        <v>1.942171226991579</v>
      </c>
      <c r="L435" s="4">
        <f t="shared" si="134"/>
        <v>6487.6712328767135</v>
      </c>
      <c r="M435" s="1">
        <f t="shared" si="135"/>
        <v>883.6575435964528</v>
      </c>
      <c r="N435" s="7">
        <f t="shared" si="136"/>
        <v>4.8681166578528465</v>
      </c>
      <c r="O435" s="1">
        <f t="shared" si="137"/>
        <v>3000</v>
      </c>
      <c r="P435" s="2">
        <f t="shared" si="138"/>
        <v>5.7328796253052072</v>
      </c>
      <c r="Q435" s="2">
        <f t="shared" si="145"/>
        <v>331.98901661444825</v>
      </c>
      <c r="S435" s="1">
        <f t="shared" si="126"/>
        <v>3000</v>
      </c>
      <c r="T435" s="1">
        <f t="shared" si="127"/>
        <v>6487.6712328767135</v>
      </c>
      <c r="V435" s="1">
        <f t="shared" si="139"/>
        <v>6487.6712328767135</v>
      </c>
      <c r="W435" s="1">
        <f t="shared" si="140"/>
        <v>3000</v>
      </c>
    </row>
    <row r="436" spans="1:23" x14ac:dyDescent="0.25">
      <c r="A436" s="2">
        <f t="shared" si="141"/>
        <v>42.400000000000333</v>
      </c>
      <c r="B436" s="7">
        <f t="shared" si="144"/>
        <v>23.68</v>
      </c>
      <c r="C436" s="7">
        <f t="shared" si="128"/>
        <v>1.7681034855215523</v>
      </c>
      <c r="D436" s="7">
        <f t="shared" si="129"/>
        <v>4.8976678315209057</v>
      </c>
      <c r="E436" s="7">
        <f t="shared" si="130"/>
        <v>1</v>
      </c>
      <c r="G436" s="4">
        <f t="shared" si="131"/>
        <v>4240.0000000000327</v>
      </c>
      <c r="H436" s="1">
        <f t="shared" si="142"/>
        <v>1.5413851351349948</v>
      </c>
      <c r="I436" s="1">
        <f t="shared" si="143"/>
        <v>710.43388298706134</v>
      </c>
      <c r="J436" s="1">
        <f t="shared" si="132"/>
        <v>23.681129432902043</v>
      </c>
      <c r="K436" s="7">
        <f t="shared" si="133"/>
        <v>1.9463941999645515</v>
      </c>
      <c r="L436" s="4">
        <f t="shared" si="134"/>
        <v>6487.6712328767135</v>
      </c>
      <c r="M436" s="1">
        <f t="shared" si="135"/>
        <v>884.05174276077616</v>
      </c>
      <c r="N436" s="7">
        <f t="shared" si="136"/>
        <v>4.8976678315209057</v>
      </c>
      <c r="O436" s="1">
        <f t="shared" si="137"/>
        <v>3000</v>
      </c>
      <c r="P436" s="2">
        <f t="shared" si="138"/>
        <v>5.735437059883612</v>
      </c>
      <c r="Q436" s="2">
        <f t="shared" si="145"/>
        <v>334.10809150772059</v>
      </c>
      <c r="S436" s="1">
        <f t="shared" si="126"/>
        <v>3000</v>
      </c>
      <c r="T436" s="1">
        <f t="shared" si="127"/>
        <v>6487.6712328767135</v>
      </c>
      <c r="V436" s="1">
        <f t="shared" si="139"/>
        <v>6487.6712328767135</v>
      </c>
      <c r="W436" s="1">
        <f t="shared" si="140"/>
        <v>3000</v>
      </c>
    </row>
    <row r="437" spans="1:23" x14ac:dyDescent="0.25">
      <c r="A437" s="2">
        <f t="shared" si="141"/>
        <v>42.500000000000334</v>
      </c>
      <c r="B437" s="7">
        <f t="shared" si="144"/>
        <v>23.68</v>
      </c>
      <c r="C437" s="7">
        <f t="shared" si="128"/>
        <v>1.7688922355542775</v>
      </c>
      <c r="D437" s="7">
        <f t="shared" si="129"/>
        <v>4.927398391166447</v>
      </c>
      <c r="E437" s="7">
        <f t="shared" si="130"/>
        <v>1</v>
      </c>
      <c r="G437" s="4">
        <f t="shared" si="131"/>
        <v>4250.0000000000327</v>
      </c>
      <c r="H437" s="1">
        <f t="shared" si="142"/>
        <v>1.5413851351351349</v>
      </c>
      <c r="I437" s="1">
        <f t="shared" si="143"/>
        <v>711.97526812219644</v>
      </c>
      <c r="J437" s="1">
        <f t="shared" si="132"/>
        <v>23.732508937406546</v>
      </c>
      <c r="K437" s="7">
        <f t="shared" si="133"/>
        <v>1.9506171729375246</v>
      </c>
      <c r="L437" s="4">
        <f t="shared" si="134"/>
        <v>6487.6712328767135</v>
      </c>
      <c r="M437" s="1">
        <f t="shared" si="135"/>
        <v>884.44611777713874</v>
      </c>
      <c r="N437" s="7">
        <f t="shared" si="136"/>
        <v>4.927398391166447</v>
      </c>
      <c r="O437" s="1">
        <f t="shared" si="137"/>
        <v>3000</v>
      </c>
      <c r="P437" s="2">
        <f t="shared" si="138"/>
        <v>5.7379956353322328</v>
      </c>
      <c r="Q437" s="2">
        <f t="shared" si="145"/>
        <v>336.24135928056222</v>
      </c>
      <c r="S437" s="1">
        <f t="shared" si="126"/>
        <v>3000</v>
      </c>
      <c r="T437" s="1">
        <f t="shared" si="127"/>
        <v>6487.6712328767135</v>
      </c>
      <c r="V437" s="1">
        <f t="shared" si="139"/>
        <v>6487.6712328767135</v>
      </c>
      <c r="W437" s="1">
        <f t="shared" si="140"/>
        <v>3000</v>
      </c>
    </row>
    <row r="438" spans="1:23" x14ac:dyDescent="0.25">
      <c r="A438" s="2">
        <f t="shared" si="141"/>
        <v>42.600000000000335</v>
      </c>
      <c r="B438" s="7">
        <f t="shared" si="144"/>
        <v>23.68</v>
      </c>
      <c r="C438" s="7">
        <f t="shared" si="128"/>
        <v>1.7696813374479765</v>
      </c>
      <c r="D438" s="7">
        <f t="shared" si="129"/>
        <v>4.9573094257251995</v>
      </c>
      <c r="E438" s="7">
        <f t="shared" si="130"/>
        <v>1</v>
      </c>
      <c r="G438" s="4">
        <f t="shared" si="131"/>
        <v>4260.0000000000337</v>
      </c>
      <c r="H438" s="1">
        <f t="shared" si="142"/>
        <v>1.541385135135275</v>
      </c>
      <c r="I438" s="1">
        <f t="shared" si="143"/>
        <v>713.51665325733177</v>
      </c>
      <c r="J438" s="1">
        <f t="shared" si="132"/>
        <v>23.78388844191106</v>
      </c>
      <c r="K438" s="7">
        <f t="shared" si="133"/>
        <v>1.954840145910498</v>
      </c>
      <c r="L438" s="4">
        <f t="shared" si="134"/>
        <v>6487.6712328767135</v>
      </c>
      <c r="M438" s="1">
        <f t="shared" si="135"/>
        <v>884.8406687239883</v>
      </c>
      <c r="N438" s="7">
        <f t="shared" si="136"/>
        <v>4.9573094257251995</v>
      </c>
      <c r="O438" s="1">
        <f t="shared" si="137"/>
        <v>3000</v>
      </c>
      <c r="P438" s="2">
        <f t="shared" si="138"/>
        <v>5.7405553521600128</v>
      </c>
      <c r="Q438" s="2">
        <f t="shared" si="145"/>
        <v>338.38892353970334</v>
      </c>
      <c r="S438" s="1">
        <f t="shared" si="126"/>
        <v>3000</v>
      </c>
      <c r="T438" s="1">
        <f t="shared" si="127"/>
        <v>6487.6712328767135</v>
      </c>
      <c r="V438" s="1">
        <f t="shared" si="139"/>
        <v>6487.6712328767135</v>
      </c>
      <c r="W438" s="1">
        <f t="shared" si="140"/>
        <v>3000</v>
      </c>
    </row>
    <row r="439" spans="1:23" x14ac:dyDescent="0.25">
      <c r="A439" s="2">
        <f t="shared" si="141"/>
        <v>42.700000000000337</v>
      </c>
      <c r="B439" s="7">
        <f t="shared" si="144"/>
        <v>23.68</v>
      </c>
      <c r="C439" s="7">
        <f t="shared" si="128"/>
        <v>1.7704707913596147</v>
      </c>
      <c r="D439" s="7">
        <f t="shared" si="129"/>
        <v>4.9874020307431168</v>
      </c>
      <c r="E439" s="7">
        <f t="shared" si="130"/>
        <v>1</v>
      </c>
      <c r="G439" s="4">
        <f t="shared" si="131"/>
        <v>4270.0000000000337</v>
      </c>
      <c r="H439" s="1">
        <f t="shared" si="142"/>
        <v>1.5413851351351349</v>
      </c>
      <c r="I439" s="1">
        <f t="shared" si="143"/>
        <v>715.05803839246687</v>
      </c>
      <c r="J439" s="1">
        <f t="shared" si="132"/>
        <v>23.835267946415563</v>
      </c>
      <c r="K439" s="7">
        <f t="shared" si="133"/>
        <v>1.9590631188834708</v>
      </c>
      <c r="L439" s="4">
        <f t="shared" si="134"/>
        <v>6487.6712328767135</v>
      </c>
      <c r="M439" s="1">
        <f t="shared" si="135"/>
        <v>885.23539567980731</v>
      </c>
      <c r="N439" s="7">
        <f t="shared" si="136"/>
        <v>4.9874020307431168</v>
      </c>
      <c r="O439" s="1">
        <f t="shared" si="137"/>
        <v>3000</v>
      </c>
      <c r="P439" s="2">
        <f t="shared" si="138"/>
        <v>5.7431162108761216</v>
      </c>
      <c r="Q439" s="2">
        <f t="shared" si="145"/>
        <v>340.55088875806365</v>
      </c>
      <c r="S439" s="1">
        <f t="shared" si="126"/>
        <v>3000</v>
      </c>
      <c r="T439" s="1">
        <f t="shared" si="127"/>
        <v>6487.6712328767135</v>
      </c>
      <c r="V439" s="1">
        <f t="shared" si="139"/>
        <v>6487.6712328767135</v>
      </c>
      <c r="W439" s="1">
        <f t="shared" si="140"/>
        <v>3000</v>
      </c>
    </row>
    <row r="440" spans="1:23" x14ac:dyDescent="0.25">
      <c r="A440" s="2">
        <f t="shared" si="141"/>
        <v>42.800000000000338</v>
      </c>
      <c r="B440" s="7">
        <f t="shared" si="144"/>
        <v>23.68</v>
      </c>
      <c r="C440" s="7">
        <f t="shared" si="128"/>
        <v>1.7712605974462261</v>
      </c>
      <c r="D440" s="7">
        <f t="shared" si="129"/>
        <v>5.0176773084165029</v>
      </c>
      <c r="E440" s="7">
        <f t="shared" si="130"/>
        <v>1</v>
      </c>
      <c r="G440" s="4">
        <f t="shared" si="131"/>
        <v>4280.0000000000337</v>
      </c>
      <c r="H440" s="1">
        <f t="shared" si="142"/>
        <v>1.5413851351351349</v>
      </c>
      <c r="I440" s="1">
        <f t="shared" si="143"/>
        <v>716.59942352760197</v>
      </c>
      <c r="J440" s="1">
        <f t="shared" si="132"/>
        <v>23.886647450920066</v>
      </c>
      <c r="K440" s="7">
        <f t="shared" si="133"/>
        <v>1.9632860918564436</v>
      </c>
      <c r="L440" s="4">
        <f t="shared" si="134"/>
        <v>6487.6712328767135</v>
      </c>
      <c r="M440" s="1">
        <f t="shared" si="135"/>
        <v>885.63029872311301</v>
      </c>
      <c r="N440" s="7">
        <f t="shared" si="136"/>
        <v>5.0176773084165029</v>
      </c>
      <c r="O440" s="1">
        <f t="shared" si="137"/>
        <v>3000</v>
      </c>
      <c r="P440" s="2">
        <f t="shared" si="138"/>
        <v>5.7456782119899508</v>
      </c>
      <c r="Q440" s="2">
        <f t="shared" si="145"/>
        <v>342.72736028339483</v>
      </c>
      <c r="S440" s="1">
        <f t="shared" si="126"/>
        <v>3000</v>
      </c>
      <c r="T440" s="1">
        <f t="shared" si="127"/>
        <v>6487.6712328767135</v>
      </c>
      <c r="V440" s="1">
        <f t="shared" si="139"/>
        <v>6487.6712328767135</v>
      </c>
      <c r="W440" s="1">
        <f t="shared" si="140"/>
        <v>3000</v>
      </c>
    </row>
    <row r="441" spans="1:23" x14ac:dyDescent="0.25">
      <c r="A441" s="2">
        <f t="shared" si="141"/>
        <v>42.90000000000034</v>
      </c>
      <c r="B441" s="7">
        <f t="shared" si="144"/>
        <v>23.68</v>
      </c>
      <c r="C441" s="7">
        <f t="shared" si="128"/>
        <v>1.7720507558649166</v>
      </c>
      <c r="D441" s="7">
        <f t="shared" si="129"/>
        <v>5.0481363676323712</v>
      </c>
      <c r="E441" s="7">
        <f t="shared" si="130"/>
        <v>1</v>
      </c>
      <c r="G441" s="4">
        <f t="shared" si="131"/>
        <v>4290.0000000000337</v>
      </c>
      <c r="H441" s="1">
        <f t="shared" si="142"/>
        <v>1.5413851351351349</v>
      </c>
      <c r="I441" s="1">
        <f t="shared" si="143"/>
        <v>718.14080866273707</v>
      </c>
      <c r="J441" s="1">
        <f t="shared" si="132"/>
        <v>23.938026955424569</v>
      </c>
      <c r="K441" s="7">
        <f t="shared" si="133"/>
        <v>1.9675090648294167</v>
      </c>
      <c r="L441" s="4">
        <f t="shared" si="134"/>
        <v>6487.6712328767135</v>
      </c>
      <c r="M441" s="1">
        <f t="shared" si="135"/>
        <v>886.02537793245824</v>
      </c>
      <c r="N441" s="7">
        <f t="shared" si="136"/>
        <v>5.0481363676323712</v>
      </c>
      <c r="O441" s="1">
        <f t="shared" si="137"/>
        <v>3000</v>
      </c>
      <c r="P441" s="2">
        <f t="shared" si="138"/>
        <v>5.7482413560111274</v>
      </c>
      <c r="Q441" s="2">
        <f t="shared" si="145"/>
        <v>344.91844434702693</v>
      </c>
      <c r="S441" s="1">
        <f t="shared" si="126"/>
        <v>3000</v>
      </c>
      <c r="T441" s="1">
        <f t="shared" si="127"/>
        <v>6487.6712328767135</v>
      </c>
      <c r="V441" s="1">
        <f t="shared" si="139"/>
        <v>6487.6712328767135</v>
      </c>
      <c r="W441" s="1">
        <f t="shared" si="140"/>
        <v>3000</v>
      </c>
    </row>
    <row r="442" spans="1:23" x14ac:dyDescent="0.25">
      <c r="A442" s="2">
        <f t="shared" si="141"/>
        <v>43.000000000000341</v>
      </c>
      <c r="B442" s="7">
        <f t="shared" si="144"/>
        <v>23.68</v>
      </c>
      <c r="C442" s="7">
        <f t="shared" si="128"/>
        <v>1.7728412667728612</v>
      </c>
      <c r="D442" s="7">
        <f t="shared" si="129"/>
        <v>5.0787803240090748</v>
      </c>
      <c r="E442" s="7">
        <f t="shared" si="130"/>
        <v>1</v>
      </c>
      <c r="G442" s="4">
        <f t="shared" si="131"/>
        <v>4300.0000000000346</v>
      </c>
      <c r="H442" s="1">
        <f t="shared" si="142"/>
        <v>1.541385135135275</v>
      </c>
      <c r="I442" s="1">
        <f t="shared" si="143"/>
        <v>719.6821937978724</v>
      </c>
      <c r="J442" s="1">
        <f t="shared" si="132"/>
        <v>23.989406459929079</v>
      </c>
      <c r="K442" s="7">
        <f t="shared" si="133"/>
        <v>1.9717320378023901</v>
      </c>
      <c r="L442" s="4">
        <f t="shared" si="134"/>
        <v>6487.6712328767135</v>
      </c>
      <c r="M442" s="1">
        <f t="shared" si="135"/>
        <v>886.42063338643061</v>
      </c>
      <c r="N442" s="7">
        <f t="shared" si="136"/>
        <v>5.0787803240090748</v>
      </c>
      <c r="O442" s="1">
        <f t="shared" si="137"/>
        <v>3000</v>
      </c>
      <c r="P442" s="2">
        <f t="shared" si="138"/>
        <v>5.7508056434495014</v>
      </c>
      <c r="Q442" s="2">
        <f t="shared" si="145"/>
        <v>347.12424807272129</v>
      </c>
      <c r="S442" s="1">
        <f t="shared" si="126"/>
        <v>3000</v>
      </c>
      <c r="T442" s="1">
        <f t="shared" si="127"/>
        <v>6487.6712328767135</v>
      </c>
      <c r="V442" s="1">
        <f t="shared" si="139"/>
        <v>6487.6712328767135</v>
      </c>
      <c r="W442" s="1">
        <f t="shared" si="140"/>
        <v>3000</v>
      </c>
    </row>
    <row r="443" spans="1:23" x14ac:dyDescent="0.25">
      <c r="A443" s="2">
        <f t="shared" si="141"/>
        <v>43.100000000000342</v>
      </c>
      <c r="B443" s="7">
        <f t="shared" si="144"/>
        <v>23.68</v>
      </c>
      <c r="C443" s="7">
        <f t="shared" si="128"/>
        <v>1.7736321303273048</v>
      </c>
      <c r="D443" s="7">
        <f t="shared" si="129"/>
        <v>5.1096102999371622</v>
      </c>
      <c r="E443" s="7">
        <f t="shared" si="130"/>
        <v>1</v>
      </c>
      <c r="G443" s="4">
        <f t="shared" si="131"/>
        <v>4310.0000000000346</v>
      </c>
      <c r="H443" s="1">
        <f t="shared" si="142"/>
        <v>1.5413851351351349</v>
      </c>
      <c r="I443" s="1">
        <f t="shared" si="143"/>
        <v>721.2235789330075</v>
      </c>
      <c r="J443" s="1">
        <f t="shared" si="132"/>
        <v>24.040785964433585</v>
      </c>
      <c r="K443" s="7">
        <f t="shared" si="133"/>
        <v>1.975955010775363</v>
      </c>
      <c r="L443" s="4">
        <f t="shared" si="134"/>
        <v>6487.6712328767135</v>
      </c>
      <c r="M443" s="1">
        <f t="shared" si="135"/>
        <v>886.81606516365241</v>
      </c>
      <c r="N443" s="7">
        <f t="shared" si="136"/>
        <v>5.1096102999371622</v>
      </c>
      <c r="O443" s="1">
        <f t="shared" si="137"/>
        <v>3000</v>
      </c>
      <c r="P443" s="2">
        <f t="shared" si="138"/>
        <v>5.7533710748151483</v>
      </c>
      <c r="Q443" s="2">
        <f t="shared" si="145"/>
        <v>349.34487948562969</v>
      </c>
      <c r="S443" s="1">
        <f t="shared" si="126"/>
        <v>3000</v>
      </c>
      <c r="T443" s="1">
        <f t="shared" si="127"/>
        <v>6487.6712328767135</v>
      </c>
      <c r="V443" s="1">
        <f t="shared" si="139"/>
        <v>6487.6712328767135</v>
      </c>
      <c r="W443" s="1">
        <f t="shared" si="140"/>
        <v>3000</v>
      </c>
    </row>
    <row r="444" spans="1:23" x14ac:dyDescent="0.25">
      <c r="A444" s="2">
        <f t="shared" si="141"/>
        <v>43.200000000000344</v>
      </c>
      <c r="B444" s="7">
        <f t="shared" si="144"/>
        <v>23.68</v>
      </c>
      <c r="C444" s="7">
        <f t="shared" si="128"/>
        <v>1.7744233466855632</v>
      </c>
      <c r="D444" s="7">
        <f t="shared" si="129"/>
        <v>5.1406274246204768</v>
      </c>
      <c r="E444" s="7">
        <f t="shared" si="130"/>
        <v>1</v>
      </c>
      <c r="G444" s="4">
        <f t="shared" si="131"/>
        <v>4320.0000000000337</v>
      </c>
      <c r="H444" s="1">
        <f t="shared" si="142"/>
        <v>1.5413851351349948</v>
      </c>
      <c r="I444" s="1">
        <f t="shared" si="143"/>
        <v>722.76496406814249</v>
      </c>
      <c r="J444" s="1">
        <f t="shared" si="132"/>
        <v>24.092165468938084</v>
      </c>
      <c r="K444" s="7">
        <f t="shared" si="133"/>
        <v>1.9801779837483355</v>
      </c>
      <c r="L444" s="4">
        <f t="shared" si="134"/>
        <v>6487.6712328767135</v>
      </c>
      <c r="M444" s="1">
        <f t="shared" si="135"/>
        <v>887.21167334278164</v>
      </c>
      <c r="N444" s="7">
        <f t="shared" si="136"/>
        <v>5.1406274246204768</v>
      </c>
      <c r="O444" s="1">
        <f t="shared" si="137"/>
        <v>3000</v>
      </c>
      <c r="P444" s="2">
        <f t="shared" si="138"/>
        <v>5.7559376506183764</v>
      </c>
      <c r="Q444" s="2">
        <f t="shared" si="145"/>
        <v>351.58044752136021</v>
      </c>
      <c r="S444" s="1">
        <f t="shared" si="126"/>
        <v>3000</v>
      </c>
      <c r="T444" s="1">
        <f t="shared" si="127"/>
        <v>6487.6712328767135</v>
      </c>
      <c r="V444" s="1">
        <f t="shared" si="139"/>
        <v>6487.6712328767135</v>
      </c>
      <c r="W444" s="1">
        <f t="shared" si="140"/>
        <v>3000</v>
      </c>
    </row>
    <row r="445" spans="1:23" x14ac:dyDescent="0.25">
      <c r="A445" s="2">
        <f t="shared" si="141"/>
        <v>43.300000000000345</v>
      </c>
      <c r="B445" s="7">
        <f t="shared" si="144"/>
        <v>23.68</v>
      </c>
      <c r="C445" s="7">
        <f t="shared" si="128"/>
        <v>1.7752149160050217</v>
      </c>
      <c r="D445" s="7">
        <f t="shared" si="129"/>
        <v>5.1718328341175344</v>
      </c>
      <c r="E445" s="7">
        <f t="shared" si="130"/>
        <v>1</v>
      </c>
      <c r="G445" s="4">
        <f t="shared" si="131"/>
        <v>4330.0000000000346</v>
      </c>
      <c r="H445" s="1">
        <f t="shared" si="142"/>
        <v>1.541385135135275</v>
      </c>
      <c r="I445" s="1">
        <f t="shared" si="143"/>
        <v>724.30634920327782</v>
      </c>
      <c r="J445" s="1">
        <f t="shared" si="132"/>
        <v>24.143544973442594</v>
      </c>
      <c r="K445" s="7">
        <f t="shared" si="133"/>
        <v>1.984400956721309</v>
      </c>
      <c r="L445" s="4">
        <f t="shared" si="134"/>
        <v>6487.6712328767135</v>
      </c>
      <c r="M445" s="1">
        <f t="shared" si="135"/>
        <v>887.60745800251084</v>
      </c>
      <c r="N445" s="7">
        <f t="shared" si="136"/>
        <v>5.1718328341175344</v>
      </c>
      <c r="O445" s="1">
        <f t="shared" si="137"/>
        <v>3000</v>
      </c>
      <c r="P445" s="2">
        <f t="shared" si="138"/>
        <v>5.758505371369715</v>
      </c>
      <c r="Q445" s="2">
        <f t="shared" si="145"/>
        <v>353.83106203515672</v>
      </c>
      <c r="S445" s="1">
        <f t="shared" si="126"/>
        <v>3000</v>
      </c>
      <c r="T445" s="1">
        <f t="shared" si="127"/>
        <v>6487.6712328767135</v>
      </c>
      <c r="V445" s="1">
        <f t="shared" si="139"/>
        <v>6487.6712328767135</v>
      </c>
      <c r="W445" s="1">
        <f t="shared" si="140"/>
        <v>3000</v>
      </c>
    </row>
    <row r="446" spans="1:23" x14ac:dyDescent="0.25">
      <c r="A446" s="2">
        <f t="shared" si="141"/>
        <v>43.400000000000347</v>
      </c>
      <c r="B446" s="7">
        <f t="shared" si="144"/>
        <v>23.68</v>
      </c>
      <c r="C446" s="7">
        <f t="shared" si="128"/>
        <v>1.7760068384431367</v>
      </c>
      <c r="D446" s="7">
        <f t="shared" si="129"/>
        <v>5.2032276713831207</v>
      </c>
      <c r="E446" s="7">
        <f t="shared" si="130"/>
        <v>1</v>
      </c>
      <c r="G446" s="4">
        <f t="shared" si="131"/>
        <v>4340.0000000000355</v>
      </c>
      <c r="H446" s="1">
        <f t="shared" si="142"/>
        <v>1.541385135135275</v>
      </c>
      <c r="I446" s="1">
        <f t="shared" si="143"/>
        <v>725.84773433841315</v>
      </c>
      <c r="J446" s="1">
        <f t="shared" si="132"/>
        <v>24.194924477947104</v>
      </c>
      <c r="K446" s="7">
        <f t="shared" si="133"/>
        <v>1.9886239296942827</v>
      </c>
      <c r="L446" s="4">
        <f t="shared" si="134"/>
        <v>6487.6712328767135</v>
      </c>
      <c r="M446" s="1">
        <f t="shared" si="135"/>
        <v>888.00341922156838</v>
      </c>
      <c r="N446" s="7">
        <f t="shared" si="136"/>
        <v>5.2032276713831207</v>
      </c>
      <c r="O446" s="1">
        <f t="shared" si="137"/>
        <v>3000</v>
      </c>
      <c r="P446" s="2">
        <f t="shared" si="138"/>
        <v>5.7610742375799298</v>
      </c>
      <c r="Q446" s="2">
        <f t="shared" si="145"/>
        <v>356.09683381118646</v>
      </c>
      <c r="S446" s="1">
        <f t="shared" si="126"/>
        <v>3000</v>
      </c>
      <c r="T446" s="1">
        <f t="shared" si="127"/>
        <v>6487.6712328767135</v>
      </c>
      <c r="V446" s="1">
        <f t="shared" si="139"/>
        <v>6487.6712328767135</v>
      </c>
      <c r="W446" s="1">
        <f t="shared" si="140"/>
        <v>3000</v>
      </c>
    </row>
    <row r="447" spans="1:23" x14ac:dyDescent="0.25">
      <c r="A447" s="2">
        <f t="shared" si="141"/>
        <v>43.500000000000348</v>
      </c>
      <c r="B447" s="7">
        <f t="shared" si="144"/>
        <v>23.68</v>
      </c>
      <c r="C447" s="7">
        <f t="shared" si="128"/>
        <v>1.7767991141574335</v>
      </c>
      <c r="D447" s="7">
        <f t="shared" si="129"/>
        <v>5.2348130863101572</v>
      </c>
      <c r="E447" s="7">
        <f t="shared" si="130"/>
        <v>1</v>
      </c>
      <c r="G447" s="4">
        <f t="shared" si="131"/>
        <v>4350.0000000000355</v>
      </c>
      <c r="H447" s="1">
        <f t="shared" si="142"/>
        <v>1.5413851351351349</v>
      </c>
      <c r="I447" s="1">
        <f t="shared" si="143"/>
        <v>727.38911947354825</v>
      </c>
      <c r="J447" s="1">
        <f t="shared" si="132"/>
        <v>24.246303982451607</v>
      </c>
      <c r="K447" s="7">
        <f t="shared" si="133"/>
        <v>1.9928469026672555</v>
      </c>
      <c r="L447" s="4">
        <f t="shared" si="134"/>
        <v>6487.6712328767135</v>
      </c>
      <c r="M447" s="1">
        <f t="shared" si="135"/>
        <v>888.39955707871673</v>
      </c>
      <c r="N447" s="7">
        <f t="shared" si="136"/>
        <v>5.2348130863101572</v>
      </c>
      <c r="O447" s="1">
        <f t="shared" si="137"/>
        <v>3000</v>
      </c>
      <c r="P447" s="2">
        <f t="shared" si="138"/>
        <v>5.7636442497600049</v>
      </c>
      <c r="Q447" s="2">
        <f t="shared" si="145"/>
        <v>358.3778745719419</v>
      </c>
      <c r="S447" s="1">
        <f t="shared" si="126"/>
        <v>3000</v>
      </c>
      <c r="T447" s="1">
        <f t="shared" si="127"/>
        <v>6487.6712328767135</v>
      </c>
      <c r="V447" s="1">
        <f t="shared" si="139"/>
        <v>6487.6712328767135</v>
      </c>
      <c r="W447" s="1">
        <f t="shared" si="140"/>
        <v>3000</v>
      </c>
    </row>
    <row r="448" spans="1:23" x14ac:dyDescent="0.25">
      <c r="A448" s="2">
        <f t="shared" si="141"/>
        <v>43.60000000000035</v>
      </c>
      <c r="B448" s="7">
        <f t="shared" si="144"/>
        <v>23.68</v>
      </c>
      <c r="C448" s="7">
        <f t="shared" si="128"/>
        <v>1.7775917433055088</v>
      </c>
      <c r="D448" s="7">
        <f t="shared" si="129"/>
        <v>5.2665902357718162</v>
      </c>
      <c r="E448" s="7">
        <f t="shared" si="130"/>
        <v>1</v>
      </c>
      <c r="G448" s="4">
        <f t="shared" si="131"/>
        <v>4360.0000000000346</v>
      </c>
      <c r="H448" s="1">
        <f t="shared" si="142"/>
        <v>1.5413851351349948</v>
      </c>
      <c r="I448" s="1">
        <f t="shared" si="143"/>
        <v>728.93050460868324</v>
      </c>
      <c r="J448" s="1">
        <f t="shared" si="132"/>
        <v>24.297683486956107</v>
      </c>
      <c r="K448" s="7">
        <f t="shared" si="133"/>
        <v>1.9970698756402281</v>
      </c>
      <c r="L448" s="4">
        <f t="shared" si="134"/>
        <v>6487.6712328767135</v>
      </c>
      <c r="M448" s="1">
        <f t="shared" si="135"/>
        <v>888.79587165275439</v>
      </c>
      <c r="N448" s="7">
        <f t="shared" si="136"/>
        <v>5.2665902357718162</v>
      </c>
      <c r="O448" s="1">
        <f t="shared" si="137"/>
        <v>3000</v>
      </c>
      <c r="P448" s="2">
        <f t="shared" si="138"/>
        <v>5.7662154084211581</v>
      </c>
      <c r="Q448" s="2">
        <f t="shared" si="145"/>
        <v>360.67429698775788</v>
      </c>
      <c r="S448" s="1">
        <f t="shared" si="126"/>
        <v>3000</v>
      </c>
      <c r="T448" s="1">
        <f t="shared" si="127"/>
        <v>6487.6712328767135</v>
      </c>
      <c r="V448" s="1">
        <f t="shared" si="139"/>
        <v>6487.6712328767135</v>
      </c>
      <c r="W448" s="1">
        <f t="shared" si="140"/>
        <v>3000</v>
      </c>
    </row>
    <row r="449" spans="1:23" x14ac:dyDescent="0.25">
      <c r="A449" s="2">
        <f t="shared" si="141"/>
        <v>43.700000000000351</v>
      </c>
      <c r="B449" s="7">
        <f t="shared" si="144"/>
        <v>23.68</v>
      </c>
      <c r="C449" s="7">
        <f t="shared" si="128"/>
        <v>1.7783847260450294</v>
      </c>
      <c r="D449" s="7">
        <f t="shared" si="129"/>
        <v>5.2985602836638979</v>
      </c>
      <c r="E449" s="7">
        <f t="shared" si="130"/>
        <v>1</v>
      </c>
      <c r="G449" s="4">
        <f t="shared" si="131"/>
        <v>4370.0000000000346</v>
      </c>
      <c r="H449" s="1">
        <f t="shared" si="142"/>
        <v>1.5413851351351349</v>
      </c>
      <c r="I449" s="1">
        <f t="shared" si="143"/>
        <v>730.47188974381834</v>
      </c>
      <c r="J449" s="1">
        <f t="shared" si="132"/>
        <v>24.34906299146061</v>
      </c>
      <c r="K449" s="7">
        <f t="shared" si="133"/>
        <v>2.0012928486132009</v>
      </c>
      <c r="L449" s="4">
        <f t="shared" si="134"/>
        <v>6487.6712328767135</v>
      </c>
      <c r="M449" s="1">
        <f t="shared" si="135"/>
        <v>889.19236302251466</v>
      </c>
      <c r="N449" s="7">
        <f t="shared" si="136"/>
        <v>5.2985602836638979</v>
      </c>
      <c r="O449" s="1">
        <f t="shared" si="137"/>
        <v>3000</v>
      </c>
      <c r="P449" s="2">
        <f t="shared" si="138"/>
        <v>5.7687877140748363</v>
      </c>
      <c r="Q449" s="2">
        <f t="shared" si="145"/>
        <v>362.98621468644438</v>
      </c>
      <c r="S449" s="1">
        <f t="shared" si="126"/>
        <v>3000</v>
      </c>
      <c r="T449" s="1">
        <f t="shared" si="127"/>
        <v>6487.6712328767135</v>
      </c>
      <c r="V449" s="1">
        <f t="shared" si="139"/>
        <v>6487.6712328767135</v>
      </c>
      <c r="W449" s="1">
        <f t="shared" si="140"/>
        <v>3000</v>
      </c>
    </row>
    <row r="450" spans="1:23" x14ac:dyDescent="0.25">
      <c r="A450" s="2">
        <f t="shared" si="141"/>
        <v>43.800000000000352</v>
      </c>
      <c r="B450" s="7">
        <f t="shared" si="144"/>
        <v>23.68</v>
      </c>
      <c r="C450" s="7">
        <f t="shared" si="128"/>
        <v>1.7791780625337319</v>
      </c>
      <c r="D450" s="7">
        <f t="shared" si="129"/>
        <v>5.3307244009474601</v>
      </c>
      <c r="E450" s="7">
        <f t="shared" si="130"/>
        <v>1</v>
      </c>
      <c r="G450" s="4">
        <f t="shared" si="131"/>
        <v>4380.0000000000346</v>
      </c>
      <c r="H450" s="1">
        <f t="shared" si="142"/>
        <v>1.5413851351351349</v>
      </c>
      <c r="I450" s="1">
        <f t="shared" si="143"/>
        <v>732.01327487895344</v>
      </c>
      <c r="J450" s="1">
        <f t="shared" si="132"/>
        <v>24.400442495965116</v>
      </c>
      <c r="K450" s="7">
        <f t="shared" si="133"/>
        <v>2.0055158215861737</v>
      </c>
      <c r="L450" s="4">
        <f t="shared" si="134"/>
        <v>6487.6712328767135</v>
      </c>
      <c r="M450" s="1">
        <f t="shared" si="135"/>
        <v>889.58903126686596</v>
      </c>
      <c r="N450" s="7">
        <f t="shared" si="136"/>
        <v>5.3307244009474601</v>
      </c>
      <c r="O450" s="1">
        <f t="shared" si="137"/>
        <v>3000</v>
      </c>
      <c r="P450" s="2">
        <f t="shared" si="138"/>
        <v>5.7713611672327101</v>
      </c>
      <c r="Q450" s="2">
        <f t="shared" si="145"/>
        <v>365.31374226303797</v>
      </c>
      <c r="S450" s="1">
        <f t="shared" si="126"/>
        <v>3000</v>
      </c>
      <c r="T450" s="1">
        <f t="shared" si="127"/>
        <v>6487.6712328767135</v>
      </c>
      <c r="V450" s="1">
        <f t="shared" si="139"/>
        <v>6487.6712328767135</v>
      </c>
      <c r="W450" s="1">
        <f t="shared" si="140"/>
        <v>3000</v>
      </c>
    </row>
    <row r="451" spans="1:23" x14ac:dyDescent="0.25">
      <c r="A451" s="2">
        <f t="shared" si="141"/>
        <v>43.900000000000354</v>
      </c>
      <c r="B451" s="7">
        <f t="shared" si="144"/>
        <v>23.68</v>
      </c>
      <c r="C451" s="7">
        <f t="shared" si="128"/>
        <v>1.7799717529294237</v>
      </c>
      <c r="D451" s="7">
        <f t="shared" si="129"/>
        <v>5.3630837656916972</v>
      </c>
      <c r="E451" s="7">
        <f t="shared" si="130"/>
        <v>1</v>
      </c>
      <c r="G451" s="4">
        <f t="shared" si="131"/>
        <v>4390.0000000000355</v>
      </c>
      <c r="H451" s="1">
        <f t="shared" si="142"/>
        <v>1.541385135135275</v>
      </c>
      <c r="I451" s="1">
        <f t="shared" si="143"/>
        <v>733.55466001408877</v>
      </c>
      <c r="J451" s="1">
        <f t="shared" si="132"/>
        <v>24.451822000469626</v>
      </c>
      <c r="K451" s="7">
        <f t="shared" si="133"/>
        <v>2.0097387945591474</v>
      </c>
      <c r="L451" s="4">
        <f t="shared" si="134"/>
        <v>6487.6712328767135</v>
      </c>
      <c r="M451" s="1">
        <f t="shared" si="135"/>
        <v>889.98587646471185</v>
      </c>
      <c r="N451" s="7">
        <f t="shared" si="136"/>
        <v>5.3630837656916972</v>
      </c>
      <c r="O451" s="1">
        <f t="shared" si="137"/>
        <v>3000</v>
      </c>
      <c r="P451" s="2">
        <f t="shared" si="138"/>
        <v>5.7739357684066794</v>
      </c>
      <c r="Q451" s="2">
        <f t="shared" si="145"/>
        <v>367.65699528967167</v>
      </c>
      <c r="S451" s="1">
        <f t="shared" si="126"/>
        <v>3000</v>
      </c>
      <c r="T451" s="1">
        <f t="shared" si="127"/>
        <v>6487.6712328767135</v>
      </c>
      <c r="V451" s="1">
        <f t="shared" si="139"/>
        <v>6487.6712328767135</v>
      </c>
      <c r="W451" s="1">
        <f t="shared" si="140"/>
        <v>3000</v>
      </c>
    </row>
    <row r="452" spans="1:23" x14ac:dyDescent="0.25">
      <c r="A452" s="2">
        <f t="shared" si="141"/>
        <v>44.000000000000355</v>
      </c>
      <c r="B452" s="7">
        <f t="shared" si="144"/>
        <v>23.68</v>
      </c>
      <c r="C452" s="7">
        <f t="shared" si="128"/>
        <v>1.7807657973899824</v>
      </c>
      <c r="D452" s="7">
        <f t="shared" si="129"/>
        <v>5.3956395631171032</v>
      </c>
      <c r="E452" s="7">
        <f t="shared" si="130"/>
        <v>1</v>
      </c>
      <c r="G452" s="4">
        <f t="shared" si="131"/>
        <v>4400.0000000000355</v>
      </c>
      <c r="H452" s="1">
        <f t="shared" si="142"/>
        <v>1.5413851351351349</v>
      </c>
      <c r="I452" s="1">
        <f t="shared" si="143"/>
        <v>735.09604514922387</v>
      </c>
      <c r="J452" s="1">
        <f t="shared" si="132"/>
        <v>24.503201504974129</v>
      </c>
      <c r="K452" s="7">
        <f t="shared" si="133"/>
        <v>2.0139617675321202</v>
      </c>
      <c r="L452" s="4">
        <f t="shared" si="134"/>
        <v>6487.6712328767135</v>
      </c>
      <c r="M452" s="1">
        <f t="shared" si="135"/>
        <v>890.38289869499124</v>
      </c>
      <c r="N452" s="7">
        <f t="shared" si="136"/>
        <v>5.3956395631171032</v>
      </c>
      <c r="O452" s="1">
        <f t="shared" si="137"/>
        <v>3000</v>
      </c>
      <c r="P452" s="2">
        <f t="shared" si="138"/>
        <v>5.7765115181088751</v>
      </c>
      <c r="Q452" s="2">
        <f t="shared" si="145"/>
        <v>370.01609032556854</v>
      </c>
      <c r="S452" s="1">
        <f t="shared" si="126"/>
        <v>3000</v>
      </c>
      <c r="T452" s="1">
        <f t="shared" si="127"/>
        <v>6487.6712328767135</v>
      </c>
      <c r="V452" s="1">
        <f t="shared" si="139"/>
        <v>6487.6712328767135</v>
      </c>
      <c r="W452" s="1">
        <f t="shared" si="140"/>
        <v>3000</v>
      </c>
    </row>
    <row r="453" spans="1:23" x14ac:dyDescent="0.25">
      <c r="A453" s="2">
        <f t="shared" si="141"/>
        <v>44.100000000000357</v>
      </c>
      <c r="B453" s="7">
        <f t="shared" si="144"/>
        <v>23.68</v>
      </c>
      <c r="C453" s="7">
        <f t="shared" si="128"/>
        <v>1.7815601960733567</v>
      </c>
      <c r="D453" s="7">
        <f t="shared" si="129"/>
        <v>5.4283929856388768</v>
      </c>
      <c r="E453" s="7">
        <f t="shared" si="130"/>
        <v>1</v>
      </c>
      <c r="G453" s="4">
        <f t="shared" si="131"/>
        <v>4410.0000000000355</v>
      </c>
      <c r="H453" s="1">
        <f t="shared" si="142"/>
        <v>1.5413851351351349</v>
      </c>
      <c r="I453" s="1">
        <f t="shared" si="143"/>
        <v>736.63743028435897</v>
      </c>
      <c r="J453" s="1">
        <f t="shared" si="132"/>
        <v>24.554581009478632</v>
      </c>
      <c r="K453" s="7">
        <f t="shared" si="133"/>
        <v>2.018184740505093</v>
      </c>
      <c r="L453" s="4">
        <f t="shared" si="134"/>
        <v>6487.6712328767135</v>
      </c>
      <c r="M453" s="1">
        <f t="shared" si="135"/>
        <v>890.7800980366784</v>
      </c>
      <c r="N453" s="7">
        <f t="shared" si="136"/>
        <v>5.4283929856388768</v>
      </c>
      <c r="O453" s="1">
        <f t="shared" si="137"/>
        <v>3000</v>
      </c>
      <c r="P453" s="2">
        <f t="shared" si="138"/>
        <v>5.7790884168516579</v>
      </c>
      <c r="Q453" s="2">
        <f t="shared" si="145"/>
        <v>372.3911449271568</v>
      </c>
      <c r="S453" s="1">
        <f t="shared" si="126"/>
        <v>3000</v>
      </c>
      <c r="T453" s="1">
        <f t="shared" si="127"/>
        <v>6487.6712328767135</v>
      </c>
      <c r="V453" s="1">
        <f t="shared" si="139"/>
        <v>6487.6712328767135</v>
      </c>
      <c r="W453" s="1">
        <f t="shared" si="140"/>
        <v>3000</v>
      </c>
    </row>
    <row r="454" spans="1:23" x14ac:dyDescent="0.25">
      <c r="A454" s="2">
        <f t="shared" si="141"/>
        <v>44.200000000000358</v>
      </c>
      <c r="B454" s="7">
        <f t="shared" si="144"/>
        <v>23.68</v>
      </c>
      <c r="C454" s="7">
        <f t="shared" si="128"/>
        <v>1.7823549491375645</v>
      </c>
      <c r="D454" s="7">
        <f t="shared" si="129"/>
        <v>5.4613452329105838</v>
      </c>
      <c r="E454" s="7">
        <f t="shared" si="130"/>
        <v>1</v>
      </c>
      <c r="G454" s="4">
        <f t="shared" si="131"/>
        <v>4420.0000000000355</v>
      </c>
      <c r="H454" s="1">
        <f t="shared" si="142"/>
        <v>1.5413851351351349</v>
      </c>
      <c r="I454" s="1">
        <f t="shared" si="143"/>
        <v>738.17881541949407</v>
      </c>
      <c r="J454" s="1">
        <f t="shared" si="132"/>
        <v>24.605960513983135</v>
      </c>
      <c r="K454" s="7">
        <f t="shared" si="133"/>
        <v>2.0224077134780658</v>
      </c>
      <c r="L454" s="4">
        <f t="shared" si="134"/>
        <v>6487.6712328767135</v>
      </c>
      <c r="M454" s="1">
        <f t="shared" si="135"/>
        <v>891.17747456878226</v>
      </c>
      <c r="N454" s="7">
        <f t="shared" si="136"/>
        <v>5.4613452329105838</v>
      </c>
      <c r="O454" s="1">
        <f t="shared" si="137"/>
        <v>3000</v>
      </c>
      <c r="P454" s="2">
        <f t="shared" si="138"/>
        <v>5.781666465147608</v>
      </c>
      <c r="Q454" s="2">
        <f t="shared" si="145"/>
        <v>374.78227765830951</v>
      </c>
      <c r="S454" s="1">
        <f t="shared" si="126"/>
        <v>3000</v>
      </c>
      <c r="T454" s="1">
        <f t="shared" si="127"/>
        <v>6487.6712328767135</v>
      </c>
      <c r="V454" s="1">
        <f t="shared" si="139"/>
        <v>6487.6712328767135</v>
      </c>
      <c r="W454" s="1">
        <f t="shared" si="140"/>
        <v>3000</v>
      </c>
    </row>
    <row r="455" spans="1:23" x14ac:dyDescent="0.25">
      <c r="A455" s="2">
        <f t="shared" si="141"/>
        <v>44.30000000000036</v>
      </c>
      <c r="B455" s="7">
        <f t="shared" si="144"/>
        <v>23.68</v>
      </c>
      <c r="C455" s="7">
        <f t="shared" si="128"/>
        <v>1.7831500567406957</v>
      </c>
      <c r="D455" s="7">
        <f t="shared" si="129"/>
        <v>5.4944975118681203</v>
      </c>
      <c r="E455" s="7">
        <f t="shared" si="130"/>
        <v>1</v>
      </c>
      <c r="G455" s="4">
        <f t="shared" si="131"/>
        <v>4430.0000000000364</v>
      </c>
      <c r="H455" s="1">
        <f t="shared" si="142"/>
        <v>1.541385135135275</v>
      </c>
      <c r="I455" s="1">
        <f t="shared" si="143"/>
        <v>739.7202005546294</v>
      </c>
      <c r="J455" s="1">
        <f t="shared" si="132"/>
        <v>24.657340018487648</v>
      </c>
      <c r="K455" s="7">
        <f t="shared" si="133"/>
        <v>2.0266306864510395</v>
      </c>
      <c r="L455" s="4">
        <f t="shared" si="134"/>
        <v>6487.6712328767135</v>
      </c>
      <c r="M455" s="1">
        <f t="shared" si="135"/>
        <v>891.57502837034781</v>
      </c>
      <c r="N455" s="7">
        <f t="shared" si="136"/>
        <v>5.4944975118681203</v>
      </c>
      <c r="O455" s="1">
        <f t="shared" si="137"/>
        <v>3000</v>
      </c>
      <c r="P455" s="2">
        <f t="shared" si="138"/>
        <v>5.7842456635095445</v>
      </c>
      <c r="Q455" s="2">
        <f t="shared" si="145"/>
        <v>377.18960810071366</v>
      </c>
      <c r="S455" s="1">
        <f t="shared" si="126"/>
        <v>3000</v>
      </c>
      <c r="T455" s="1">
        <f t="shared" si="127"/>
        <v>6487.6712328767135</v>
      </c>
      <c r="V455" s="1">
        <f t="shared" si="139"/>
        <v>6487.6712328767135</v>
      </c>
      <c r="W455" s="1">
        <f t="shared" si="140"/>
        <v>3000</v>
      </c>
    </row>
    <row r="456" spans="1:23" x14ac:dyDescent="0.25">
      <c r="A456" s="2">
        <f t="shared" si="141"/>
        <v>44.400000000000361</v>
      </c>
      <c r="B456" s="7">
        <f t="shared" si="144"/>
        <v>23.68</v>
      </c>
      <c r="C456" s="7">
        <f t="shared" si="128"/>
        <v>1.783945519040909</v>
      </c>
      <c r="D456" s="7">
        <f t="shared" si="129"/>
        <v>5.5278510367739013</v>
      </c>
      <c r="E456" s="7">
        <f t="shared" si="130"/>
        <v>1</v>
      </c>
      <c r="G456" s="4">
        <f t="shared" si="131"/>
        <v>4440.0000000000355</v>
      </c>
      <c r="H456" s="1">
        <f t="shared" si="142"/>
        <v>1.5413851351349948</v>
      </c>
      <c r="I456" s="1">
        <f t="shared" si="143"/>
        <v>741.26158568976439</v>
      </c>
      <c r="J456" s="1">
        <f t="shared" si="132"/>
        <v>24.708719522992148</v>
      </c>
      <c r="K456" s="7">
        <f t="shared" si="133"/>
        <v>2.0308536594240119</v>
      </c>
      <c r="L456" s="4">
        <f t="shared" si="134"/>
        <v>6487.6712328767135</v>
      </c>
      <c r="M456" s="1">
        <f t="shared" si="135"/>
        <v>891.97275952045447</v>
      </c>
      <c r="N456" s="7">
        <f t="shared" si="136"/>
        <v>5.5278510367739013</v>
      </c>
      <c r="O456" s="1">
        <f t="shared" si="137"/>
        <v>3000</v>
      </c>
      <c r="P456" s="2">
        <f t="shared" si="138"/>
        <v>5.7868260124505113</v>
      </c>
      <c r="Q456" s="2">
        <f t="shared" si="145"/>
        <v>379.61325686436555</v>
      </c>
      <c r="S456" s="1">
        <f t="shared" si="126"/>
        <v>3000</v>
      </c>
      <c r="T456" s="1">
        <f t="shared" si="127"/>
        <v>6487.6712328767135</v>
      </c>
      <c r="V456" s="1">
        <f t="shared" si="139"/>
        <v>6487.6712328767135</v>
      </c>
      <c r="W456" s="1">
        <f t="shared" si="140"/>
        <v>3000</v>
      </c>
    </row>
    <row r="457" spans="1:23" x14ac:dyDescent="0.25">
      <c r="A457" s="2">
        <f t="shared" si="141"/>
        <v>44.500000000000362</v>
      </c>
      <c r="B457" s="7">
        <f t="shared" si="144"/>
        <v>23.68</v>
      </c>
      <c r="C457" s="7">
        <f t="shared" si="128"/>
        <v>1.7847413361964353</v>
      </c>
      <c r="D457" s="7">
        <f t="shared" si="129"/>
        <v>5.5614070292613365</v>
      </c>
      <c r="E457" s="7">
        <f t="shared" si="130"/>
        <v>1</v>
      </c>
      <c r="G457" s="4">
        <f t="shared" si="131"/>
        <v>4450.0000000000364</v>
      </c>
      <c r="H457" s="1">
        <f t="shared" si="142"/>
        <v>1.541385135135275</v>
      </c>
      <c r="I457" s="1">
        <f t="shared" si="143"/>
        <v>742.80297082489972</v>
      </c>
      <c r="J457" s="1">
        <f t="shared" si="132"/>
        <v>24.760099027496658</v>
      </c>
      <c r="K457" s="7">
        <f t="shared" si="133"/>
        <v>2.0350766323969856</v>
      </c>
      <c r="L457" s="4">
        <f t="shared" si="134"/>
        <v>6487.6712328767135</v>
      </c>
      <c r="M457" s="1">
        <f t="shared" si="135"/>
        <v>892.37066809821761</v>
      </c>
      <c r="N457" s="7">
        <f t="shared" si="136"/>
        <v>5.5614070292613365</v>
      </c>
      <c r="O457" s="1">
        <f t="shared" si="137"/>
        <v>3000</v>
      </c>
      <c r="P457" s="2">
        <f t="shared" si="138"/>
        <v>5.7894075124837805</v>
      </c>
      <c r="Q457" s="2">
        <f t="shared" si="145"/>
        <v>382.05334559819744</v>
      </c>
      <c r="S457" s="1">
        <f t="shared" si="126"/>
        <v>3000</v>
      </c>
      <c r="T457" s="1">
        <f t="shared" si="127"/>
        <v>6487.6712328767135</v>
      </c>
      <c r="V457" s="1">
        <f t="shared" si="139"/>
        <v>6487.6712328767135</v>
      </c>
      <c r="W457" s="1">
        <f t="shared" si="140"/>
        <v>3000</v>
      </c>
    </row>
    <row r="458" spans="1:23" x14ac:dyDescent="0.25">
      <c r="A458" s="2">
        <f t="shared" si="141"/>
        <v>44.600000000000364</v>
      </c>
      <c r="B458" s="7">
        <f t="shared" si="144"/>
        <v>23.68</v>
      </c>
      <c r="C458" s="7">
        <f t="shared" si="128"/>
        <v>1.7855375083655749</v>
      </c>
      <c r="D458" s="7">
        <f t="shared" si="129"/>
        <v>5.5951667183795815</v>
      </c>
      <c r="E458" s="7">
        <f t="shared" si="130"/>
        <v>1</v>
      </c>
      <c r="G458" s="4">
        <f t="shared" si="131"/>
        <v>4460.0000000000364</v>
      </c>
      <c r="H458" s="1">
        <f t="shared" si="142"/>
        <v>1.5413851351351349</v>
      </c>
      <c r="I458" s="1">
        <f t="shared" si="143"/>
        <v>744.34435596003482</v>
      </c>
      <c r="J458" s="1">
        <f t="shared" si="132"/>
        <v>24.811478532001161</v>
      </c>
      <c r="K458" s="7">
        <f t="shared" si="133"/>
        <v>2.0392996053699584</v>
      </c>
      <c r="L458" s="4">
        <f t="shared" si="134"/>
        <v>6487.6712328767135</v>
      </c>
      <c r="M458" s="1">
        <f t="shared" si="135"/>
        <v>892.76875418278746</v>
      </c>
      <c r="N458" s="7">
        <f t="shared" si="136"/>
        <v>5.5951667183795815</v>
      </c>
      <c r="O458" s="1">
        <f t="shared" si="137"/>
        <v>3000</v>
      </c>
      <c r="P458" s="2">
        <f t="shared" si="138"/>
        <v>5.7919901641228524</v>
      </c>
      <c r="Q458" s="2">
        <f t="shared" si="145"/>
        <v>384.5099970008373</v>
      </c>
      <c r="S458" s="1">
        <f t="shared" si="126"/>
        <v>3000</v>
      </c>
      <c r="T458" s="1">
        <f t="shared" si="127"/>
        <v>6487.6712328767135</v>
      </c>
      <c r="V458" s="1">
        <f t="shared" si="139"/>
        <v>6487.6712328767135</v>
      </c>
      <c r="W458" s="1">
        <f t="shared" si="140"/>
        <v>3000</v>
      </c>
    </row>
    <row r="459" spans="1:23" x14ac:dyDescent="0.25">
      <c r="A459" s="2">
        <f t="shared" si="141"/>
        <v>44.700000000000365</v>
      </c>
      <c r="B459" s="7">
        <f t="shared" si="144"/>
        <v>23.68</v>
      </c>
      <c r="C459" s="7">
        <f t="shared" si="128"/>
        <v>1.7863340357066995</v>
      </c>
      <c r="D459" s="7">
        <f t="shared" si="129"/>
        <v>5.6291313406385557</v>
      </c>
      <c r="E459" s="7">
        <f t="shared" si="130"/>
        <v>1</v>
      </c>
      <c r="G459" s="4">
        <f t="shared" si="131"/>
        <v>4470.0000000000373</v>
      </c>
      <c r="H459" s="1">
        <f t="shared" si="142"/>
        <v>1.541385135135275</v>
      </c>
      <c r="I459" s="1">
        <f t="shared" si="143"/>
        <v>745.88574109517015</v>
      </c>
      <c r="J459" s="1">
        <f t="shared" si="132"/>
        <v>24.862858036505671</v>
      </c>
      <c r="K459" s="7">
        <f t="shared" si="133"/>
        <v>2.0435225783429321</v>
      </c>
      <c r="L459" s="4">
        <f t="shared" si="134"/>
        <v>6487.6712328767135</v>
      </c>
      <c r="M459" s="1">
        <f t="shared" si="135"/>
        <v>893.16701785334976</v>
      </c>
      <c r="N459" s="7">
        <f t="shared" si="136"/>
        <v>5.6291313406385557</v>
      </c>
      <c r="O459" s="1">
        <f t="shared" si="137"/>
        <v>3000</v>
      </c>
      <c r="P459" s="2">
        <f t="shared" si="138"/>
        <v>5.7945739678814592</v>
      </c>
      <c r="Q459" s="2">
        <f t="shared" si="145"/>
        <v>386.98333483150327</v>
      </c>
      <c r="S459" s="1">
        <f t="shared" si="126"/>
        <v>3000</v>
      </c>
      <c r="T459" s="1">
        <f t="shared" si="127"/>
        <v>6487.6712328767135</v>
      </c>
      <c r="V459" s="1">
        <f t="shared" si="139"/>
        <v>6487.6712328767135</v>
      </c>
      <c r="W459" s="1">
        <f t="shared" si="140"/>
        <v>3000</v>
      </c>
    </row>
    <row r="460" spans="1:23" x14ac:dyDescent="0.25">
      <c r="A460" s="2">
        <f t="shared" si="141"/>
        <v>44.800000000000367</v>
      </c>
      <c r="B460" s="7">
        <f t="shared" si="144"/>
        <v>23.68</v>
      </c>
      <c r="C460" s="7">
        <f t="shared" si="128"/>
        <v>1.7871309183782511</v>
      </c>
      <c r="D460" s="7">
        <f t="shared" si="129"/>
        <v>5.6633021400542161</v>
      </c>
      <c r="E460" s="7">
        <f t="shared" si="130"/>
        <v>1</v>
      </c>
      <c r="G460" s="4">
        <f t="shared" si="131"/>
        <v>4480.0000000000373</v>
      </c>
      <c r="H460" s="1">
        <f t="shared" si="142"/>
        <v>1.5413851351351349</v>
      </c>
      <c r="I460" s="1">
        <f t="shared" si="143"/>
        <v>747.42712623030525</v>
      </c>
      <c r="J460" s="1">
        <f t="shared" si="132"/>
        <v>24.914237541010174</v>
      </c>
      <c r="K460" s="7">
        <f t="shared" si="133"/>
        <v>2.0477455513159049</v>
      </c>
      <c r="L460" s="4">
        <f t="shared" si="134"/>
        <v>6487.6712328767135</v>
      </c>
      <c r="M460" s="1">
        <f t="shared" si="135"/>
        <v>893.56545918912559</v>
      </c>
      <c r="N460" s="7">
        <f t="shared" si="136"/>
        <v>5.6633021400542161</v>
      </c>
      <c r="O460" s="1">
        <f t="shared" si="137"/>
        <v>3000</v>
      </c>
      <c r="P460" s="2">
        <f t="shared" si="138"/>
        <v>5.7971589242735604</v>
      </c>
      <c r="Q460" s="2">
        <f t="shared" si="145"/>
        <v>389.4734839210322</v>
      </c>
      <c r="S460" s="1">
        <f t="shared" ref="S460:S523" si="146">E460*$H$3</f>
        <v>3000</v>
      </c>
      <c r="T460" s="1">
        <f t="shared" ref="T460:T523" si="147">B460/100*$H$2/365*1000000</f>
        <v>6487.6712328767135</v>
      </c>
      <c r="V460" s="1">
        <f t="shared" si="139"/>
        <v>6487.6712328767135</v>
      </c>
      <c r="W460" s="1">
        <f t="shared" si="140"/>
        <v>3000</v>
      </c>
    </row>
    <row r="461" spans="1:23" x14ac:dyDescent="0.25">
      <c r="A461" s="2">
        <f t="shared" si="141"/>
        <v>44.900000000000368</v>
      </c>
      <c r="B461" s="7">
        <f t="shared" si="144"/>
        <v>23.68</v>
      </c>
      <c r="C461" s="7">
        <f t="shared" ref="C461:C524" si="148">IF($C$5&lt;$C$7,IF(A461&lt;=$C$2,$C$3*EXP(A461*$C$4),IF(A461&lt;=$C$7,$C$6,IF($C$8*EXP(A461*$C$9)&gt;$C$6,$C$6,$C$8*EXP(A461*$C$9)))),IF(A461&lt;=$C$2,$C$3*EXP(A461*$C$4),IF(A461&lt;=$C$5,$C$6,IF($C$8*EXP(A461*$C$9)&gt;$C$6,$C$6,$C$8*EXP(A461*$C$9)))))</f>
        <v>1.7879281565387422</v>
      </c>
      <c r="D461" s="7">
        <f t="shared" ref="D461:D524" si="149">IF(IF($D$5&lt;$D$7,IF(A461&lt;=$D$2,$D$3*EXP(A461*$D$4),IF(A461&lt;=$D$7,$D$6,IF($D$8*EXP(A461*$D$9)&gt;$D$6,$D$6,$D$8*EXP(A461*$D$9)))),IF(A461&lt;=$D$2,$D$3*EXP(A461*$D$4),IF(A461&lt;=$D$5,$D$6,IF($D$8*EXP(A461*$D$9)&gt;$D$6,$D$6,$D$8*EXP(A461*$D$9)))))&lt;=100,IF($D$5&lt;$D$7,IF(A461&lt;=$D$2,$D$3*EXP(A461*$D$4),IF(A461&lt;=$D$7,$D$6,IF($D$8*EXP(A461*$D$9)&gt;$D$6,$D$6,$D$8*EXP(A461*$D$9)))),IF(A461&lt;=$D$2,$D$3*EXP(A461*$D$4),IF(A461&lt;=$D$5,$D$6,IF($D$8*EXP(A461*$D$9)&gt;$D$6,$D$6,$D$8*EXP(A461*$D$9))))),100)</f>
        <v>5.6976803681941401</v>
      </c>
      <c r="E461" s="7">
        <f t="shared" ref="E461:E524" si="150">IF($E$5&lt;$E$7,IF(A461&lt;=$E$2,$E$3*EXP(A461*$E$4),IF(A461&lt;=$E$7,$E$6,IF($E$8*EXP(A461*$E$9)&gt;$E$6,$E$6,$E$8*EXP(A461*$E$9)))),IF(A461&lt;=$E$2,$E$3*EXP(A461*$E$4),IF(A461&lt;=$E$5,$E$6,IF($E$8*EXP(A461*$E$9)&gt;$E$6,$E$6,$E$8*EXP(A461*$E$9)))))</f>
        <v>1</v>
      </c>
      <c r="G461" s="4">
        <f t="shared" ref="G461:G524" si="151">A461/100*$H$2*1000</f>
        <v>4490.0000000000364</v>
      </c>
      <c r="H461" s="1">
        <f t="shared" si="142"/>
        <v>1.5413851351349948</v>
      </c>
      <c r="I461" s="1">
        <f t="shared" si="143"/>
        <v>748.96851136544024</v>
      </c>
      <c r="J461" s="1">
        <f t="shared" ref="J461:J524" si="152">I461/30</f>
        <v>24.965617045514673</v>
      </c>
      <c r="K461" s="7">
        <f t="shared" ref="K461:K524" si="153">I461/365</f>
        <v>2.0519685242888772</v>
      </c>
      <c r="L461" s="4">
        <f t="shared" ref="L461:L524" si="154">IF(A461&gt;$B$2,IF(AND(B461/100*$H$2/365*1000000&gt;=$H$5,O461&gt;=$H$6,M461&lt;=$L$4,N461&lt;=$L$5),B461/100*$H$2/365*1000000*$L$6/100,#N/A),B461/100*$H$2/365*1000000*$L$6/100)</f>
        <v>6487.6712328767135</v>
      </c>
      <c r="M461" s="1">
        <f t="shared" ref="M461:M524" si="155">C461*$H$4</f>
        <v>893.96407826937104</v>
      </c>
      <c r="N461" s="7">
        <f t="shared" ref="N461:N524" si="156">D461</f>
        <v>5.6976803681941401</v>
      </c>
      <c r="O461" s="1">
        <f t="shared" ref="O461:O524" si="157">E461*$H$3</f>
        <v>3000</v>
      </c>
      <c r="P461" s="2">
        <f t="shared" ref="P461:P524" si="158">L461*M461/1000000</f>
        <v>5.7997450338133456</v>
      </c>
      <c r="Q461" s="2">
        <f t="shared" si="145"/>
        <v>391.9805701830503</v>
      </c>
      <c r="S461" s="1">
        <f t="shared" si="146"/>
        <v>3000</v>
      </c>
      <c r="T461" s="1">
        <f t="shared" si="147"/>
        <v>6487.6712328767135</v>
      </c>
      <c r="V461" s="1">
        <f t="shared" ref="V461:V524" si="159">T461</f>
        <v>6487.6712328767135</v>
      </c>
      <c r="W461" s="1">
        <f t="shared" ref="W461:W524" si="160">S461</f>
        <v>3000</v>
      </c>
    </row>
    <row r="462" spans="1:23" x14ac:dyDescent="0.25">
      <c r="A462" s="2">
        <f t="shared" ref="A462:A525" si="161">A461+0.1</f>
        <v>45.000000000000369</v>
      </c>
      <c r="B462" s="7">
        <f t="shared" si="144"/>
        <v>23.68</v>
      </c>
      <c r="C462" s="7">
        <f t="shared" si="148"/>
        <v>1.7887257503467564</v>
      </c>
      <c r="D462" s="7">
        <f t="shared" si="149"/>
        <v>5.732267284223358</v>
      </c>
      <c r="E462" s="7">
        <f t="shared" si="150"/>
        <v>1</v>
      </c>
      <c r="G462" s="4">
        <f t="shared" si="151"/>
        <v>4500.0000000000364</v>
      </c>
      <c r="H462" s="1">
        <f t="shared" ref="H462:H525" si="162">(G462-G461)*1000/L462</f>
        <v>1.5413851351351349</v>
      </c>
      <c r="I462" s="1">
        <f t="shared" ref="I462:I525" si="163">H462+I461</f>
        <v>750.50989650057534</v>
      </c>
      <c r="J462" s="1">
        <f t="shared" si="152"/>
        <v>25.016996550019179</v>
      </c>
      <c r="K462" s="7">
        <f t="shared" si="153"/>
        <v>2.05619149726185</v>
      </c>
      <c r="L462" s="4">
        <f t="shared" si="154"/>
        <v>6487.6712328767135</v>
      </c>
      <c r="M462" s="1">
        <f t="shared" si="155"/>
        <v>894.36287517337826</v>
      </c>
      <c r="N462" s="7">
        <f t="shared" si="156"/>
        <v>5.732267284223358</v>
      </c>
      <c r="O462" s="1">
        <f t="shared" si="157"/>
        <v>3000</v>
      </c>
      <c r="P462" s="2">
        <f t="shared" si="158"/>
        <v>5.8023322970152327</v>
      </c>
      <c r="Q462" s="2">
        <f t="shared" si="145"/>
        <v>394.50472062528183</v>
      </c>
      <c r="S462" s="1">
        <f t="shared" si="146"/>
        <v>3000</v>
      </c>
      <c r="T462" s="1">
        <f t="shared" si="147"/>
        <v>6487.6712328767135</v>
      </c>
      <c r="V462" s="1">
        <f t="shared" si="159"/>
        <v>6487.6712328767135</v>
      </c>
      <c r="W462" s="1">
        <f t="shared" si="160"/>
        <v>3000</v>
      </c>
    </row>
    <row r="463" spans="1:23" x14ac:dyDescent="0.25">
      <c r="A463" s="2">
        <f t="shared" si="161"/>
        <v>45.100000000000371</v>
      </c>
      <c r="B463" s="7">
        <f t="shared" si="144"/>
        <v>23.68</v>
      </c>
      <c r="C463" s="7">
        <f t="shared" si="148"/>
        <v>1.7895236999609481</v>
      </c>
      <c r="D463" s="7">
        <f t="shared" si="149"/>
        <v>5.7670641549504751</v>
      </c>
      <c r="E463" s="7">
        <f t="shared" si="150"/>
        <v>1</v>
      </c>
      <c r="G463" s="4">
        <f t="shared" si="151"/>
        <v>4510.0000000000373</v>
      </c>
      <c r="H463" s="1">
        <f t="shared" si="162"/>
        <v>1.541385135135275</v>
      </c>
      <c r="I463" s="1">
        <f t="shared" si="163"/>
        <v>752.05128163571067</v>
      </c>
      <c r="J463" s="1">
        <f t="shared" si="152"/>
        <v>25.068376054523689</v>
      </c>
      <c r="K463" s="7">
        <f t="shared" si="153"/>
        <v>2.0604144702348237</v>
      </c>
      <c r="L463" s="4">
        <f t="shared" si="154"/>
        <v>6487.6712328767135</v>
      </c>
      <c r="M463" s="1">
        <f t="shared" si="155"/>
        <v>894.76184998047404</v>
      </c>
      <c r="N463" s="7">
        <f t="shared" si="156"/>
        <v>5.7670641549504751</v>
      </c>
      <c r="O463" s="1">
        <f t="shared" si="157"/>
        <v>3000</v>
      </c>
      <c r="P463" s="2">
        <f t="shared" si="158"/>
        <v>5.8049207143938713</v>
      </c>
      <c r="Q463" s="2">
        <f t="shared" si="145"/>
        <v>397.04606336100073</v>
      </c>
      <c r="S463" s="1">
        <f t="shared" si="146"/>
        <v>3000</v>
      </c>
      <c r="T463" s="1">
        <f t="shared" si="147"/>
        <v>6487.6712328767135</v>
      </c>
      <c r="V463" s="1">
        <f t="shared" si="159"/>
        <v>6487.6712328767135</v>
      </c>
      <c r="W463" s="1">
        <f t="shared" si="160"/>
        <v>3000</v>
      </c>
    </row>
    <row r="464" spans="1:23" x14ac:dyDescent="0.25">
      <c r="A464" s="2">
        <f t="shared" si="161"/>
        <v>45.200000000000372</v>
      </c>
      <c r="B464" s="7">
        <f t="shared" si="144"/>
        <v>23.68</v>
      </c>
      <c r="C464" s="7">
        <f t="shared" si="148"/>
        <v>1.7903220055400419</v>
      </c>
      <c r="D464" s="7">
        <f t="shared" si="149"/>
        <v>5.8020722548740595</v>
      </c>
      <c r="E464" s="7">
        <f t="shared" si="150"/>
        <v>1</v>
      </c>
      <c r="G464" s="4">
        <f t="shared" si="151"/>
        <v>4520.0000000000373</v>
      </c>
      <c r="H464" s="1">
        <f t="shared" si="162"/>
        <v>1.5413851351351349</v>
      </c>
      <c r="I464" s="1">
        <f t="shared" si="163"/>
        <v>753.59266677084577</v>
      </c>
      <c r="J464" s="1">
        <f t="shared" si="152"/>
        <v>25.119755559028192</v>
      </c>
      <c r="K464" s="7">
        <f t="shared" si="153"/>
        <v>2.0646374432077965</v>
      </c>
      <c r="L464" s="4">
        <f t="shared" si="154"/>
        <v>6487.6712328767135</v>
      </c>
      <c r="M464" s="1">
        <f t="shared" si="155"/>
        <v>895.16100277002101</v>
      </c>
      <c r="N464" s="7">
        <f t="shared" si="156"/>
        <v>5.8020722548740595</v>
      </c>
      <c r="O464" s="1">
        <f t="shared" si="157"/>
        <v>3000</v>
      </c>
      <c r="P464" s="2">
        <f t="shared" si="158"/>
        <v>5.8075102864641366</v>
      </c>
      <c r="Q464" s="2">
        <f t="shared" si="145"/>
        <v>399.60472762062716</v>
      </c>
      <c r="S464" s="1">
        <f t="shared" si="146"/>
        <v>3000</v>
      </c>
      <c r="T464" s="1">
        <f t="shared" si="147"/>
        <v>6487.6712328767135</v>
      </c>
      <c r="V464" s="1">
        <f t="shared" si="159"/>
        <v>6487.6712328767135</v>
      </c>
      <c r="W464" s="1">
        <f t="shared" si="160"/>
        <v>3000</v>
      </c>
    </row>
    <row r="465" spans="1:23" x14ac:dyDescent="0.25">
      <c r="A465" s="2">
        <f t="shared" si="161"/>
        <v>45.300000000000374</v>
      </c>
      <c r="B465" s="7">
        <f t="shared" si="144"/>
        <v>23.68</v>
      </c>
      <c r="C465" s="7">
        <f t="shared" si="148"/>
        <v>1.7911206672428337</v>
      </c>
      <c r="D465" s="7">
        <f t="shared" si="149"/>
        <v>5.8372928662293413</v>
      </c>
      <c r="E465" s="7">
        <f t="shared" si="150"/>
        <v>1</v>
      </c>
      <c r="G465" s="4">
        <f t="shared" si="151"/>
        <v>4530.0000000000373</v>
      </c>
      <c r="H465" s="1">
        <f t="shared" si="162"/>
        <v>1.5413851351351349</v>
      </c>
      <c r="I465" s="1">
        <f t="shared" si="163"/>
        <v>755.13405190598087</v>
      </c>
      <c r="J465" s="1">
        <f t="shared" si="152"/>
        <v>25.171135063532695</v>
      </c>
      <c r="K465" s="7">
        <f t="shared" si="153"/>
        <v>2.0688604161807693</v>
      </c>
      <c r="L465" s="4">
        <f t="shared" si="154"/>
        <v>6487.6712328767135</v>
      </c>
      <c r="M465" s="1">
        <f t="shared" si="155"/>
        <v>895.56033362141682</v>
      </c>
      <c r="N465" s="7">
        <f t="shared" si="156"/>
        <v>5.8372928662293413</v>
      </c>
      <c r="O465" s="1">
        <f t="shared" si="157"/>
        <v>3000</v>
      </c>
      <c r="P465" s="2">
        <f t="shared" si="158"/>
        <v>5.8101010137411384</v>
      </c>
      <c r="Q465" s="2">
        <f t="shared" si="145"/>
        <v>402.18084376347161</v>
      </c>
      <c r="S465" s="1">
        <f t="shared" si="146"/>
        <v>3000</v>
      </c>
      <c r="T465" s="1">
        <f t="shared" si="147"/>
        <v>6487.6712328767135</v>
      </c>
      <c r="V465" s="1">
        <f t="shared" si="159"/>
        <v>6487.6712328767135</v>
      </c>
      <c r="W465" s="1">
        <f t="shared" si="160"/>
        <v>3000</v>
      </c>
    </row>
    <row r="466" spans="1:23" x14ac:dyDescent="0.25">
      <c r="A466" s="2">
        <f t="shared" si="161"/>
        <v>45.400000000000375</v>
      </c>
      <c r="B466" s="7">
        <f t="shared" si="144"/>
        <v>23.68</v>
      </c>
      <c r="C466" s="7">
        <f t="shared" si="148"/>
        <v>1.79191968522819</v>
      </c>
      <c r="D466" s="7">
        <f t="shared" si="149"/>
        <v>5.8727272790351677</v>
      </c>
      <c r="E466" s="7">
        <f t="shared" si="150"/>
        <v>1</v>
      </c>
      <c r="G466" s="4">
        <f t="shared" si="151"/>
        <v>4540.0000000000373</v>
      </c>
      <c r="H466" s="1">
        <f t="shared" si="162"/>
        <v>1.5413851351351349</v>
      </c>
      <c r="I466" s="1">
        <f t="shared" si="163"/>
        <v>756.67543704111597</v>
      </c>
      <c r="J466" s="1">
        <f t="shared" si="152"/>
        <v>25.222514568037198</v>
      </c>
      <c r="K466" s="7">
        <f t="shared" si="153"/>
        <v>2.0730833891537426</v>
      </c>
      <c r="L466" s="4">
        <f t="shared" si="154"/>
        <v>6487.6712328767135</v>
      </c>
      <c r="M466" s="1">
        <f t="shared" si="155"/>
        <v>895.95984261409501</v>
      </c>
      <c r="N466" s="7">
        <f t="shared" si="156"/>
        <v>5.8727272790351677</v>
      </c>
      <c r="O466" s="1">
        <f t="shared" si="157"/>
        <v>3000</v>
      </c>
      <c r="P466" s="2">
        <f t="shared" si="158"/>
        <v>5.8126928967402121</v>
      </c>
      <c r="Q466" s="2">
        <f t="shared" si="145"/>
        <v>404.77454328962796</v>
      </c>
      <c r="S466" s="1">
        <f t="shared" si="146"/>
        <v>3000</v>
      </c>
      <c r="T466" s="1">
        <f t="shared" si="147"/>
        <v>6487.6712328767135</v>
      </c>
      <c r="V466" s="1">
        <f t="shared" si="159"/>
        <v>6487.6712328767135</v>
      </c>
      <c r="W466" s="1">
        <f t="shared" si="160"/>
        <v>3000</v>
      </c>
    </row>
    <row r="467" spans="1:23" x14ac:dyDescent="0.25">
      <c r="A467" s="2">
        <f t="shared" si="161"/>
        <v>45.500000000000377</v>
      </c>
      <c r="B467" s="7">
        <f t="shared" si="144"/>
        <v>23.68</v>
      </c>
      <c r="C467" s="7">
        <f t="shared" si="148"/>
        <v>1.7927190596550482</v>
      </c>
      <c r="D467" s="7">
        <f t="shared" si="149"/>
        <v>5.9083767911412437</v>
      </c>
      <c r="E467" s="7">
        <f t="shared" si="150"/>
        <v>1</v>
      </c>
      <c r="G467" s="4">
        <f t="shared" si="151"/>
        <v>4550.0000000000382</v>
      </c>
      <c r="H467" s="1">
        <f t="shared" si="162"/>
        <v>1.541385135135275</v>
      </c>
      <c r="I467" s="1">
        <f t="shared" si="163"/>
        <v>758.2168221762513</v>
      </c>
      <c r="J467" s="1">
        <f t="shared" si="152"/>
        <v>25.273894072541712</v>
      </c>
      <c r="K467" s="7">
        <f t="shared" si="153"/>
        <v>2.0773063621267158</v>
      </c>
      <c r="L467" s="4">
        <f t="shared" si="154"/>
        <v>6487.6712328767135</v>
      </c>
      <c r="M467" s="1">
        <f t="shared" si="155"/>
        <v>896.35952982752406</v>
      </c>
      <c r="N467" s="7">
        <f t="shared" si="156"/>
        <v>5.9083767911412437</v>
      </c>
      <c r="O467" s="1">
        <f t="shared" si="157"/>
        <v>3000</v>
      </c>
      <c r="P467" s="2">
        <f t="shared" si="158"/>
        <v>5.8152859359769247</v>
      </c>
      <c r="Q467" s="2">
        <f t="shared" si="145"/>
        <v>407.38595885201539</v>
      </c>
      <c r="S467" s="1">
        <f t="shared" si="146"/>
        <v>3000</v>
      </c>
      <c r="T467" s="1">
        <f t="shared" si="147"/>
        <v>6487.6712328767135</v>
      </c>
      <c r="V467" s="1">
        <f t="shared" si="159"/>
        <v>6487.6712328767135</v>
      </c>
      <c r="W467" s="1">
        <f t="shared" si="160"/>
        <v>3000</v>
      </c>
    </row>
    <row r="468" spans="1:23" x14ac:dyDescent="0.25">
      <c r="A468" s="2">
        <f t="shared" si="161"/>
        <v>45.600000000000378</v>
      </c>
      <c r="B468" s="7">
        <f t="shared" si="144"/>
        <v>23.68</v>
      </c>
      <c r="C468" s="7">
        <f t="shared" si="148"/>
        <v>1.7935187906824168</v>
      </c>
      <c r="D468" s="7">
        <f t="shared" si="149"/>
        <v>5.9442427082756852</v>
      </c>
      <c r="E468" s="7">
        <f t="shared" si="150"/>
        <v>1</v>
      </c>
      <c r="G468" s="4">
        <f t="shared" si="151"/>
        <v>4560.0000000000382</v>
      </c>
      <c r="H468" s="1">
        <f t="shared" si="162"/>
        <v>1.5413851351351349</v>
      </c>
      <c r="I468" s="1">
        <f t="shared" si="163"/>
        <v>759.7582073113864</v>
      </c>
      <c r="J468" s="1">
        <f t="shared" si="152"/>
        <v>25.325273577046215</v>
      </c>
      <c r="K468" s="7">
        <f t="shared" si="153"/>
        <v>2.0815293350996886</v>
      </c>
      <c r="L468" s="4">
        <f t="shared" si="154"/>
        <v>6487.6712328767135</v>
      </c>
      <c r="M468" s="1">
        <f t="shared" si="155"/>
        <v>896.75939534120846</v>
      </c>
      <c r="N468" s="7">
        <f t="shared" si="156"/>
        <v>5.9442427082756852</v>
      </c>
      <c r="O468" s="1">
        <f t="shared" si="157"/>
        <v>3000</v>
      </c>
      <c r="P468" s="2">
        <f t="shared" si="158"/>
        <v>5.8178801319670743</v>
      </c>
      <c r="Q468" s="2">
        <f t="shared" si="145"/>
        <v>410.01522426857844</v>
      </c>
      <c r="S468" s="1">
        <f t="shared" si="146"/>
        <v>3000</v>
      </c>
      <c r="T468" s="1">
        <f t="shared" si="147"/>
        <v>6487.6712328767135</v>
      </c>
      <c r="V468" s="1">
        <f t="shared" si="159"/>
        <v>6487.6712328767135</v>
      </c>
      <c r="W468" s="1">
        <f t="shared" si="160"/>
        <v>3000</v>
      </c>
    </row>
    <row r="469" spans="1:23" x14ac:dyDescent="0.25">
      <c r="A469" s="2">
        <f t="shared" si="161"/>
        <v>45.700000000000379</v>
      </c>
      <c r="B469" s="7">
        <f t="shared" si="144"/>
        <v>23.68</v>
      </c>
      <c r="C469" s="7">
        <f t="shared" si="148"/>
        <v>1.7943188784693751</v>
      </c>
      <c r="D469" s="7">
        <f t="shared" si="149"/>
        <v>5.980326344092834</v>
      </c>
      <c r="E469" s="7">
        <f t="shared" si="150"/>
        <v>1</v>
      </c>
      <c r="G469" s="4">
        <f t="shared" si="151"/>
        <v>4570.0000000000373</v>
      </c>
      <c r="H469" s="1">
        <f t="shared" si="162"/>
        <v>1.5413851351349948</v>
      </c>
      <c r="I469" s="1">
        <f t="shared" si="163"/>
        <v>761.29959244652139</v>
      </c>
      <c r="J469" s="1">
        <f t="shared" si="152"/>
        <v>25.376653081550714</v>
      </c>
      <c r="K469" s="7">
        <f t="shared" si="153"/>
        <v>2.0857523080726614</v>
      </c>
      <c r="L469" s="4">
        <f t="shared" si="154"/>
        <v>6487.6712328767135</v>
      </c>
      <c r="M469" s="1">
        <f t="shared" si="155"/>
        <v>897.15943923468751</v>
      </c>
      <c r="N469" s="7">
        <f t="shared" si="156"/>
        <v>5.980326344092834</v>
      </c>
      <c r="O469" s="1">
        <f t="shared" si="157"/>
        <v>3000</v>
      </c>
      <c r="P469" s="2">
        <f t="shared" si="158"/>
        <v>5.8204754852266865</v>
      </c>
      <c r="Q469" s="2">
        <f t="shared" si="145"/>
        <v>412.66247453463887</v>
      </c>
      <c r="S469" s="1">
        <f t="shared" si="146"/>
        <v>3000</v>
      </c>
      <c r="T469" s="1">
        <f t="shared" si="147"/>
        <v>6487.6712328767135</v>
      </c>
      <c r="V469" s="1">
        <f t="shared" si="159"/>
        <v>6487.6712328767135</v>
      </c>
      <c r="W469" s="1">
        <f t="shared" si="160"/>
        <v>3000</v>
      </c>
    </row>
    <row r="470" spans="1:23" x14ac:dyDescent="0.25">
      <c r="A470" s="2">
        <f t="shared" si="161"/>
        <v>45.800000000000381</v>
      </c>
      <c r="B470" s="7">
        <f t="shared" si="144"/>
        <v>23.68</v>
      </c>
      <c r="C470" s="7">
        <f t="shared" si="148"/>
        <v>1.7951193231750735</v>
      </c>
      <c r="D470" s="7">
        <f t="shared" si="149"/>
        <v>6.0166290202213695</v>
      </c>
      <c r="E470" s="7">
        <f t="shared" si="150"/>
        <v>1</v>
      </c>
      <c r="G470" s="4">
        <f t="shared" si="151"/>
        <v>4580.0000000000382</v>
      </c>
      <c r="H470" s="1">
        <f t="shared" si="162"/>
        <v>1.541385135135275</v>
      </c>
      <c r="I470" s="1">
        <f t="shared" si="163"/>
        <v>762.84097758165672</v>
      </c>
      <c r="J470" s="1">
        <f t="shared" si="152"/>
        <v>25.428032586055224</v>
      </c>
      <c r="K470" s="7">
        <f t="shared" si="153"/>
        <v>2.0899752810456347</v>
      </c>
      <c r="L470" s="4">
        <f t="shared" si="154"/>
        <v>6487.6712328767135</v>
      </c>
      <c r="M470" s="1">
        <f t="shared" si="155"/>
        <v>897.55966158753677</v>
      </c>
      <c r="N470" s="7">
        <f t="shared" si="156"/>
        <v>6.0166290202213695</v>
      </c>
      <c r="O470" s="1">
        <f t="shared" si="157"/>
        <v>3000</v>
      </c>
      <c r="P470" s="2">
        <f t="shared" si="158"/>
        <v>5.8230719962720201</v>
      </c>
      <c r="Q470" s="2">
        <f t="shared" si="145"/>
        <v>415.32784583540723</v>
      </c>
      <c r="S470" s="1">
        <f t="shared" si="146"/>
        <v>3000</v>
      </c>
      <c r="T470" s="1">
        <f t="shared" si="147"/>
        <v>6487.6712328767135</v>
      </c>
      <c r="V470" s="1">
        <f t="shared" si="159"/>
        <v>6487.6712328767135</v>
      </c>
      <c r="W470" s="1">
        <f t="shared" si="160"/>
        <v>3000</v>
      </c>
    </row>
    <row r="471" spans="1:23" x14ac:dyDescent="0.25">
      <c r="A471" s="2">
        <f t="shared" si="161"/>
        <v>45.900000000000382</v>
      </c>
      <c r="B471" s="7">
        <f t="shared" si="144"/>
        <v>23.68</v>
      </c>
      <c r="C471" s="7">
        <f t="shared" si="148"/>
        <v>1.7959201249587331</v>
      </c>
      <c r="D471" s="7">
        <f t="shared" si="149"/>
        <v>6.0531520663127214</v>
      </c>
      <c r="E471" s="7">
        <f t="shared" si="150"/>
        <v>1</v>
      </c>
      <c r="G471" s="4">
        <f t="shared" si="151"/>
        <v>4590.0000000000391</v>
      </c>
      <c r="H471" s="1">
        <f t="shared" si="162"/>
        <v>1.541385135135275</v>
      </c>
      <c r="I471" s="1">
        <f t="shared" si="163"/>
        <v>764.38236271679204</v>
      </c>
      <c r="J471" s="1">
        <f t="shared" si="152"/>
        <v>25.479412090559734</v>
      </c>
      <c r="K471" s="7">
        <f t="shared" si="153"/>
        <v>2.0941982540186084</v>
      </c>
      <c r="L471" s="4">
        <f t="shared" si="154"/>
        <v>6487.6712328767135</v>
      </c>
      <c r="M471" s="1">
        <f t="shared" si="155"/>
        <v>897.96006247936657</v>
      </c>
      <c r="N471" s="7">
        <f t="shared" si="156"/>
        <v>6.0531520663127214</v>
      </c>
      <c r="O471" s="1">
        <f t="shared" si="157"/>
        <v>3000</v>
      </c>
      <c r="P471" s="2">
        <f t="shared" si="158"/>
        <v>5.8256696656195626</v>
      </c>
      <c r="Q471" s="2">
        <f t="shared" si="145"/>
        <v>418.01147555865583</v>
      </c>
      <c r="S471" s="1">
        <f t="shared" si="146"/>
        <v>3000</v>
      </c>
      <c r="T471" s="1">
        <f t="shared" si="147"/>
        <v>6487.6712328767135</v>
      </c>
      <c r="V471" s="1">
        <f t="shared" si="159"/>
        <v>6487.6712328767135</v>
      </c>
      <c r="W471" s="1">
        <f t="shared" si="160"/>
        <v>3000</v>
      </c>
    </row>
    <row r="472" spans="1:23" x14ac:dyDescent="0.25">
      <c r="A472" s="2">
        <f t="shared" si="161"/>
        <v>46.000000000000384</v>
      </c>
      <c r="B472" s="7">
        <f t="shared" si="144"/>
        <v>23.68</v>
      </c>
      <c r="C472" s="7">
        <f t="shared" si="148"/>
        <v>1.796721283979646</v>
      </c>
      <c r="D472" s="7">
        <f t="shared" si="149"/>
        <v>6.0898968200897787</v>
      </c>
      <c r="E472" s="7">
        <f t="shared" si="150"/>
        <v>1</v>
      </c>
      <c r="G472" s="4">
        <f t="shared" si="151"/>
        <v>4600.0000000000391</v>
      </c>
      <c r="H472" s="1">
        <f t="shared" si="162"/>
        <v>1.5413851351351349</v>
      </c>
      <c r="I472" s="1">
        <f t="shared" si="163"/>
        <v>765.92374785192715</v>
      </c>
      <c r="J472" s="1">
        <f t="shared" si="152"/>
        <v>25.530791595064237</v>
      </c>
      <c r="K472" s="7">
        <f t="shared" si="153"/>
        <v>2.0984212269915812</v>
      </c>
      <c r="L472" s="4">
        <f t="shared" si="154"/>
        <v>6487.6712328767135</v>
      </c>
      <c r="M472" s="1">
        <f t="shared" si="155"/>
        <v>898.36064198982297</v>
      </c>
      <c r="N472" s="7">
        <f t="shared" si="156"/>
        <v>6.0898968200897787</v>
      </c>
      <c r="O472" s="1">
        <f t="shared" si="157"/>
        <v>3000</v>
      </c>
      <c r="P472" s="2">
        <f t="shared" si="158"/>
        <v>5.8282684937860303</v>
      </c>
      <c r="Q472" s="2">
        <f t="shared" si="145"/>
        <v>420.71350230755445</v>
      </c>
      <c r="S472" s="1">
        <f t="shared" si="146"/>
        <v>3000</v>
      </c>
      <c r="T472" s="1">
        <f t="shared" si="147"/>
        <v>6487.6712328767135</v>
      </c>
      <c r="V472" s="1">
        <f t="shared" si="159"/>
        <v>6487.6712328767135</v>
      </c>
      <c r="W472" s="1">
        <f t="shared" si="160"/>
        <v>3000</v>
      </c>
    </row>
    <row r="473" spans="1:23" x14ac:dyDescent="0.25">
      <c r="A473" s="2">
        <f t="shared" si="161"/>
        <v>46.100000000000385</v>
      </c>
      <c r="B473" s="7">
        <f t="shared" si="144"/>
        <v>23.68</v>
      </c>
      <c r="C473" s="7">
        <f t="shared" si="148"/>
        <v>1.7975228003971755</v>
      </c>
      <c r="D473" s="7">
        <f t="shared" si="149"/>
        <v>6.1268646273958609</v>
      </c>
      <c r="E473" s="7">
        <f t="shared" si="150"/>
        <v>1</v>
      </c>
      <c r="G473" s="4">
        <f t="shared" si="151"/>
        <v>4610.0000000000382</v>
      </c>
      <c r="H473" s="1">
        <f t="shared" si="162"/>
        <v>1.5413851351349948</v>
      </c>
      <c r="I473" s="1">
        <f t="shared" si="163"/>
        <v>767.46513298706213</v>
      </c>
      <c r="J473" s="1">
        <f t="shared" si="152"/>
        <v>25.582171099568736</v>
      </c>
      <c r="K473" s="7">
        <f t="shared" si="153"/>
        <v>2.102644199964554</v>
      </c>
      <c r="L473" s="4">
        <f t="shared" si="154"/>
        <v>6487.6712328767135</v>
      </c>
      <c r="M473" s="1">
        <f t="shared" si="155"/>
        <v>898.76140019858769</v>
      </c>
      <c r="N473" s="7">
        <f t="shared" si="156"/>
        <v>6.1268646273958609</v>
      </c>
      <c r="O473" s="1">
        <f t="shared" si="157"/>
        <v>3000</v>
      </c>
      <c r="P473" s="2">
        <f t="shared" si="158"/>
        <v>5.8308684812883724</v>
      </c>
      <c r="Q473" s="2">
        <f t="shared" si="145"/>
        <v>423.43406591366892</v>
      </c>
      <c r="S473" s="1">
        <f t="shared" si="146"/>
        <v>3000</v>
      </c>
      <c r="T473" s="1">
        <f t="shared" si="147"/>
        <v>6487.6712328767135</v>
      </c>
      <c r="V473" s="1">
        <f t="shared" si="159"/>
        <v>6487.6712328767135</v>
      </c>
      <c r="W473" s="1">
        <f t="shared" si="160"/>
        <v>3000</v>
      </c>
    </row>
    <row r="474" spans="1:23" x14ac:dyDescent="0.25">
      <c r="A474" s="2">
        <f t="shared" si="161"/>
        <v>46.200000000000387</v>
      </c>
      <c r="B474" s="7">
        <f t="shared" si="144"/>
        <v>23.68</v>
      </c>
      <c r="C474" s="7">
        <f t="shared" si="148"/>
        <v>1.7983246743707568</v>
      </c>
      <c r="D474" s="7">
        <f t="shared" si="149"/>
        <v>6.1640568422440403</v>
      </c>
      <c r="E474" s="7">
        <f t="shared" si="150"/>
        <v>1</v>
      </c>
      <c r="G474" s="4">
        <f t="shared" si="151"/>
        <v>4620.0000000000382</v>
      </c>
      <c r="H474" s="1">
        <f t="shared" si="162"/>
        <v>1.5413851351351349</v>
      </c>
      <c r="I474" s="1">
        <f t="shared" si="163"/>
        <v>769.00651812219724</v>
      </c>
      <c r="J474" s="1">
        <f t="shared" si="152"/>
        <v>25.633550604073243</v>
      </c>
      <c r="K474" s="7">
        <f t="shared" si="153"/>
        <v>2.1068671729375268</v>
      </c>
      <c r="L474" s="4">
        <f t="shared" si="154"/>
        <v>6487.6712328767135</v>
      </c>
      <c r="M474" s="1">
        <f t="shared" si="155"/>
        <v>899.16233718537842</v>
      </c>
      <c r="N474" s="7">
        <f t="shared" si="156"/>
        <v>6.1640568422440403</v>
      </c>
      <c r="O474" s="1">
        <f t="shared" si="157"/>
        <v>3000</v>
      </c>
      <c r="P474" s="2">
        <f t="shared" si="158"/>
        <v>5.8334696286437708</v>
      </c>
      <c r="Q474" s="2">
        <f t="shared" si="145"/>
        <v>426.173307450133</v>
      </c>
      <c r="S474" s="1">
        <f t="shared" si="146"/>
        <v>3000</v>
      </c>
      <c r="T474" s="1">
        <f t="shared" si="147"/>
        <v>6487.6712328767135</v>
      </c>
      <c r="V474" s="1">
        <f t="shared" si="159"/>
        <v>6487.6712328767135</v>
      </c>
      <c r="W474" s="1">
        <f t="shared" si="160"/>
        <v>3000</v>
      </c>
    </row>
    <row r="475" spans="1:23" x14ac:dyDescent="0.25">
      <c r="A475" s="2">
        <f t="shared" si="161"/>
        <v>46.300000000000388</v>
      </c>
      <c r="B475" s="7">
        <f t="shared" si="144"/>
        <v>23.68</v>
      </c>
      <c r="C475" s="7">
        <f t="shared" si="148"/>
        <v>1.7991269060598951</v>
      </c>
      <c r="D475" s="7">
        <f t="shared" si="149"/>
        <v>6.2014748268667201</v>
      </c>
      <c r="E475" s="7">
        <f t="shared" si="150"/>
        <v>1</v>
      </c>
      <c r="G475" s="4">
        <f t="shared" si="151"/>
        <v>4630.0000000000382</v>
      </c>
      <c r="H475" s="1">
        <f t="shared" si="162"/>
        <v>1.5413851351351349</v>
      </c>
      <c r="I475" s="1">
        <f t="shared" si="163"/>
        <v>770.54790325733234</v>
      </c>
      <c r="J475" s="1">
        <f t="shared" si="152"/>
        <v>25.684930108577746</v>
      </c>
      <c r="K475" s="7">
        <f t="shared" si="153"/>
        <v>2.1110901459104996</v>
      </c>
      <c r="L475" s="4">
        <f t="shared" si="154"/>
        <v>6487.6712328767135</v>
      </c>
      <c r="M475" s="1">
        <f t="shared" si="155"/>
        <v>899.5634530299476</v>
      </c>
      <c r="N475" s="7">
        <f t="shared" si="156"/>
        <v>6.2014748268667201</v>
      </c>
      <c r="O475" s="1">
        <f t="shared" si="157"/>
        <v>3000</v>
      </c>
      <c r="P475" s="2">
        <f t="shared" si="158"/>
        <v>5.836071936369633</v>
      </c>
      <c r="Q475" s="2">
        <f t="shared" si="145"/>
        <v>428.93136924498566</v>
      </c>
      <c r="S475" s="1">
        <f t="shared" si="146"/>
        <v>3000</v>
      </c>
      <c r="T475" s="1">
        <f t="shared" si="147"/>
        <v>6487.6712328767135</v>
      </c>
      <c r="V475" s="1">
        <f t="shared" si="159"/>
        <v>6487.6712328767135</v>
      </c>
      <c r="W475" s="1">
        <f t="shared" si="160"/>
        <v>3000</v>
      </c>
    </row>
    <row r="476" spans="1:23" x14ac:dyDescent="0.25">
      <c r="A476" s="2">
        <f t="shared" si="161"/>
        <v>46.400000000000389</v>
      </c>
      <c r="B476" s="7">
        <f t="shared" si="144"/>
        <v>23.68</v>
      </c>
      <c r="C476" s="7">
        <f t="shared" si="148"/>
        <v>1.7999294956241663</v>
      </c>
      <c r="D476" s="7">
        <f t="shared" si="149"/>
        <v>6.2391199517655265</v>
      </c>
      <c r="E476" s="7">
        <f t="shared" si="150"/>
        <v>1</v>
      </c>
      <c r="G476" s="4">
        <f t="shared" si="151"/>
        <v>4640.0000000000391</v>
      </c>
      <c r="H476" s="1">
        <f t="shared" si="162"/>
        <v>1.541385135135275</v>
      </c>
      <c r="I476" s="1">
        <f t="shared" si="163"/>
        <v>772.08928839246767</v>
      </c>
      <c r="J476" s="1">
        <f t="shared" si="152"/>
        <v>25.736309613082256</v>
      </c>
      <c r="K476" s="7">
        <f t="shared" si="153"/>
        <v>2.1153131188834728</v>
      </c>
      <c r="L476" s="4">
        <f t="shared" si="154"/>
        <v>6487.6712328767135</v>
      </c>
      <c r="M476" s="1">
        <f t="shared" si="155"/>
        <v>899.96474781208315</v>
      </c>
      <c r="N476" s="7">
        <f t="shared" si="156"/>
        <v>6.2391199517655265</v>
      </c>
      <c r="O476" s="1">
        <f t="shared" si="157"/>
        <v>3000</v>
      </c>
      <c r="P476" s="2">
        <f t="shared" si="158"/>
        <v>5.838675404983598</v>
      </c>
      <c r="Q476" s="2">
        <f t="shared" si="145"/>
        <v>431.70839489468449</v>
      </c>
      <c r="S476" s="1">
        <f t="shared" si="146"/>
        <v>3000</v>
      </c>
      <c r="T476" s="1">
        <f t="shared" si="147"/>
        <v>6487.6712328767135</v>
      </c>
      <c r="V476" s="1">
        <f t="shared" si="159"/>
        <v>6487.6712328767135</v>
      </c>
      <c r="W476" s="1">
        <f t="shared" si="160"/>
        <v>3000</v>
      </c>
    </row>
    <row r="477" spans="1:23" x14ac:dyDescent="0.25">
      <c r="A477" s="2">
        <f t="shared" si="161"/>
        <v>46.500000000000391</v>
      </c>
      <c r="B477" s="7">
        <f t="shared" si="144"/>
        <v>23.68</v>
      </c>
      <c r="C477" s="7">
        <f t="shared" si="148"/>
        <v>1.8007324432232195</v>
      </c>
      <c r="D477" s="7">
        <f t="shared" si="149"/>
        <v>6.2769935957615184</v>
      </c>
      <c r="E477" s="7">
        <f t="shared" si="150"/>
        <v>1</v>
      </c>
      <c r="G477" s="4">
        <f t="shared" si="151"/>
        <v>4650.0000000000391</v>
      </c>
      <c r="H477" s="1">
        <f t="shared" si="162"/>
        <v>1.5413851351351349</v>
      </c>
      <c r="I477" s="1">
        <f t="shared" si="163"/>
        <v>773.63067352760277</v>
      </c>
      <c r="J477" s="1">
        <f t="shared" si="152"/>
        <v>25.787689117586758</v>
      </c>
      <c r="K477" s="7">
        <f t="shared" si="153"/>
        <v>2.1195360918564461</v>
      </c>
      <c r="L477" s="4">
        <f t="shared" si="154"/>
        <v>6487.6712328767135</v>
      </c>
      <c r="M477" s="1">
        <f t="shared" si="155"/>
        <v>900.36622161160972</v>
      </c>
      <c r="N477" s="7">
        <f t="shared" si="156"/>
        <v>6.2769935957615184</v>
      </c>
      <c r="O477" s="1">
        <f t="shared" si="157"/>
        <v>3000</v>
      </c>
      <c r="P477" s="2">
        <f t="shared" si="158"/>
        <v>5.8412800350035399</v>
      </c>
      <c r="Q477" s="2">
        <f t="shared" si="145"/>
        <v>434.50452927779452</v>
      </c>
      <c r="S477" s="1">
        <f t="shared" si="146"/>
        <v>3000</v>
      </c>
      <c r="T477" s="1">
        <f t="shared" si="147"/>
        <v>6487.6712328767135</v>
      </c>
      <c r="V477" s="1">
        <f t="shared" si="159"/>
        <v>6487.6712328767135</v>
      </c>
      <c r="W477" s="1">
        <f t="shared" si="160"/>
        <v>3000</v>
      </c>
    </row>
    <row r="478" spans="1:23" x14ac:dyDescent="0.25">
      <c r="A478" s="2">
        <f t="shared" si="161"/>
        <v>46.600000000000392</v>
      </c>
      <c r="B478" s="7">
        <f t="shared" si="144"/>
        <v>23.68</v>
      </c>
      <c r="C478" s="7">
        <f t="shared" si="148"/>
        <v>1.8015357490167732</v>
      </c>
      <c r="D478" s="7">
        <f t="shared" si="149"/>
        <v>6.3150971460456802</v>
      </c>
      <c r="E478" s="7">
        <f t="shared" si="150"/>
        <v>1</v>
      </c>
      <c r="G478" s="4">
        <f t="shared" si="151"/>
        <v>4660.0000000000391</v>
      </c>
      <c r="H478" s="1">
        <f t="shared" si="162"/>
        <v>1.5413851351351349</v>
      </c>
      <c r="I478" s="1">
        <f t="shared" si="163"/>
        <v>775.17205866273787</v>
      </c>
      <c r="J478" s="1">
        <f t="shared" si="152"/>
        <v>25.839068622091261</v>
      </c>
      <c r="K478" s="7">
        <f t="shared" si="153"/>
        <v>2.1237590648294189</v>
      </c>
      <c r="L478" s="4">
        <f t="shared" si="154"/>
        <v>6487.6712328767135</v>
      </c>
      <c r="M478" s="1">
        <f t="shared" si="155"/>
        <v>900.76787450838663</v>
      </c>
      <c r="N478" s="7">
        <f t="shared" si="156"/>
        <v>6.3150971460456802</v>
      </c>
      <c r="O478" s="1">
        <f t="shared" si="157"/>
        <v>3000</v>
      </c>
      <c r="P478" s="2">
        <f t="shared" si="158"/>
        <v>5.8438858269475613</v>
      </c>
      <c r="Q478" s="2">
        <f t="shared" si="145"/>
        <v>437.31991856885492</v>
      </c>
      <c r="S478" s="1">
        <f t="shared" si="146"/>
        <v>3000</v>
      </c>
      <c r="T478" s="1">
        <f t="shared" si="147"/>
        <v>6487.6712328767135</v>
      </c>
      <c r="V478" s="1">
        <f t="shared" si="159"/>
        <v>6487.6712328767135</v>
      </c>
      <c r="W478" s="1">
        <f t="shared" si="160"/>
        <v>3000</v>
      </c>
    </row>
    <row r="479" spans="1:23" x14ac:dyDescent="0.25">
      <c r="A479" s="2">
        <f t="shared" si="161"/>
        <v>46.700000000000394</v>
      </c>
      <c r="B479" s="7">
        <f t="shared" si="144"/>
        <v>23.68</v>
      </c>
      <c r="C479" s="7">
        <f t="shared" si="148"/>
        <v>1.8023394131646178</v>
      </c>
      <c r="D479" s="7">
        <f t="shared" si="149"/>
        <v>6.3534319982297207</v>
      </c>
      <c r="E479" s="7">
        <f t="shared" si="150"/>
        <v>1</v>
      </c>
      <c r="G479" s="4">
        <f t="shared" si="151"/>
        <v>4670.0000000000391</v>
      </c>
      <c r="H479" s="1">
        <f t="shared" si="162"/>
        <v>1.5413851351351349</v>
      </c>
      <c r="I479" s="1">
        <f t="shared" si="163"/>
        <v>776.71344379787297</v>
      </c>
      <c r="J479" s="1">
        <f t="shared" si="152"/>
        <v>25.890448126595764</v>
      </c>
      <c r="K479" s="7">
        <f t="shared" si="153"/>
        <v>2.1279820378023917</v>
      </c>
      <c r="L479" s="4">
        <f t="shared" si="154"/>
        <v>6487.6712328767135</v>
      </c>
      <c r="M479" s="1">
        <f t="shared" si="155"/>
        <v>901.16970658230889</v>
      </c>
      <c r="N479" s="7">
        <f t="shared" si="156"/>
        <v>6.3534319982297207</v>
      </c>
      <c r="O479" s="1">
        <f t="shared" si="157"/>
        <v>3000</v>
      </c>
      <c r="P479" s="2">
        <f t="shared" si="158"/>
        <v>5.8464927813339944</v>
      </c>
      <c r="Q479" s="2">
        <f t="shared" si="145"/>
        <v>440.15471025242675</v>
      </c>
      <c r="S479" s="1">
        <f t="shared" si="146"/>
        <v>3000</v>
      </c>
      <c r="T479" s="1">
        <f t="shared" si="147"/>
        <v>6487.6712328767135</v>
      </c>
      <c r="V479" s="1">
        <f t="shared" si="159"/>
        <v>6487.6712328767135</v>
      </c>
      <c r="W479" s="1">
        <f t="shared" si="160"/>
        <v>3000</v>
      </c>
    </row>
    <row r="480" spans="1:23" x14ac:dyDescent="0.25">
      <c r="A480" s="2">
        <f t="shared" si="161"/>
        <v>46.800000000000395</v>
      </c>
      <c r="B480" s="7">
        <f t="shared" si="144"/>
        <v>23.68</v>
      </c>
      <c r="C480" s="7">
        <f t="shared" si="148"/>
        <v>1.803143435826615</v>
      </c>
      <c r="D480" s="7">
        <f t="shared" si="149"/>
        <v>6.3919995563972147</v>
      </c>
      <c r="E480" s="7">
        <f t="shared" si="150"/>
        <v>1</v>
      </c>
      <c r="G480" s="4">
        <f t="shared" si="151"/>
        <v>4680.00000000004</v>
      </c>
      <c r="H480" s="1">
        <f t="shared" si="162"/>
        <v>1.541385135135275</v>
      </c>
      <c r="I480" s="1">
        <f t="shared" si="163"/>
        <v>778.2548289330083</v>
      </c>
      <c r="J480" s="1">
        <f t="shared" si="152"/>
        <v>25.941827631100278</v>
      </c>
      <c r="K480" s="7">
        <f t="shared" si="153"/>
        <v>2.1322050107753654</v>
      </c>
      <c r="L480" s="4">
        <f t="shared" si="154"/>
        <v>6487.6712328767135</v>
      </c>
      <c r="M480" s="1">
        <f t="shared" si="155"/>
        <v>901.57171791330745</v>
      </c>
      <c r="N480" s="7">
        <f t="shared" si="156"/>
        <v>6.3919995563972147</v>
      </c>
      <c r="O480" s="1">
        <f t="shared" si="157"/>
        <v>3000</v>
      </c>
      <c r="P480" s="2">
        <f t="shared" si="158"/>
        <v>5.8491008986814039</v>
      </c>
      <c r="Q480" s="2">
        <f t="shared" si="145"/>
        <v>443.00905313732676</v>
      </c>
      <c r="S480" s="1">
        <f t="shared" si="146"/>
        <v>3000</v>
      </c>
      <c r="T480" s="1">
        <f t="shared" si="147"/>
        <v>6487.6712328767135</v>
      </c>
      <c r="V480" s="1">
        <f t="shared" si="159"/>
        <v>6487.6712328767135</v>
      </c>
      <c r="W480" s="1">
        <f t="shared" si="160"/>
        <v>3000</v>
      </c>
    </row>
    <row r="481" spans="1:23" x14ac:dyDescent="0.25">
      <c r="A481" s="2">
        <f t="shared" si="161"/>
        <v>46.900000000000396</v>
      </c>
      <c r="B481" s="7">
        <f t="shared" si="144"/>
        <v>23.68</v>
      </c>
      <c r="C481" s="7">
        <f t="shared" si="148"/>
        <v>1.8039478171626979</v>
      </c>
      <c r="D481" s="7">
        <f t="shared" si="149"/>
        <v>6.4308012331550115</v>
      </c>
      <c r="E481" s="7">
        <f t="shared" si="150"/>
        <v>1</v>
      </c>
      <c r="G481" s="4">
        <f t="shared" si="151"/>
        <v>4690.0000000000391</v>
      </c>
      <c r="H481" s="1">
        <f t="shared" si="162"/>
        <v>1.5413851351349948</v>
      </c>
      <c r="I481" s="1">
        <f t="shared" si="163"/>
        <v>779.79621406814329</v>
      </c>
      <c r="J481" s="1">
        <f t="shared" si="152"/>
        <v>25.993207135604777</v>
      </c>
      <c r="K481" s="7">
        <f t="shared" si="153"/>
        <v>2.1364279837483378</v>
      </c>
      <c r="L481" s="4">
        <f t="shared" si="154"/>
        <v>6487.6712328767135</v>
      </c>
      <c r="M481" s="1">
        <f t="shared" si="155"/>
        <v>901.97390858134895</v>
      </c>
      <c r="N481" s="7">
        <f t="shared" si="156"/>
        <v>6.4308012331550115</v>
      </c>
      <c r="O481" s="1">
        <f t="shared" si="157"/>
        <v>3000</v>
      </c>
      <c r="P481" s="2">
        <f t="shared" si="158"/>
        <v>5.8517101795085882</v>
      </c>
      <c r="Q481" s="2">
        <f t="shared" si="145"/>
        <v>445.88309737104561</v>
      </c>
      <c r="S481" s="1">
        <f t="shared" si="146"/>
        <v>3000</v>
      </c>
      <c r="T481" s="1">
        <f t="shared" si="147"/>
        <v>6487.6712328767135</v>
      </c>
      <c r="V481" s="1">
        <f t="shared" si="159"/>
        <v>6487.6712328767135</v>
      </c>
      <c r="W481" s="1">
        <f t="shared" si="160"/>
        <v>3000</v>
      </c>
    </row>
    <row r="482" spans="1:23" x14ac:dyDescent="0.25">
      <c r="A482" s="2">
        <f t="shared" si="161"/>
        <v>47.000000000000398</v>
      </c>
      <c r="B482" s="7">
        <f t="shared" si="144"/>
        <v>23.68</v>
      </c>
      <c r="C482" s="7">
        <f t="shared" si="148"/>
        <v>1.8047525573328711</v>
      </c>
      <c r="D482" s="7">
        <f t="shared" si="149"/>
        <v>6.4698384496849792</v>
      </c>
      <c r="E482" s="7">
        <f t="shared" si="150"/>
        <v>1</v>
      </c>
      <c r="G482" s="4">
        <f t="shared" si="151"/>
        <v>4700.00000000004</v>
      </c>
      <c r="H482" s="1">
        <f t="shared" si="162"/>
        <v>1.541385135135275</v>
      </c>
      <c r="I482" s="1">
        <f t="shared" si="163"/>
        <v>781.33759920327861</v>
      </c>
      <c r="J482" s="1">
        <f t="shared" si="152"/>
        <v>26.044586640109287</v>
      </c>
      <c r="K482" s="7">
        <f t="shared" si="153"/>
        <v>2.1406509567213114</v>
      </c>
      <c r="L482" s="4">
        <f t="shared" si="154"/>
        <v>6487.6712328767135</v>
      </c>
      <c r="M482" s="1">
        <f t="shared" si="155"/>
        <v>902.3762786664355</v>
      </c>
      <c r="N482" s="7">
        <f t="shared" si="156"/>
        <v>6.4698384496849792</v>
      </c>
      <c r="O482" s="1">
        <f t="shared" si="157"/>
        <v>3000</v>
      </c>
      <c r="P482" s="2">
        <f t="shared" si="158"/>
        <v>5.8543206243345747</v>
      </c>
      <c r="Q482" s="2">
        <f t="shared" si="145"/>
        <v>448.77699445435786</v>
      </c>
      <c r="S482" s="1">
        <f t="shared" si="146"/>
        <v>3000</v>
      </c>
      <c r="T482" s="1">
        <f t="shared" si="147"/>
        <v>6487.6712328767135</v>
      </c>
      <c r="V482" s="1">
        <f t="shared" si="159"/>
        <v>6487.6712328767135</v>
      </c>
      <c r="W482" s="1">
        <f t="shared" si="160"/>
        <v>3000</v>
      </c>
    </row>
    <row r="483" spans="1:23" x14ac:dyDescent="0.25">
      <c r="A483" s="2">
        <f t="shared" si="161"/>
        <v>47.100000000000399</v>
      </c>
      <c r="B483" s="7">
        <f t="shared" si="144"/>
        <v>23.68</v>
      </c>
      <c r="C483" s="7">
        <f t="shared" si="148"/>
        <v>1.8055576564972096</v>
      </c>
      <c r="D483" s="7">
        <f t="shared" si="149"/>
        <v>6.5091126357960523</v>
      </c>
      <c r="E483" s="7">
        <f t="shared" si="150"/>
        <v>1</v>
      </c>
      <c r="G483" s="4">
        <f t="shared" si="151"/>
        <v>4710.00000000004</v>
      </c>
      <c r="H483" s="1">
        <f t="shared" si="162"/>
        <v>1.5413851351351349</v>
      </c>
      <c r="I483" s="1">
        <f t="shared" si="163"/>
        <v>782.87898433841372</v>
      </c>
      <c r="J483" s="1">
        <f t="shared" si="152"/>
        <v>26.09596614461379</v>
      </c>
      <c r="K483" s="7">
        <f t="shared" si="153"/>
        <v>2.1448739296942843</v>
      </c>
      <c r="L483" s="4">
        <f t="shared" si="154"/>
        <v>6487.6712328767135</v>
      </c>
      <c r="M483" s="1">
        <f t="shared" si="155"/>
        <v>902.77882824860478</v>
      </c>
      <c r="N483" s="7">
        <f t="shared" si="156"/>
        <v>6.5091126357960523</v>
      </c>
      <c r="O483" s="1">
        <f t="shared" si="157"/>
        <v>3000</v>
      </c>
      <c r="P483" s="2">
        <f t="shared" si="158"/>
        <v>5.85693223367862</v>
      </c>
      <c r="Q483" s="2">
        <f t="shared" si="145"/>
        <v>451.69089725612253</v>
      </c>
      <c r="S483" s="1">
        <f t="shared" si="146"/>
        <v>3000</v>
      </c>
      <c r="T483" s="1">
        <f t="shared" si="147"/>
        <v>6487.6712328767135</v>
      </c>
      <c r="V483" s="1">
        <f t="shared" si="159"/>
        <v>6487.6712328767135</v>
      </c>
      <c r="W483" s="1">
        <f t="shared" si="160"/>
        <v>3000</v>
      </c>
    </row>
    <row r="484" spans="1:23" x14ac:dyDescent="0.25">
      <c r="A484" s="2">
        <f t="shared" si="161"/>
        <v>47.200000000000401</v>
      </c>
      <c r="B484" s="7">
        <f t="shared" si="144"/>
        <v>23.68</v>
      </c>
      <c r="C484" s="7">
        <f t="shared" si="148"/>
        <v>1.8063631148158605</v>
      </c>
      <c r="D484" s="7">
        <f t="shared" si="149"/>
        <v>6.5486252299766123</v>
      </c>
      <c r="E484" s="7">
        <f t="shared" si="150"/>
        <v>1</v>
      </c>
      <c r="G484" s="4">
        <f t="shared" si="151"/>
        <v>4720.0000000000409</v>
      </c>
      <c r="H484" s="1">
        <f t="shared" si="162"/>
        <v>1.541385135135275</v>
      </c>
      <c r="I484" s="1">
        <f t="shared" si="163"/>
        <v>784.42036947354904</v>
      </c>
      <c r="J484" s="1">
        <f t="shared" si="152"/>
        <v>26.1473456491183</v>
      </c>
      <c r="K484" s="7">
        <f t="shared" si="153"/>
        <v>2.1490969026672575</v>
      </c>
      <c r="L484" s="4">
        <f t="shared" si="154"/>
        <v>6487.6712328767135</v>
      </c>
      <c r="M484" s="1">
        <f t="shared" si="155"/>
        <v>903.18155740793031</v>
      </c>
      <c r="N484" s="7">
        <f t="shared" si="156"/>
        <v>6.5486252299766123</v>
      </c>
      <c r="O484" s="1">
        <f t="shared" si="157"/>
        <v>3000</v>
      </c>
      <c r="P484" s="2">
        <f t="shared" si="158"/>
        <v>5.8595450080602181</v>
      </c>
      <c r="Q484" s="2">
        <f t="shared" si="145"/>
        <v>454.62496002828237</v>
      </c>
      <c r="S484" s="1">
        <f t="shared" si="146"/>
        <v>3000</v>
      </c>
      <c r="T484" s="1">
        <f t="shared" si="147"/>
        <v>6487.6712328767135</v>
      </c>
      <c r="V484" s="1">
        <f t="shared" si="159"/>
        <v>6487.6712328767135</v>
      </c>
      <c r="W484" s="1">
        <f t="shared" si="160"/>
        <v>3000</v>
      </c>
    </row>
    <row r="485" spans="1:23" x14ac:dyDescent="0.25">
      <c r="A485" s="2">
        <f t="shared" si="161"/>
        <v>47.300000000000402</v>
      </c>
      <c r="B485" s="7">
        <f t="shared" si="144"/>
        <v>23.68</v>
      </c>
      <c r="C485" s="7">
        <f t="shared" si="148"/>
        <v>1.8071689324490434</v>
      </c>
      <c r="D485" s="7">
        <f t="shared" si="149"/>
        <v>6.5883776794471727</v>
      </c>
      <c r="E485" s="7">
        <f t="shared" si="150"/>
        <v>1</v>
      </c>
      <c r="G485" s="4">
        <f t="shared" si="151"/>
        <v>4730.00000000004</v>
      </c>
      <c r="H485" s="1">
        <f t="shared" si="162"/>
        <v>1.5413851351349948</v>
      </c>
      <c r="I485" s="1">
        <f t="shared" si="163"/>
        <v>785.96175460868403</v>
      </c>
      <c r="J485" s="1">
        <f t="shared" si="152"/>
        <v>26.198725153622799</v>
      </c>
      <c r="K485" s="7">
        <f t="shared" si="153"/>
        <v>2.1533198756402303</v>
      </c>
      <c r="L485" s="4">
        <f t="shared" si="154"/>
        <v>6487.6712328767135</v>
      </c>
      <c r="M485" s="1">
        <f t="shared" si="155"/>
        <v>903.58446622452175</v>
      </c>
      <c r="N485" s="7">
        <f t="shared" si="156"/>
        <v>6.5883776794471727</v>
      </c>
      <c r="O485" s="1">
        <f t="shared" si="157"/>
        <v>3000</v>
      </c>
      <c r="P485" s="2">
        <f t="shared" si="158"/>
        <v>5.8621589479990899</v>
      </c>
      <c r="Q485" s="2">
        <f t="shared" si="145"/>
        <v>457.57933842105979</v>
      </c>
      <c r="S485" s="1">
        <f t="shared" si="146"/>
        <v>3000</v>
      </c>
      <c r="T485" s="1">
        <f t="shared" si="147"/>
        <v>6487.6712328767135</v>
      </c>
      <c r="V485" s="1">
        <f t="shared" si="159"/>
        <v>6487.6712328767135</v>
      </c>
      <c r="W485" s="1">
        <f t="shared" si="160"/>
        <v>3000</v>
      </c>
    </row>
    <row r="486" spans="1:23" x14ac:dyDescent="0.25">
      <c r="A486" s="2">
        <f t="shared" si="161"/>
        <v>47.400000000000404</v>
      </c>
      <c r="B486" s="7">
        <f t="shared" si="144"/>
        <v>23.68</v>
      </c>
      <c r="C486" s="7">
        <f t="shared" si="148"/>
        <v>1.8079751095570471</v>
      </c>
      <c r="D486" s="7">
        <f t="shared" si="149"/>
        <v>6.6283714402133693</v>
      </c>
      <c r="E486" s="7">
        <f t="shared" si="150"/>
        <v>1</v>
      </c>
      <c r="G486" s="4">
        <f t="shared" si="151"/>
        <v>4740.00000000004</v>
      </c>
      <c r="H486" s="1">
        <f t="shared" si="162"/>
        <v>1.5413851351351349</v>
      </c>
      <c r="I486" s="1">
        <f t="shared" si="163"/>
        <v>787.50313974381913</v>
      </c>
      <c r="J486" s="1">
        <f t="shared" si="152"/>
        <v>26.250104658127306</v>
      </c>
      <c r="K486" s="7">
        <f t="shared" si="153"/>
        <v>2.1575428486132031</v>
      </c>
      <c r="L486" s="4">
        <f t="shared" si="154"/>
        <v>6487.6712328767135</v>
      </c>
      <c r="M486" s="1">
        <f t="shared" si="155"/>
        <v>903.98755477852353</v>
      </c>
      <c r="N486" s="7">
        <f t="shared" si="156"/>
        <v>6.6283714402133693</v>
      </c>
      <c r="O486" s="1">
        <f t="shared" si="157"/>
        <v>3000</v>
      </c>
      <c r="P486" s="2">
        <f t="shared" si="158"/>
        <v>5.8647740540151894</v>
      </c>
      <c r="Q486" s="2">
        <f t="shared" si="145"/>
        <v>460.55418949835371</v>
      </c>
      <c r="S486" s="1">
        <f t="shared" si="146"/>
        <v>3000</v>
      </c>
      <c r="T486" s="1">
        <f t="shared" si="147"/>
        <v>6487.6712328767135</v>
      </c>
      <c r="V486" s="1">
        <f t="shared" si="159"/>
        <v>6487.6712328767135</v>
      </c>
      <c r="W486" s="1">
        <f t="shared" si="160"/>
        <v>3000</v>
      </c>
    </row>
    <row r="487" spans="1:23" x14ac:dyDescent="0.25">
      <c r="A487" s="2">
        <f t="shared" si="161"/>
        <v>47.500000000000405</v>
      </c>
      <c r="B487" s="7">
        <f t="shared" si="144"/>
        <v>23.68</v>
      </c>
      <c r="C487" s="7">
        <f t="shared" si="148"/>
        <v>1.808781646300234</v>
      </c>
      <c r="D487" s="7">
        <f t="shared" si="149"/>
        <v>6.668607977119315</v>
      </c>
      <c r="E487" s="7">
        <f t="shared" si="150"/>
        <v>1</v>
      </c>
      <c r="G487" s="4">
        <f t="shared" si="151"/>
        <v>4750.00000000004</v>
      </c>
      <c r="H487" s="1">
        <f t="shared" si="162"/>
        <v>1.5413851351351349</v>
      </c>
      <c r="I487" s="1">
        <f t="shared" si="163"/>
        <v>789.04452487895423</v>
      </c>
      <c r="J487" s="1">
        <f t="shared" si="152"/>
        <v>26.301484162631809</v>
      </c>
      <c r="K487" s="7">
        <f t="shared" si="153"/>
        <v>2.1617658215861759</v>
      </c>
      <c r="L487" s="4">
        <f t="shared" si="154"/>
        <v>6487.6712328767135</v>
      </c>
      <c r="M487" s="1">
        <f t="shared" si="155"/>
        <v>904.39082315011694</v>
      </c>
      <c r="N487" s="7">
        <f t="shared" si="156"/>
        <v>6.668607977119315</v>
      </c>
      <c r="O487" s="1">
        <f t="shared" si="157"/>
        <v>3000</v>
      </c>
      <c r="P487" s="2">
        <f t="shared" si="158"/>
        <v>5.8673903266287049</v>
      </c>
      <c r="Q487" s="2">
        <f t="shared" si="145"/>
        <v>463.54967175334548</v>
      </c>
      <c r="S487" s="1">
        <f t="shared" si="146"/>
        <v>3000</v>
      </c>
      <c r="T487" s="1">
        <f t="shared" si="147"/>
        <v>6487.6712328767135</v>
      </c>
      <c r="V487" s="1">
        <f t="shared" si="159"/>
        <v>6487.6712328767135</v>
      </c>
      <c r="W487" s="1">
        <f t="shared" si="160"/>
        <v>3000</v>
      </c>
    </row>
    <row r="488" spans="1:23" x14ac:dyDescent="0.25">
      <c r="A488" s="2">
        <f t="shared" si="161"/>
        <v>47.600000000000406</v>
      </c>
      <c r="B488" s="7">
        <f t="shared" si="144"/>
        <v>23.68</v>
      </c>
      <c r="C488" s="7">
        <f t="shared" si="148"/>
        <v>1.8095885428390368</v>
      </c>
      <c r="D488" s="7">
        <f t="shared" si="149"/>
        <v>6.7090887639012387</v>
      </c>
      <c r="E488" s="7">
        <f t="shared" si="150"/>
        <v>1</v>
      </c>
      <c r="G488" s="4">
        <f t="shared" si="151"/>
        <v>4760.0000000000409</v>
      </c>
      <c r="H488" s="1">
        <f t="shared" si="162"/>
        <v>1.541385135135275</v>
      </c>
      <c r="I488" s="1">
        <f t="shared" si="163"/>
        <v>790.58591001408956</v>
      </c>
      <c r="J488" s="1">
        <f t="shared" si="152"/>
        <v>26.352863667136319</v>
      </c>
      <c r="K488" s="7">
        <f t="shared" si="153"/>
        <v>2.1659887945591496</v>
      </c>
      <c r="L488" s="4">
        <f t="shared" si="154"/>
        <v>6487.6712328767135</v>
      </c>
      <c r="M488" s="1">
        <f t="shared" si="155"/>
        <v>904.7942714195184</v>
      </c>
      <c r="N488" s="7">
        <f t="shared" si="156"/>
        <v>6.7090887639012387</v>
      </c>
      <c r="O488" s="1">
        <f t="shared" si="157"/>
        <v>3000</v>
      </c>
      <c r="P488" s="2">
        <f t="shared" si="158"/>
        <v>5.8700077663600547</v>
      </c>
      <c r="Q488" s="2">
        <f t="shared" si="145"/>
        <v>466.56594512430917</v>
      </c>
      <c r="S488" s="1">
        <f t="shared" si="146"/>
        <v>3000</v>
      </c>
      <c r="T488" s="1">
        <f t="shared" si="147"/>
        <v>6487.6712328767135</v>
      </c>
      <c r="V488" s="1">
        <f t="shared" si="159"/>
        <v>6487.6712328767135</v>
      </c>
      <c r="W488" s="1">
        <f t="shared" si="160"/>
        <v>3000</v>
      </c>
    </row>
    <row r="489" spans="1:23" x14ac:dyDescent="0.25">
      <c r="A489" s="2">
        <f t="shared" si="161"/>
        <v>47.700000000000408</v>
      </c>
      <c r="B489" s="7">
        <f t="shared" si="144"/>
        <v>23.68</v>
      </c>
      <c r="C489" s="7">
        <f t="shared" si="148"/>
        <v>1.8103957993339601</v>
      </c>
      <c r="D489" s="7">
        <f t="shared" si="149"/>
        <v>6.7498152832414542</v>
      </c>
      <c r="E489" s="7">
        <f t="shared" si="150"/>
        <v>1</v>
      </c>
      <c r="G489" s="4">
        <f t="shared" si="151"/>
        <v>4770.00000000004</v>
      </c>
      <c r="H489" s="1">
        <f t="shared" si="162"/>
        <v>1.5413851351349948</v>
      </c>
      <c r="I489" s="1">
        <f t="shared" si="163"/>
        <v>792.12729514922455</v>
      </c>
      <c r="J489" s="1">
        <f t="shared" si="152"/>
        <v>26.404243171640818</v>
      </c>
      <c r="K489" s="7">
        <f t="shared" si="153"/>
        <v>2.170211767532122</v>
      </c>
      <c r="L489" s="4">
        <f t="shared" si="154"/>
        <v>6487.6712328767135</v>
      </c>
      <c r="M489" s="1">
        <f t="shared" si="155"/>
        <v>905.19789966698011</v>
      </c>
      <c r="N489" s="7">
        <f t="shared" si="156"/>
        <v>6.7498152832414542</v>
      </c>
      <c r="O489" s="1">
        <f t="shared" si="157"/>
        <v>3000</v>
      </c>
      <c r="P489" s="2">
        <f t="shared" si="158"/>
        <v>5.8726263737298883</v>
      </c>
      <c r="Q489" s="2">
        <f t="shared" si="145"/>
        <v>469.60317101063401</v>
      </c>
      <c r="S489" s="1">
        <f t="shared" si="146"/>
        <v>3000</v>
      </c>
      <c r="T489" s="1">
        <f t="shared" si="147"/>
        <v>6487.6712328767135</v>
      </c>
      <c r="V489" s="1">
        <f t="shared" si="159"/>
        <v>6487.6712328767135</v>
      </c>
      <c r="W489" s="1">
        <f t="shared" si="160"/>
        <v>3000</v>
      </c>
    </row>
    <row r="490" spans="1:23" x14ac:dyDescent="0.25">
      <c r="A490" s="2">
        <f t="shared" si="161"/>
        <v>47.800000000000409</v>
      </c>
      <c r="B490" s="7">
        <f t="shared" si="144"/>
        <v>23.68</v>
      </c>
      <c r="C490" s="7">
        <f t="shared" si="148"/>
        <v>1.8112034159455801</v>
      </c>
      <c r="D490" s="7">
        <f t="shared" si="149"/>
        <v>6.7907890268226865</v>
      </c>
      <c r="E490" s="7">
        <f t="shared" si="150"/>
        <v>1</v>
      </c>
      <c r="G490" s="4">
        <f t="shared" si="151"/>
        <v>4780.0000000000409</v>
      </c>
      <c r="H490" s="1">
        <f t="shared" si="162"/>
        <v>1.541385135135275</v>
      </c>
      <c r="I490" s="1">
        <f t="shared" si="163"/>
        <v>793.66868028435988</v>
      </c>
      <c r="J490" s="1">
        <f t="shared" si="152"/>
        <v>26.455622676145328</v>
      </c>
      <c r="K490" s="7">
        <f t="shared" si="153"/>
        <v>2.1744347405050957</v>
      </c>
      <c r="L490" s="4">
        <f t="shared" si="154"/>
        <v>6487.6712328767135</v>
      </c>
      <c r="M490" s="1">
        <f t="shared" si="155"/>
        <v>905.60170797279</v>
      </c>
      <c r="N490" s="7">
        <f t="shared" si="156"/>
        <v>6.7907890268226865</v>
      </c>
      <c r="O490" s="1">
        <f t="shared" si="157"/>
        <v>3000</v>
      </c>
      <c r="P490" s="2">
        <f t="shared" si="158"/>
        <v>5.8752461492590875</v>
      </c>
      <c r="Q490" s="2">
        <f t="shared" si="145"/>
        <v>472.66151228906392</v>
      </c>
      <c r="S490" s="1">
        <f t="shared" si="146"/>
        <v>3000</v>
      </c>
      <c r="T490" s="1">
        <f t="shared" si="147"/>
        <v>6487.6712328767135</v>
      </c>
      <c r="V490" s="1">
        <f t="shared" si="159"/>
        <v>6487.6712328767135</v>
      </c>
      <c r="W490" s="1">
        <f t="shared" si="160"/>
        <v>3000</v>
      </c>
    </row>
    <row r="491" spans="1:23" x14ac:dyDescent="0.25">
      <c r="A491" s="2">
        <f t="shared" si="161"/>
        <v>47.900000000000411</v>
      </c>
      <c r="B491" s="7">
        <f t="shared" si="144"/>
        <v>23.68</v>
      </c>
      <c r="C491" s="7">
        <f t="shared" si="148"/>
        <v>1.8120113928345447</v>
      </c>
      <c r="D491" s="7">
        <f t="shared" si="149"/>
        <v>6.8320114953826954</v>
      </c>
      <c r="E491" s="7">
        <f t="shared" si="150"/>
        <v>1</v>
      </c>
      <c r="G491" s="4">
        <f t="shared" si="151"/>
        <v>4790.0000000000409</v>
      </c>
      <c r="H491" s="1">
        <f t="shared" si="162"/>
        <v>1.5413851351351349</v>
      </c>
      <c r="I491" s="1">
        <f t="shared" si="163"/>
        <v>795.21006541949498</v>
      </c>
      <c r="J491" s="1">
        <f t="shared" si="152"/>
        <v>26.507002180649831</v>
      </c>
      <c r="K491" s="7">
        <f t="shared" si="153"/>
        <v>2.1786577134780685</v>
      </c>
      <c r="L491" s="4">
        <f t="shared" si="154"/>
        <v>6487.6712328767135</v>
      </c>
      <c r="M491" s="1">
        <f t="shared" si="155"/>
        <v>906.00569641727236</v>
      </c>
      <c r="N491" s="7">
        <f t="shared" si="156"/>
        <v>6.8320114953826954</v>
      </c>
      <c r="O491" s="1">
        <f t="shared" si="157"/>
        <v>3000</v>
      </c>
      <c r="P491" s="2">
        <f t="shared" si="158"/>
        <v>5.8778670934687707</v>
      </c>
      <c r="Q491" s="2">
        <f t="shared" si="145"/>
        <v>475.74113333015327</v>
      </c>
      <c r="S491" s="1">
        <f t="shared" si="146"/>
        <v>3000</v>
      </c>
      <c r="T491" s="1">
        <f t="shared" si="147"/>
        <v>6487.6712328767135</v>
      </c>
      <c r="V491" s="1">
        <f t="shared" si="159"/>
        <v>6487.6712328767135</v>
      </c>
      <c r="W491" s="1">
        <f t="shared" si="160"/>
        <v>3000</v>
      </c>
    </row>
    <row r="492" spans="1:23" x14ac:dyDescent="0.25">
      <c r="A492" s="2">
        <f t="shared" si="161"/>
        <v>48.000000000000412</v>
      </c>
      <c r="B492" s="7">
        <f t="shared" ref="B492:B555" si="164">IF(A492&lt;=$B$2,$B$3*EXP(A492*$B$4),IF(A492&lt;$B$7,$B$6,IF($B$8*EXP(A492*$B$9)&gt;$B$6,$B$6,$B$8*EXP(A492*$B$9))))</f>
        <v>23.68</v>
      </c>
      <c r="C492" s="7">
        <f t="shared" si="148"/>
        <v>1.8128197301615736</v>
      </c>
      <c r="D492" s="7">
        <f t="shared" si="149"/>
        <v>6.8734841987692405</v>
      </c>
      <c r="E492" s="7">
        <f t="shared" si="150"/>
        <v>1</v>
      </c>
      <c r="G492" s="4">
        <f t="shared" si="151"/>
        <v>4800.0000000000418</v>
      </c>
      <c r="H492" s="1">
        <f t="shared" si="162"/>
        <v>1.541385135135275</v>
      </c>
      <c r="I492" s="1">
        <f t="shared" si="163"/>
        <v>796.75145055463031</v>
      </c>
      <c r="J492" s="1">
        <f t="shared" si="152"/>
        <v>26.558381685154345</v>
      </c>
      <c r="K492" s="7">
        <f t="shared" si="153"/>
        <v>2.1828806864510422</v>
      </c>
      <c r="L492" s="4">
        <f t="shared" si="154"/>
        <v>6487.6712328767135</v>
      </c>
      <c r="M492" s="1">
        <f t="shared" si="155"/>
        <v>906.40986508078686</v>
      </c>
      <c r="N492" s="7">
        <f t="shared" si="156"/>
        <v>6.8734841987692405</v>
      </c>
      <c r="O492" s="1">
        <f t="shared" si="157"/>
        <v>3000</v>
      </c>
      <c r="P492" s="2">
        <f t="shared" si="158"/>
        <v>5.8804892068802834</v>
      </c>
      <c r="Q492" s="2">
        <f t="shared" si="145"/>
        <v>478.84220001494469</v>
      </c>
      <c r="S492" s="1">
        <f t="shared" si="146"/>
        <v>3000</v>
      </c>
      <c r="T492" s="1">
        <f t="shared" si="147"/>
        <v>6487.6712328767135</v>
      </c>
      <c r="V492" s="1">
        <f t="shared" si="159"/>
        <v>6487.6712328767135</v>
      </c>
      <c r="W492" s="1">
        <f t="shared" si="160"/>
        <v>3000</v>
      </c>
    </row>
    <row r="493" spans="1:23" x14ac:dyDescent="0.25">
      <c r="A493" s="2">
        <f t="shared" si="161"/>
        <v>48.100000000000414</v>
      </c>
      <c r="B493" s="7">
        <f t="shared" si="164"/>
        <v>23.68</v>
      </c>
      <c r="C493" s="7">
        <f t="shared" si="148"/>
        <v>1.8136284280874579</v>
      </c>
      <c r="D493" s="7">
        <f t="shared" si="149"/>
        <v>6.9152086559953911</v>
      </c>
      <c r="E493" s="7">
        <f t="shared" si="150"/>
        <v>1</v>
      </c>
      <c r="G493" s="4">
        <f t="shared" si="151"/>
        <v>4810.0000000000409</v>
      </c>
      <c r="H493" s="1">
        <f t="shared" si="162"/>
        <v>1.5413851351349948</v>
      </c>
      <c r="I493" s="1">
        <f t="shared" si="163"/>
        <v>798.2928356897653</v>
      </c>
      <c r="J493" s="1">
        <f t="shared" si="152"/>
        <v>26.609761189658844</v>
      </c>
      <c r="K493" s="7">
        <f t="shared" si="153"/>
        <v>2.1871036594240145</v>
      </c>
      <c r="L493" s="4">
        <f t="shared" si="154"/>
        <v>6487.6712328767135</v>
      </c>
      <c r="M493" s="1">
        <f t="shared" si="155"/>
        <v>906.81421404372895</v>
      </c>
      <c r="N493" s="7">
        <f t="shared" si="156"/>
        <v>6.9152086559953911</v>
      </c>
      <c r="O493" s="1">
        <f t="shared" si="157"/>
        <v>3000</v>
      </c>
      <c r="P493" s="2">
        <f t="shared" si="158"/>
        <v>5.8831124900152068</v>
      </c>
      <c r="Q493" s="2">
        <f t="shared" si="145"/>
        <v>481.96487975187273</v>
      </c>
      <c r="S493" s="1">
        <f t="shared" si="146"/>
        <v>3000</v>
      </c>
      <c r="T493" s="1">
        <f t="shared" si="147"/>
        <v>6487.6712328767135</v>
      </c>
      <c r="V493" s="1">
        <f t="shared" si="159"/>
        <v>6487.6712328767135</v>
      </c>
      <c r="W493" s="1">
        <f t="shared" si="160"/>
        <v>3000</v>
      </c>
    </row>
    <row r="494" spans="1:23" x14ac:dyDescent="0.25">
      <c r="A494" s="2">
        <f t="shared" si="161"/>
        <v>48.200000000000415</v>
      </c>
      <c r="B494" s="7">
        <f t="shared" si="164"/>
        <v>23.68</v>
      </c>
      <c r="C494" s="7">
        <f t="shared" si="148"/>
        <v>1.8144374867730606</v>
      </c>
      <c r="D494" s="7">
        <f t="shared" si="149"/>
        <v>6.9571863952951576</v>
      </c>
      <c r="E494" s="7">
        <f t="shared" si="150"/>
        <v>1</v>
      </c>
      <c r="G494" s="4">
        <f t="shared" si="151"/>
        <v>4820.0000000000409</v>
      </c>
      <c r="H494" s="1">
        <f t="shared" si="162"/>
        <v>1.5413851351351349</v>
      </c>
      <c r="I494" s="1">
        <f t="shared" si="163"/>
        <v>799.8342208249004</v>
      </c>
      <c r="J494" s="1">
        <f t="shared" si="152"/>
        <v>26.661140694163347</v>
      </c>
      <c r="K494" s="7">
        <f t="shared" si="153"/>
        <v>2.1913266323969873</v>
      </c>
      <c r="L494" s="4">
        <f t="shared" si="154"/>
        <v>6487.6712328767135</v>
      </c>
      <c r="M494" s="1">
        <f t="shared" si="155"/>
        <v>907.21874338653026</v>
      </c>
      <c r="N494" s="7">
        <f t="shared" si="156"/>
        <v>6.9571863952951576</v>
      </c>
      <c r="O494" s="1">
        <f t="shared" si="157"/>
        <v>3000</v>
      </c>
      <c r="P494" s="2">
        <f t="shared" si="158"/>
        <v>5.8857369433953535</v>
      </c>
      <c r="Q494" s="2">
        <f t="shared" si="145"/>
        <v>485.10934149389556</v>
      </c>
      <c r="S494" s="1">
        <f t="shared" si="146"/>
        <v>3000</v>
      </c>
      <c r="T494" s="1">
        <f t="shared" si="147"/>
        <v>6487.6712328767135</v>
      </c>
      <c r="V494" s="1">
        <f t="shared" si="159"/>
        <v>6487.6712328767135</v>
      </c>
      <c r="W494" s="1">
        <f t="shared" si="160"/>
        <v>3000</v>
      </c>
    </row>
    <row r="495" spans="1:23" x14ac:dyDescent="0.25">
      <c r="A495" s="2">
        <f t="shared" si="161"/>
        <v>48.300000000000416</v>
      </c>
      <c r="B495" s="7">
        <f t="shared" si="164"/>
        <v>23.68</v>
      </c>
      <c r="C495" s="7">
        <f t="shared" si="148"/>
        <v>1.8152469063793164</v>
      </c>
      <c r="D495" s="7">
        <f t="shared" si="149"/>
        <v>6.9994189541794603</v>
      </c>
      <c r="E495" s="7">
        <f t="shared" si="150"/>
        <v>1</v>
      </c>
      <c r="G495" s="4">
        <f t="shared" si="151"/>
        <v>4830.0000000000418</v>
      </c>
      <c r="H495" s="1">
        <f t="shared" si="162"/>
        <v>1.541385135135275</v>
      </c>
      <c r="I495" s="1">
        <f t="shared" si="163"/>
        <v>801.37560596003573</v>
      </c>
      <c r="J495" s="1">
        <f t="shared" si="152"/>
        <v>26.712520198667857</v>
      </c>
      <c r="K495" s="7">
        <f t="shared" si="153"/>
        <v>2.195549605369961</v>
      </c>
      <c r="L495" s="4">
        <f t="shared" si="154"/>
        <v>6487.6712328767135</v>
      </c>
      <c r="M495" s="1">
        <f t="shared" si="155"/>
        <v>907.62345318965822</v>
      </c>
      <c r="N495" s="7">
        <f t="shared" si="156"/>
        <v>6.9994189541794603</v>
      </c>
      <c r="O495" s="1">
        <f t="shared" si="157"/>
        <v>3000</v>
      </c>
      <c r="P495" s="2">
        <f t="shared" si="158"/>
        <v>5.88836256754277</v>
      </c>
      <c r="Q495" s="2">
        <f t="shared" si="145"/>
        <v>488.27575575585962</v>
      </c>
      <c r="S495" s="1">
        <f t="shared" si="146"/>
        <v>3000</v>
      </c>
      <c r="T495" s="1">
        <f t="shared" si="147"/>
        <v>6487.6712328767135</v>
      </c>
      <c r="V495" s="1">
        <f t="shared" si="159"/>
        <v>6487.6712328767135</v>
      </c>
      <c r="W495" s="1">
        <f t="shared" si="160"/>
        <v>3000</v>
      </c>
    </row>
    <row r="496" spans="1:23" x14ac:dyDescent="0.25">
      <c r="A496" s="2">
        <f t="shared" si="161"/>
        <v>48.400000000000418</v>
      </c>
      <c r="B496" s="7">
        <f t="shared" si="164"/>
        <v>23.68</v>
      </c>
      <c r="C496" s="7">
        <f t="shared" si="148"/>
        <v>1.8160566870672319</v>
      </c>
      <c r="D496" s="7">
        <f t="shared" si="149"/>
        <v>7.041907879492455</v>
      </c>
      <c r="E496" s="7">
        <f t="shared" si="150"/>
        <v>1</v>
      </c>
      <c r="G496" s="4">
        <f t="shared" si="151"/>
        <v>4840.0000000000427</v>
      </c>
      <c r="H496" s="1">
        <f t="shared" si="162"/>
        <v>1.541385135135275</v>
      </c>
      <c r="I496" s="1">
        <f t="shared" si="163"/>
        <v>802.91699109517106</v>
      </c>
      <c r="J496" s="1">
        <f t="shared" si="152"/>
        <v>26.763899703172367</v>
      </c>
      <c r="K496" s="7">
        <f t="shared" si="153"/>
        <v>2.1997725783429343</v>
      </c>
      <c r="L496" s="4">
        <f t="shared" si="154"/>
        <v>6487.6712328767135</v>
      </c>
      <c r="M496" s="1">
        <f t="shared" si="155"/>
        <v>908.02834353361595</v>
      </c>
      <c r="N496" s="7">
        <f t="shared" si="156"/>
        <v>7.041907879492455</v>
      </c>
      <c r="O496" s="1">
        <f t="shared" si="157"/>
        <v>3000</v>
      </c>
      <c r="P496" s="2">
        <f t="shared" si="158"/>
        <v>5.8909893629797345</v>
      </c>
      <c r="Q496" s="2">
        <f t="shared" ref="Q496:Q559" si="165">IFERROR(N496/100*L496/(1-N496/100),L496*100)</f>
        <v>491.46429463210052</v>
      </c>
      <c r="S496" s="1">
        <f t="shared" si="146"/>
        <v>3000</v>
      </c>
      <c r="T496" s="1">
        <f t="shared" si="147"/>
        <v>6487.6712328767135</v>
      </c>
      <c r="V496" s="1">
        <f t="shared" si="159"/>
        <v>6487.6712328767135</v>
      </c>
      <c r="W496" s="1">
        <f t="shared" si="160"/>
        <v>3000</v>
      </c>
    </row>
    <row r="497" spans="1:23" x14ac:dyDescent="0.25">
      <c r="A497" s="2">
        <f t="shared" si="161"/>
        <v>48.500000000000419</v>
      </c>
      <c r="B497" s="7">
        <f t="shared" si="164"/>
        <v>23.68</v>
      </c>
      <c r="C497" s="7">
        <f t="shared" si="148"/>
        <v>1.8168668289978851</v>
      </c>
      <c r="D497" s="7">
        <f t="shared" si="149"/>
        <v>7.0846547274681857</v>
      </c>
      <c r="E497" s="7">
        <f t="shared" si="150"/>
        <v>1</v>
      </c>
      <c r="G497" s="4">
        <f t="shared" si="151"/>
        <v>4850.0000000000418</v>
      </c>
      <c r="H497" s="1">
        <f t="shared" si="162"/>
        <v>1.5413851351349948</v>
      </c>
      <c r="I497" s="1">
        <f t="shared" si="163"/>
        <v>804.45837623030604</v>
      </c>
      <c r="J497" s="1">
        <f t="shared" si="152"/>
        <v>26.81527920767687</v>
      </c>
      <c r="K497" s="7">
        <f t="shared" si="153"/>
        <v>2.2039955513159071</v>
      </c>
      <c r="L497" s="4">
        <f t="shared" si="154"/>
        <v>6487.6712328767135</v>
      </c>
      <c r="M497" s="1">
        <f t="shared" si="155"/>
        <v>908.43341449894251</v>
      </c>
      <c r="N497" s="7">
        <f t="shared" si="156"/>
        <v>7.0846547274681857</v>
      </c>
      <c r="O497" s="1">
        <f t="shared" si="157"/>
        <v>3000</v>
      </c>
      <c r="P497" s="2">
        <f t="shared" si="158"/>
        <v>5.8936173302287571</v>
      </c>
      <c r="Q497" s="2">
        <f t="shared" si="165"/>
        <v>494.67513181428376</v>
      </c>
      <c r="S497" s="1">
        <f t="shared" si="146"/>
        <v>3000</v>
      </c>
      <c r="T497" s="1">
        <f t="shared" si="147"/>
        <v>6487.6712328767135</v>
      </c>
      <c r="V497" s="1">
        <f t="shared" si="159"/>
        <v>6487.6712328767135</v>
      </c>
      <c r="W497" s="1">
        <f t="shared" si="160"/>
        <v>3000</v>
      </c>
    </row>
    <row r="498" spans="1:23" x14ac:dyDescent="0.25">
      <c r="A498" s="2">
        <f t="shared" si="161"/>
        <v>48.600000000000421</v>
      </c>
      <c r="B498" s="7">
        <f t="shared" si="164"/>
        <v>23.68</v>
      </c>
      <c r="C498" s="7">
        <f t="shared" si="148"/>
        <v>1.8176773323324265</v>
      </c>
      <c r="D498" s="7">
        <f t="shared" si="149"/>
        <v>7.1276610637875795</v>
      </c>
      <c r="E498" s="7">
        <f t="shared" si="150"/>
        <v>1</v>
      </c>
      <c r="G498" s="4">
        <f t="shared" si="151"/>
        <v>4860.0000000000418</v>
      </c>
      <c r="H498" s="1">
        <f t="shared" si="162"/>
        <v>1.5413851351351349</v>
      </c>
      <c r="I498" s="1">
        <f t="shared" si="163"/>
        <v>805.99976136544115</v>
      </c>
      <c r="J498" s="1">
        <f t="shared" si="152"/>
        <v>26.866658712181373</v>
      </c>
      <c r="K498" s="7">
        <f t="shared" si="153"/>
        <v>2.2082185242888799</v>
      </c>
      <c r="L498" s="4">
        <f t="shared" si="154"/>
        <v>6487.6712328767135</v>
      </c>
      <c r="M498" s="1">
        <f t="shared" si="155"/>
        <v>908.83866616621322</v>
      </c>
      <c r="N498" s="7">
        <f t="shared" si="156"/>
        <v>7.1276610637875795</v>
      </c>
      <c r="O498" s="1">
        <f t="shared" si="157"/>
        <v>3000</v>
      </c>
      <c r="P498" s="2">
        <f t="shared" si="158"/>
        <v>5.896246469812584</v>
      </c>
      <c r="Q498" s="2">
        <f t="shared" si="165"/>
        <v>497.90844260948882</v>
      </c>
      <c r="S498" s="1">
        <f t="shared" si="146"/>
        <v>3000</v>
      </c>
      <c r="T498" s="1">
        <f t="shared" si="147"/>
        <v>6487.6712328767135</v>
      </c>
      <c r="V498" s="1">
        <f t="shared" si="159"/>
        <v>6487.6712328767135</v>
      </c>
      <c r="W498" s="1">
        <f t="shared" si="160"/>
        <v>3000</v>
      </c>
    </row>
    <row r="499" spans="1:23" x14ac:dyDescent="0.25">
      <c r="A499" s="2">
        <f t="shared" si="161"/>
        <v>48.700000000000422</v>
      </c>
      <c r="B499" s="7">
        <f t="shared" si="164"/>
        <v>23.68</v>
      </c>
      <c r="C499" s="7">
        <f t="shared" si="148"/>
        <v>1.8184881972320781</v>
      </c>
      <c r="D499" s="7">
        <f t="shared" si="149"/>
        <v>7.1709284636357875</v>
      </c>
      <c r="E499" s="7">
        <f t="shared" si="150"/>
        <v>1</v>
      </c>
      <c r="G499" s="4">
        <f t="shared" si="151"/>
        <v>4870.0000000000418</v>
      </c>
      <c r="H499" s="1">
        <f t="shared" si="162"/>
        <v>1.5413851351351349</v>
      </c>
      <c r="I499" s="1">
        <f t="shared" si="163"/>
        <v>807.54114650057625</v>
      </c>
      <c r="J499" s="1">
        <f t="shared" si="152"/>
        <v>26.918038216685876</v>
      </c>
      <c r="K499" s="7">
        <f t="shared" si="153"/>
        <v>2.2124414972618527</v>
      </c>
      <c r="L499" s="4">
        <f t="shared" si="154"/>
        <v>6487.6712328767135</v>
      </c>
      <c r="M499" s="1">
        <f t="shared" si="155"/>
        <v>909.24409861603908</v>
      </c>
      <c r="N499" s="7">
        <f t="shared" si="156"/>
        <v>7.1709284636357875</v>
      </c>
      <c r="O499" s="1">
        <f t="shared" si="157"/>
        <v>3000</v>
      </c>
      <c r="P499" s="2">
        <f t="shared" si="158"/>
        <v>5.8988767822541943</v>
      </c>
      <c r="Q499" s="2">
        <f t="shared" si="165"/>
        <v>501.16440395854073</v>
      </c>
      <c r="S499" s="1">
        <f t="shared" si="146"/>
        <v>3000</v>
      </c>
      <c r="T499" s="1">
        <f t="shared" si="147"/>
        <v>6487.6712328767135</v>
      </c>
      <c r="V499" s="1">
        <f t="shared" si="159"/>
        <v>6487.6712328767135</v>
      </c>
      <c r="W499" s="1">
        <f t="shared" si="160"/>
        <v>3000</v>
      </c>
    </row>
    <row r="500" spans="1:23" x14ac:dyDescent="0.25">
      <c r="A500" s="2">
        <f t="shared" si="161"/>
        <v>48.800000000000423</v>
      </c>
      <c r="B500" s="7">
        <f t="shared" si="164"/>
        <v>23.68</v>
      </c>
      <c r="C500" s="7">
        <f t="shared" si="148"/>
        <v>1.8192994238581344</v>
      </c>
      <c r="D500" s="7">
        <f t="shared" si="149"/>
        <v>7.2144585117598998</v>
      </c>
      <c r="E500" s="7">
        <f t="shared" si="150"/>
        <v>1</v>
      </c>
      <c r="G500" s="4">
        <f t="shared" si="151"/>
        <v>4880.0000000000418</v>
      </c>
      <c r="H500" s="1">
        <f t="shared" si="162"/>
        <v>1.5413851351351349</v>
      </c>
      <c r="I500" s="1">
        <f t="shared" si="163"/>
        <v>809.08253163571135</v>
      </c>
      <c r="J500" s="1">
        <f t="shared" si="152"/>
        <v>26.969417721190379</v>
      </c>
      <c r="K500" s="7">
        <f t="shared" si="153"/>
        <v>2.2166644702348255</v>
      </c>
      <c r="L500" s="4">
        <f t="shared" si="154"/>
        <v>6487.6712328767135</v>
      </c>
      <c r="M500" s="1">
        <f t="shared" si="155"/>
        <v>909.64971192906717</v>
      </c>
      <c r="N500" s="7">
        <f t="shared" si="156"/>
        <v>7.2144585117598998</v>
      </c>
      <c r="O500" s="1">
        <f t="shared" si="157"/>
        <v>3000</v>
      </c>
      <c r="P500" s="2">
        <f t="shared" si="158"/>
        <v>5.9015082680767987</v>
      </c>
      <c r="Q500" s="2">
        <f t="shared" si="165"/>
        <v>504.44319445459558</v>
      </c>
      <c r="S500" s="1">
        <f t="shared" si="146"/>
        <v>3000</v>
      </c>
      <c r="T500" s="1">
        <f t="shared" si="147"/>
        <v>6487.6712328767135</v>
      </c>
      <c r="V500" s="1">
        <f t="shared" si="159"/>
        <v>6487.6712328767135</v>
      </c>
      <c r="W500" s="1">
        <f t="shared" si="160"/>
        <v>3000</v>
      </c>
    </row>
    <row r="501" spans="1:23" x14ac:dyDescent="0.25">
      <c r="A501" s="2">
        <f t="shared" si="161"/>
        <v>48.900000000000425</v>
      </c>
      <c r="B501" s="7">
        <f t="shared" si="164"/>
        <v>23.68</v>
      </c>
      <c r="C501" s="7">
        <f t="shared" si="148"/>
        <v>1.8201110123719604</v>
      </c>
      <c r="D501" s="7">
        <f t="shared" si="149"/>
        <v>7.2582528025269744</v>
      </c>
      <c r="E501" s="7">
        <f t="shared" si="150"/>
        <v>1</v>
      </c>
      <c r="G501" s="4">
        <f t="shared" si="151"/>
        <v>4890.0000000000427</v>
      </c>
      <c r="H501" s="1">
        <f t="shared" si="162"/>
        <v>1.541385135135275</v>
      </c>
      <c r="I501" s="1">
        <f t="shared" si="163"/>
        <v>810.62391677084668</v>
      </c>
      <c r="J501" s="1">
        <f t="shared" si="152"/>
        <v>27.020797225694889</v>
      </c>
      <c r="K501" s="7">
        <f t="shared" si="153"/>
        <v>2.2208874432077992</v>
      </c>
      <c r="L501" s="4">
        <f t="shared" si="154"/>
        <v>6487.6712328767135</v>
      </c>
      <c r="M501" s="1">
        <f t="shared" si="155"/>
        <v>910.05550618598022</v>
      </c>
      <c r="N501" s="7">
        <f t="shared" si="156"/>
        <v>7.2582528025269744</v>
      </c>
      <c r="O501" s="1">
        <f t="shared" si="157"/>
        <v>3000</v>
      </c>
      <c r="P501" s="2">
        <f t="shared" si="158"/>
        <v>5.9041409278038399</v>
      </c>
      <c r="Q501" s="2">
        <f t="shared" si="165"/>
        <v>507.74499436197914</v>
      </c>
      <c r="S501" s="1">
        <f t="shared" si="146"/>
        <v>3000</v>
      </c>
      <c r="T501" s="1">
        <f t="shared" si="147"/>
        <v>6487.6712328767135</v>
      </c>
      <c r="V501" s="1">
        <f t="shared" si="159"/>
        <v>6487.6712328767135</v>
      </c>
      <c r="W501" s="1">
        <f t="shared" si="160"/>
        <v>3000</v>
      </c>
    </row>
    <row r="502" spans="1:23" x14ac:dyDescent="0.25">
      <c r="A502" s="2">
        <f t="shared" si="161"/>
        <v>49.000000000000426</v>
      </c>
      <c r="B502" s="7">
        <f t="shared" si="164"/>
        <v>23.68</v>
      </c>
      <c r="C502" s="7">
        <f t="shared" si="148"/>
        <v>1.8209229629349946</v>
      </c>
      <c r="D502" s="7">
        <f t="shared" si="149"/>
        <v>7.3023129399824205</v>
      </c>
      <c r="E502" s="7">
        <f t="shared" si="150"/>
        <v>1</v>
      </c>
      <c r="G502" s="4">
        <f t="shared" si="151"/>
        <v>4900.0000000000427</v>
      </c>
      <c r="H502" s="1">
        <f t="shared" si="162"/>
        <v>1.5413851351351349</v>
      </c>
      <c r="I502" s="1">
        <f t="shared" si="163"/>
        <v>812.16530190598178</v>
      </c>
      <c r="J502" s="1">
        <f t="shared" si="152"/>
        <v>27.072176730199391</v>
      </c>
      <c r="K502" s="7">
        <f t="shared" si="153"/>
        <v>2.225110416180772</v>
      </c>
      <c r="L502" s="4">
        <f t="shared" si="154"/>
        <v>6487.6712328767135</v>
      </c>
      <c r="M502" s="1">
        <f t="shared" si="155"/>
        <v>910.46148146749726</v>
      </c>
      <c r="N502" s="7">
        <f t="shared" si="156"/>
        <v>7.3023129399824205</v>
      </c>
      <c r="O502" s="1">
        <f t="shared" si="157"/>
        <v>3000</v>
      </c>
      <c r="P502" s="2">
        <f t="shared" si="158"/>
        <v>5.9067747619589968</v>
      </c>
      <c r="Q502" s="2">
        <f t="shared" si="165"/>
        <v>511.06998563528504</v>
      </c>
      <c r="S502" s="1">
        <f t="shared" si="146"/>
        <v>3000</v>
      </c>
      <c r="T502" s="1">
        <f t="shared" si="147"/>
        <v>6487.6712328767135</v>
      </c>
      <c r="V502" s="1">
        <f t="shared" si="159"/>
        <v>6487.6712328767135</v>
      </c>
      <c r="W502" s="1">
        <f t="shared" si="160"/>
        <v>3000</v>
      </c>
    </row>
    <row r="503" spans="1:23" x14ac:dyDescent="0.25">
      <c r="A503" s="2">
        <f t="shared" si="161"/>
        <v>49.100000000000428</v>
      </c>
      <c r="B503" s="7">
        <f t="shared" si="164"/>
        <v>23.68</v>
      </c>
      <c r="C503" s="7">
        <f t="shared" si="148"/>
        <v>1.8217352757087473</v>
      </c>
      <c r="D503" s="7">
        <f t="shared" si="149"/>
        <v>7.346640537908784</v>
      </c>
      <c r="E503" s="7">
        <f t="shared" si="150"/>
        <v>1</v>
      </c>
      <c r="G503" s="4">
        <f t="shared" si="151"/>
        <v>4910.0000000000427</v>
      </c>
      <c r="H503" s="1">
        <f t="shared" si="162"/>
        <v>1.5413851351351349</v>
      </c>
      <c r="I503" s="1">
        <f t="shared" si="163"/>
        <v>813.70668704111688</v>
      </c>
      <c r="J503" s="1">
        <f t="shared" si="152"/>
        <v>27.123556234703894</v>
      </c>
      <c r="K503" s="7">
        <f t="shared" si="153"/>
        <v>2.2293333891537448</v>
      </c>
      <c r="L503" s="4">
        <f t="shared" si="154"/>
        <v>6487.6712328767135</v>
      </c>
      <c r="M503" s="1">
        <f t="shared" si="155"/>
        <v>910.86763785437358</v>
      </c>
      <c r="N503" s="7">
        <f t="shared" si="156"/>
        <v>7.346640537908784</v>
      </c>
      <c r="O503" s="1">
        <f t="shared" si="157"/>
        <v>3000</v>
      </c>
      <c r="P503" s="2">
        <f t="shared" si="158"/>
        <v>5.9094097710661835</v>
      </c>
      <c r="Q503" s="2">
        <f t="shared" si="165"/>
        <v>514.41835193874113</v>
      </c>
      <c r="S503" s="1">
        <f t="shared" si="146"/>
        <v>3000</v>
      </c>
      <c r="T503" s="1">
        <f t="shared" si="147"/>
        <v>6487.6712328767135</v>
      </c>
      <c r="V503" s="1">
        <f t="shared" si="159"/>
        <v>6487.6712328767135</v>
      </c>
      <c r="W503" s="1">
        <f t="shared" si="160"/>
        <v>3000</v>
      </c>
    </row>
    <row r="504" spans="1:23" x14ac:dyDescent="0.25">
      <c r="A504" s="2">
        <f t="shared" si="161"/>
        <v>49.200000000000429</v>
      </c>
      <c r="B504" s="7">
        <f t="shared" si="164"/>
        <v>23.68</v>
      </c>
      <c r="C504" s="7">
        <f t="shared" si="148"/>
        <v>1.8225479508547997</v>
      </c>
      <c r="D504" s="7">
        <f t="shared" si="149"/>
        <v>7.3912372198848315</v>
      </c>
      <c r="E504" s="7">
        <f t="shared" si="150"/>
        <v>1</v>
      </c>
      <c r="G504" s="4">
        <f t="shared" si="151"/>
        <v>4920.0000000000427</v>
      </c>
      <c r="H504" s="1">
        <f t="shared" si="162"/>
        <v>1.5413851351351349</v>
      </c>
      <c r="I504" s="1">
        <f t="shared" si="163"/>
        <v>815.24807217625198</v>
      </c>
      <c r="J504" s="1">
        <f t="shared" si="152"/>
        <v>27.174935739208401</v>
      </c>
      <c r="K504" s="7">
        <f t="shared" si="153"/>
        <v>2.2335563621267176</v>
      </c>
      <c r="L504" s="4">
        <f t="shared" si="154"/>
        <v>6487.6712328767135</v>
      </c>
      <c r="M504" s="1">
        <f t="shared" si="155"/>
        <v>911.27397542739982</v>
      </c>
      <c r="N504" s="7">
        <f t="shared" si="156"/>
        <v>7.3912372198848315</v>
      </c>
      <c r="O504" s="1">
        <f t="shared" si="157"/>
        <v>3000</v>
      </c>
      <c r="P504" s="2">
        <f t="shared" si="158"/>
        <v>5.9120459556495426</v>
      </c>
      <c r="Q504" s="2">
        <f t="shared" si="165"/>
        <v>517.79027866583965</v>
      </c>
      <c r="S504" s="1">
        <f t="shared" si="146"/>
        <v>3000</v>
      </c>
      <c r="T504" s="1">
        <f t="shared" si="147"/>
        <v>6487.6712328767135</v>
      </c>
      <c r="V504" s="1">
        <f t="shared" si="159"/>
        <v>6487.6712328767135</v>
      </c>
      <c r="W504" s="1">
        <f t="shared" si="160"/>
        <v>3000</v>
      </c>
    </row>
    <row r="505" spans="1:23" x14ac:dyDescent="0.25">
      <c r="A505" s="2">
        <f t="shared" si="161"/>
        <v>49.300000000000431</v>
      </c>
      <c r="B505" s="7">
        <f t="shared" si="164"/>
        <v>23.68</v>
      </c>
      <c r="C505" s="7">
        <f t="shared" si="148"/>
        <v>1.8233609885348063</v>
      </c>
      <c r="D505" s="7">
        <f t="shared" si="149"/>
        <v>7.4361046193450111</v>
      </c>
      <c r="E505" s="7">
        <f t="shared" si="150"/>
        <v>1</v>
      </c>
      <c r="G505" s="4">
        <f t="shared" si="151"/>
        <v>4930.0000000000437</v>
      </c>
      <c r="H505" s="1">
        <f t="shared" si="162"/>
        <v>1.541385135135275</v>
      </c>
      <c r="I505" s="1">
        <f t="shared" si="163"/>
        <v>816.78945731138731</v>
      </c>
      <c r="J505" s="1">
        <f t="shared" si="152"/>
        <v>27.226315243712911</v>
      </c>
      <c r="K505" s="7">
        <f t="shared" si="153"/>
        <v>2.2377793350996913</v>
      </c>
      <c r="L505" s="4">
        <f t="shared" si="154"/>
        <v>6487.6712328767135</v>
      </c>
      <c r="M505" s="1">
        <f t="shared" si="155"/>
        <v>911.68049426740322</v>
      </c>
      <c r="N505" s="7">
        <f t="shared" si="156"/>
        <v>7.4361046193450111</v>
      </c>
      <c r="O505" s="1">
        <f t="shared" si="157"/>
        <v>3000</v>
      </c>
      <c r="P505" s="2">
        <f t="shared" si="158"/>
        <v>5.9146833162334556</v>
      </c>
      <c r="Q505" s="2">
        <f t="shared" si="165"/>
        <v>521.18595295924229</v>
      </c>
      <c r="S505" s="1">
        <f t="shared" si="146"/>
        <v>3000</v>
      </c>
      <c r="T505" s="1">
        <f t="shared" si="147"/>
        <v>6487.6712328767135</v>
      </c>
      <c r="V505" s="1">
        <f t="shared" si="159"/>
        <v>6487.6712328767135</v>
      </c>
      <c r="W505" s="1">
        <f t="shared" si="160"/>
        <v>3000</v>
      </c>
    </row>
    <row r="506" spans="1:23" x14ac:dyDescent="0.25">
      <c r="A506" s="2">
        <f t="shared" si="161"/>
        <v>49.400000000000432</v>
      </c>
      <c r="B506" s="7">
        <f t="shared" si="164"/>
        <v>23.68</v>
      </c>
      <c r="C506" s="7">
        <f t="shared" si="148"/>
        <v>1.8241743889104933</v>
      </c>
      <c r="D506" s="7">
        <f t="shared" si="149"/>
        <v>7.4812443796393016</v>
      </c>
      <c r="E506" s="7">
        <f t="shared" si="150"/>
        <v>1</v>
      </c>
      <c r="G506" s="4">
        <f t="shared" si="151"/>
        <v>4940.0000000000427</v>
      </c>
      <c r="H506" s="1">
        <f t="shared" si="162"/>
        <v>1.5413851351349948</v>
      </c>
      <c r="I506" s="1">
        <f t="shared" si="163"/>
        <v>818.3308424465223</v>
      </c>
      <c r="J506" s="1">
        <f t="shared" si="152"/>
        <v>27.27769474821741</v>
      </c>
      <c r="K506" s="7">
        <f t="shared" si="153"/>
        <v>2.2420023080726637</v>
      </c>
      <c r="L506" s="4">
        <f t="shared" si="154"/>
        <v>6487.6712328767135</v>
      </c>
      <c r="M506" s="1">
        <f t="shared" si="155"/>
        <v>912.08719445524662</v>
      </c>
      <c r="N506" s="7">
        <f t="shared" si="156"/>
        <v>7.4812443796393016</v>
      </c>
      <c r="O506" s="1">
        <f t="shared" si="157"/>
        <v>3000</v>
      </c>
      <c r="P506" s="2">
        <f t="shared" si="158"/>
        <v>5.917321853342532</v>
      </c>
      <c r="Q506" s="2">
        <f t="shared" si="165"/>
        <v>524.60556373096267</v>
      </c>
      <c r="S506" s="1">
        <f t="shared" si="146"/>
        <v>3000</v>
      </c>
      <c r="T506" s="1">
        <f t="shared" si="147"/>
        <v>6487.6712328767135</v>
      </c>
      <c r="V506" s="1">
        <f t="shared" si="159"/>
        <v>6487.6712328767135</v>
      </c>
      <c r="W506" s="1">
        <f t="shared" si="160"/>
        <v>3000</v>
      </c>
    </row>
    <row r="507" spans="1:23" x14ac:dyDescent="0.25">
      <c r="A507" s="2">
        <f t="shared" si="161"/>
        <v>49.500000000000433</v>
      </c>
      <c r="B507" s="7">
        <f t="shared" si="164"/>
        <v>23.68</v>
      </c>
      <c r="C507" s="7">
        <f t="shared" si="148"/>
        <v>1.8249881521436593</v>
      </c>
      <c r="D507" s="7">
        <f t="shared" si="149"/>
        <v>7.5266581540933908</v>
      </c>
      <c r="E507" s="7">
        <f t="shared" si="150"/>
        <v>1</v>
      </c>
      <c r="G507" s="4">
        <f t="shared" si="151"/>
        <v>4950.0000000000437</v>
      </c>
      <c r="H507" s="1">
        <f t="shared" si="162"/>
        <v>1.541385135135275</v>
      </c>
      <c r="I507" s="1">
        <f t="shared" si="163"/>
        <v>819.87222758165763</v>
      </c>
      <c r="J507" s="1">
        <f t="shared" si="152"/>
        <v>27.32907425272192</v>
      </c>
      <c r="K507" s="7">
        <f t="shared" si="153"/>
        <v>2.2462252810456373</v>
      </c>
      <c r="L507" s="4">
        <f t="shared" si="154"/>
        <v>6487.6712328767135</v>
      </c>
      <c r="M507" s="1">
        <f t="shared" si="155"/>
        <v>912.49407607182968</v>
      </c>
      <c r="N507" s="7">
        <f t="shared" si="156"/>
        <v>7.5266581540933908</v>
      </c>
      <c r="O507" s="1">
        <f t="shared" si="157"/>
        <v>3000</v>
      </c>
      <c r="P507" s="2">
        <f t="shared" si="158"/>
        <v>5.9199615675016251</v>
      </c>
      <c r="Q507" s="2">
        <f t="shared" si="165"/>
        <v>528.04930168283033</v>
      </c>
      <c r="S507" s="1">
        <f t="shared" si="146"/>
        <v>3000</v>
      </c>
      <c r="T507" s="1">
        <f t="shared" si="147"/>
        <v>6487.6712328767135</v>
      </c>
      <c r="V507" s="1">
        <f t="shared" si="159"/>
        <v>6487.6712328767135</v>
      </c>
      <c r="W507" s="1">
        <f t="shared" si="160"/>
        <v>3000</v>
      </c>
    </row>
    <row r="508" spans="1:23" x14ac:dyDescent="0.25">
      <c r="A508" s="2">
        <f t="shared" si="161"/>
        <v>49.600000000000435</v>
      </c>
      <c r="B508" s="7">
        <f t="shared" si="164"/>
        <v>23.68</v>
      </c>
      <c r="C508" s="7">
        <f t="shared" si="148"/>
        <v>1.8258022783961745</v>
      </c>
      <c r="D508" s="7">
        <f t="shared" si="149"/>
        <v>7.5723476060692256</v>
      </c>
      <c r="E508" s="7">
        <f t="shared" si="150"/>
        <v>1</v>
      </c>
      <c r="G508" s="4">
        <f t="shared" si="151"/>
        <v>4960.0000000000437</v>
      </c>
      <c r="H508" s="1">
        <f t="shared" si="162"/>
        <v>1.5413851351351349</v>
      </c>
      <c r="I508" s="1">
        <f t="shared" si="163"/>
        <v>821.41361271679273</v>
      </c>
      <c r="J508" s="1">
        <f t="shared" si="152"/>
        <v>27.380453757226423</v>
      </c>
      <c r="K508" s="7">
        <f t="shared" si="153"/>
        <v>2.2504482540186102</v>
      </c>
      <c r="L508" s="4">
        <f t="shared" si="154"/>
        <v>6487.6712328767135</v>
      </c>
      <c r="M508" s="1">
        <f t="shared" si="155"/>
        <v>912.90113919808721</v>
      </c>
      <c r="N508" s="7">
        <f t="shared" si="156"/>
        <v>7.5723476060692256</v>
      </c>
      <c r="O508" s="1">
        <f t="shared" si="157"/>
        <v>3000</v>
      </c>
      <c r="P508" s="2">
        <f t="shared" si="158"/>
        <v>5.9226024592358106</v>
      </c>
      <c r="Q508" s="2">
        <f t="shared" si="165"/>
        <v>531.51735932724023</v>
      </c>
      <c r="S508" s="1">
        <f t="shared" si="146"/>
        <v>3000</v>
      </c>
      <c r="T508" s="1">
        <f t="shared" si="147"/>
        <v>6487.6712328767135</v>
      </c>
      <c r="V508" s="1">
        <f t="shared" si="159"/>
        <v>6487.6712328767135</v>
      </c>
      <c r="W508" s="1">
        <f t="shared" si="160"/>
        <v>3000</v>
      </c>
    </row>
    <row r="509" spans="1:23" x14ac:dyDescent="0.25">
      <c r="A509" s="2">
        <f t="shared" si="161"/>
        <v>49.700000000000436</v>
      </c>
      <c r="B509" s="7">
        <f t="shared" si="164"/>
        <v>23.68</v>
      </c>
      <c r="C509" s="7">
        <f t="shared" si="148"/>
        <v>1.8266167678299816</v>
      </c>
      <c r="D509" s="7">
        <f t="shared" si="149"/>
        <v>7.6183144090259471</v>
      </c>
      <c r="E509" s="7">
        <f t="shared" si="150"/>
        <v>1</v>
      </c>
      <c r="G509" s="4">
        <f t="shared" si="151"/>
        <v>4970.0000000000446</v>
      </c>
      <c r="H509" s="1">
        <f t="shared" si="162"/>
        <v>1.541385135135275</v>
      </c>
      <c r="I509" s="1">
        <f t="shared" si="163"/>
        <v>822.95499785192806</v>
      </c>
      <c r="J509" s="1">
        <f t="shared" si="152"/>
        <v>27.431833261730937</v>
      </c>
      <c r="K509" s="7">
        <f t="shared" si="153"/>
        <v>2.2546712269915838</v>
      </c>
      <c r="L509" s="4">
        <f t="shared" si="154"/>
        <v>6487.6712328767135</v>
      </c>
      <c r="M509" s="1">
        <f t="shared" si="155"/>
        <v>913.30838391499083</v>
      </c>
      <c r="N509" s="7">
        <f t="shared" si="156"/>
        <v>7.6183144090259471</v>
      </c>
      <c r="O509" s="1">
        <f t="shared" si="157"/>
        <v>3000</v>
      </c>
      <c r="P509" s="2">
        <f t="shared" si="158"/>
        <v>5.9252445290704072</v>
      </c>
      <c r="Q509" s="2">
        <f t="shared" si="165"/>
        <v>535.00993100819517</v>
      </c>
      <c r="S509" s="1">
        <f t="shared" si="146"/>
        <v>3000</v>
      </c>
      <c r="T509" s="1">
        <f t="shared" si="147"/>
        <v>6487.6712328767135</v>
      </c>
      <c r="V509" s="1">
        <f t="shared" si="159"/>
        <v>6487.6712328767135</v>
      </c>
      <c r="W509" s="1">
        <f t="shared" si="160"/>
        <v>3000</v>
      </c>
    </row>
    <row r="510" spans="1:23" x14ac:dyDescent="0.25">
      <c r="A510" s="2">
        <f t="shared" si="161"/>
        <v>49.800000000000438</v>
      </c>
      <c r="B510" s="7">
        <f t="shared" si="164"/>
        <v>23.68</v>
      </c>
      <c r="C510" s="7">
        <f t="shared" si="148"/>
        <v>1.8274316206070957</v>
      </c>
      <c r="D510" s="7">
        <f t="shared" si="149"/>
        <v>7.6645602465811864</v>
      </c>
      <c r="E510" s="7">
        <f t="shared" si="150"/>
        <v>1</v>
      </c>
      <c r="G510" s="4">
        <f t="shared" si="151"/>
        <v>4980.0000000000437</v>
      </c>
      <c r="H510" s="1">
        <f t="shared" si="162"/>
        <v>1.5413851351349948</v>
      </c>
      <c r="I510" s="1">
        <f t="shared" si="163"/>
        <v>824.49638298706304</v>
      </c>
      <c r="J510" s="1">
        <f t="shared" si="152"/>
        <v>27.483212766235436</v>
      </c>
      <c r="K510" s="7">
        <f t="shared" si="153"/>
        <v>2.2588941999645562</v>
      </c>
      <c r="L510" s="4">
        <f t="shared" si="154"/>
        <v>6487.6712328767135</v>
      </c>
      <c r="M510" s="1">
        <f t="shared" si="155"/>
        <v>913.71581030354787</v>
      </c>
      <c r="N510" s="7">
        <f t="shared" si="156"/>
        <v>7.6645602465811864</v>
      </c>
      <c r="O510" s="1">
        <f t="shared" si="157"/>
        <v>3000</v>
      </c>
      <c r="P510" s="2">
        <f t="shared" si="158"/>
        <v>5.9278877775309633</v>
      </c>
      <c r="Q510" s="2">
        <f t="shared" si="165"/>
        <v>538.52721292264266</v>
      </c>
      <c r="S510" s="1">
        <f t="shared" si="146"/>
        <v>3000</v>
      </c>
      <c r="T510" s="1">
        <f t="shared" si="147"/>
        <v>6487.6712328767135</v>
      </c>
      <c r="V510" s="1">
        <f t="shared" si="159"/>
        <v>6487.6712328767135</v>
      </c>
      <c r="W510" s="1">
        <f t="shared" si="160"/>
        <v>3000</v>
      </c>
    </row>
    <row r="511" spans="1:23" x14ac:dyDescent="0.25">
      <c r="A511" s="2">
        <f t="shared" si="161"/>
        <v>49.900000000000439</v>
      </c>
      <c r="B511" s="7">
        <f t="shared" si="164"/>
        <v>23.68</v>
      </c>
      <c r="C511" s="7">
        <f t="shared" si="148"/>
        <v>1.8282468368896043</v>
      </c>
      <c r="D511" s="7">
        <f t="shared" si="149"/>
        <v>7.7110868125727094</v>
      </c>
      <c r="E511" s="7">
        <f t="shared" si="150"/>
        <v>1</v>
      </c>
      <c r="G511" s="4">
        <f t="shared" si="151"/>
        <v>4990.0000000000437</v>
      </c>
      <c r="H511" s="1">
        <f t="shared" si="162"/>
        <v>1.5413851351351349</v>
      </c>
      <c r="I511" s="1">
        <f t="shared" si="163"/>
        <v>826.03776812219814</v>
      </c>
      <c r="J511" s="1">
        <f t="shared" si="152"/>
        <v>27.534592270739939</v>
      </c>
      <c r="K511" s="7">
        <f t="shared" si="153"/>
        <v>2.263117172937529</v>
      </c>
      <c r="L511" s="4">
        <f t="shared" si="154"/>
        <v>6487.6712328767135</v>
      </c>
      <c r="M511" s="1">
        <f t="shared" si="155"/>
        <v>914.12341844480216</v>
      </c>
      <c r="N511" s="7">
        <f t="shared" si="156"/>
        <v>7.7110868125727094</v>
      </c>
      <c r="O511" s="1">
        <f t="shared" si="157"/>
        <v>3000</v>
      </c>
      <c r="P511" s="2">
        <f t="shared" si="158"/>
        <v>5.9305322051432654</v>
      </c>
      <c r="Q511" s="2">
        <f t="shared" si="165"/>
        <v>542.06940314211261</v>
      </c>
      <c r="S511" s="1">
        <f t="shared" si="146"/>
        <v>3000</v>
      </c>
      <c r="T511" s="1">
        <f t="shared" si="147"/>
        <v>6487.6712328767135</v>
      </c>
      <c r="V511" s="1">
        <f t="shared" si="159"/>
        <v>6487.6712328767135</v>
      </c>
      <c r="W511" s="1">
        <f t="shared" si="160"/>
        <v>3000</v>
      </c>
    </row>
    <row r="512" spans="1:23" x14ac:dyDescent="0.25">
      <c r="A512" s="2">
        <f t="shared" si="161"/>
        <v>50.000000000000441</v>
      </c>
      <c r="B512" s="7">
        <f t="shared" si="164"/>
        <v>23.68</v>
      </c>
      <c r="C512" s="7">
        <f t="shared" si="148"/>
        <v>1.8290624168396667</v>
      </c>
      <c r="D512" s="7">
        <f t="shared" si="149"/>
        <v>7.7578958111204814</v>
      </c>
      <c r="E512" s="7">
        <f t="shared" si="150"/>
        <v>1</v>
      </c>
      <c r="G512" s="4">
        <f t="shared" si="151"/>
        <v>5000.0000000000446</v>
      </c>
      <c r="H512" s="1">
        <f t="shared" si="162"/>
        <v>1.541385135135275</v>
      </c>
      <c r="I512" s="1">
        <f t="shared" si="163"/>
        <v>827.57915325733347</v>
      </c>
      <c r="J512" s="1">
        <f t="shared" si="152"/>
        <v>27.585971775244449</v>
      </c>
      <c r="K512" s="7">
        <f t="shared" si="153"/>
        <v>2.2673401459105027</v>
      </c>
      <c r="L512" s="4">
        <f t="shared" si="154"/>
        <v>6487.6712328767135</v>
      </c>
      <c r="M512" s="1">
        <f t="shared" si="155"/>
        <v>914.53120841983332</v>
      </c>
      <c r="N512" s="7">
        <f t="shared" si="156"/>
        <v>7.7578958111204814</v>
      </c>
      <c r="O512" s="1">
        <f t="shared" si="157"/>
        <v>3000</v>
      </c>
      <c r="P512" s="2">
        <f t="shared" si="158"/>
        <v>5.9331778124333301</v>
      </c>
      <c r="Q512" s="2">
        <f t="shared" si="165"/>
        <v>545.63670163466247</v>
      </c>
      <c r="S512" s="1">
        <f t="shared" si="146"/>
        <v>3000</v>
      </c>
      <c r="T512" s="1">
        <f t="shared" si="147"/>
        <v>6487.6712328767135</v>
      </c>
      <c r="V512" s="1">
        <f t="shared" si="159"/>
        <v>6487.6712328767135</v>
      </c>
      <c r="W512" s="1">
        <f t="shared" si="160"/>
        <v>3000</v>
      </c>
    </row>
    <row r="513" spans="1:23" x14ac:dyDescent="0.25">
      <c r="A513" s="2">
        <f t="shared" si="161"/>
        <v>50.100000000000442</v>
      </c>
      <c r="B513" s="7">
        <f t="shared" si="164"/>
        <v>23.68</v>
      </c>
      <c r="C513" s="7">
        <f t="shared" si="148"/>
        <v>1.8298783606195148</v>
      </c>
      <c r="D513" s="7">
        <f t="shared" si="149"/>
        <v>7.8049889566890718</v>
      </c>
      <c r="E513" s="7">
        <f t="shared" si="150"/>
        <v>1</v>
      </c>
      <c r="G513" s="4">
        <f t="shared" si="151"/>
        <v>5010.0000000000446</v>
      </c>
      <c r="H513" s="1">
        <f t="shared" si="162"/>
        <v>1.5413851351351349</v>
      </c>
      <c r="I513" s="1">
        <f t="shared" si="163"/>
        <v>829.12053839246857</v>
      </c>
      <c r="J513" s="1">
        <f t="shared" si="152"/>
        <v>27.637351279748952</v>
      </c>
      <c r="K513" s="7">
        <f t="shared" si="153"/>
        <v>2.2715631188834755</v>
      </c>
      <c r="L513" s="4">
        <f t="shared" si="154"/>
        <v>6487.6712328767135</v>
      </c>
      <c r="M513" s="1">
        <f t="shared" si="155"/>
        <v>914.93918030975738</v>
      </c>
      <c r="N513" s="7">
        <f t="shared" si="156"/>
        <v>7.8049889566890718</v>
      </c>
      <c r="O513" s="1">
        <f t="shared" si="157"/>
        <v>3000</v>
      </c>
      <c r="P513" s="2">
        <f t="shared" si="158"/>
        <v>5.9358245999274128</v>
      </c>
      <c r="Q513" s="2">
        <f t="shared" si="165"/>
        <v>549.2293102871314</v>
      </c>
      <c r="S513" s="1">
        <f t="shared" si="146"/>
        <v>3000</v>
      </c>
      <c r="T513" s="1">
        <f t="shared" si="147"/>
        <v>6487.6712328767135</v>
      </c>
      <c r="V513" s="1">
        <f t="shared" si="159"/>
        <v>6487.6712328767135</v>
      </c>
      <c r="W513" s="1">
        <f t="shared" si="160"/>
        <v>3000</v>
      </c>
    </row>
    <row r="514" spans="1:23" x14ac:dyDescent="0.25">
      <c r="A514" s="2">
        <f t="shared" si="161"/>
        <v>50.200000000000443</v>
      </c>
      <c r="B514" s="7">
        <f t="shared" si="164"/>
        <v>23.68</v>
      </c>
      <c r="C514" s="7">
        <f t="shared" si="148"/>
        <v>1.8306946683914529</v>
      </c>
      <c r="D514" s="7">
        <f t="shared" si="149"/>
        <v>7.8523679741504422</v>
      </c>
      <c r="E514" s="7">
        <f t="shared" si="150"/>
        <v>1</v>
      </c>
      <c r="G514" s="4">
        <f t="shared" si="151"/>
        <v>5020.0000000000437</v>
      </c>
      <c r="H514" s="1">
        <f t="shared" si="162"/>
        <v>1.5413851351349948</v>
      </c>
      <c r="I514" s="1">
        <f t="shared" si="163"/>
        <v>830.66192352760356</v>
      </c>
      <c r="J514" s="1">
        <f t="shared" si="152"/>
        <v>27.688730784253451</v>
      </c>
      <c r="K514" s="7">
        <f t="shared" si="153"/>
        <v>2.2757860918564483</v>
      </c>
      <c r="L514" s="4">
        <f t="shared" si="154"/>
        <v>6487.6712328767135</v>
      </c>
      <c r="M514" s="1">
        <f t="shared" si="155"/>
        <v>915.34733419572649</v>
      </c>
      <c r="N514" s="7">
        <f t="shared" si="156"/>
        <v>7.8523679741504422</v>
      </c>
      <c r="O514" s="1">
        <f t="shared" si="157"/>
        <v>3000</v>
      </c>
      <c r="P514" s="2">
        <f t="shared" si="158"/>
        <v>5.9384725681520019</v>
      </c>
      <c r="Q514" s="2">
        <f t="shared" si="165"/>
        <v>552.84743292771066</v>
      </c>
      <c r="S514" s="1">
        <f t="shared" si="146"/>
        <v>3000</v>
      </c>
      <c r="T514" s="1">
        <f t="shared" si="147"/>
        <v>6487.6712328767135</v>
      </c>
      <c r="V514" s="1">
        <f t="shared" si="159"/>
        <v>6487.6712328767135</v>
      </c>
      <c r="W514" s="1">
        <f t="shared" si="160"/>
        <v>3000</v>
      </c>
    </row>
    <row r="515" spans="1:23" x14ac:dyDescent="0.25">
      <c r="A515" s="2">
        <f t="shared" si="161"/>
        <v>50.300000000000445</v>
      </c>
      <c r="B515" s="7">
        <f t="shared" si="164"/>
        <v>23.68</v>
      </c>
      <c r="C515" s="7">
        <f t="shared" si="148"/>
        <v>1.8315113403178576</v>
      </c>
      <c r="D515" s="7">
        <f t="shared" si="149"/>
        <v>7.9000345988471414</v>
      </c>
      <c r="E515" s="7">
        <f t="shared" si="150"/>
        <v>1</v>
      </c>
      <c r="G515" s="4">
        <f t="shared" si="151"/>
        <v>5030.0000000000446</v>
      </c>
      <c r="H515" s="1">
        <f t="shared" si="162"/>
        <v>1.541385135135275</v>
      </c>
      <c r="I515" s="1">
        <f t="shared" si="163"/>
        <v>832.20330866273889</v>
      </c>
      <c r="J515" s="1">
        <f t="shared" si="152"/>
        <v>27.740110288757965</v>
      </c>
      <c r="K515" s="7">
        <f t="shared" si="153"/>
        <v>2.2800090648294216</v>
      </c>
      <c r="L515" s="4">
        <f t="shared" si="154"/>
        <v>6487.6712328767135</v>
      </c>
      <c r="M515" s="1">
        <f t="shared" si="155"/>
        <v>915.75567015892875</v>
      </c>
      <c r="N515" s="7">
        <f t="shared" si="156"/>
        <v>7.9000345988471414</v>
      </c>
      <c r="O515" s="1">
        <f t="shared" si="157"/>
        <v>3000</v>
      </c>
      <c r="P515" s="2">
        <f t="shared" si="158"/>
        <v>5.941121717633818</v>
      </c>
      <c r="Q515" s="2">
        <f t="shared" si="165"/>
        <v>556.49127534883712</v>
      </c>
      <c r="S515" s="1">
        <f t="shared" si="146"/>
        <v>3000</v>
      </c>
      <c r="T515" s="1">
        <f t="shared" si="147"/>
        <v>6487.6712328767135</v>
      </c>
      <c r="V515" s="1">
        <f t="shared" si="159"/>
        <v>6487.6712328767135</v>
      </c>
      <c r="W515" s="1">
        <f t="shared" si="160"/>
        <v>3000</v>
      </c>
    </row>
    <row r="516" spans="1:23" x14ac:dyDescent="0.25">
      <c r="A516" s="2">
        <f t="shared" si="161"/>
        <v>50.400000000000446</v>
      </c>
      <c r="B516" s="7">
        <f t="shared" si="164"/>
        <v>23.68</v>
      </c>
      <c r="C516" s="7">
        <f t="shared" si="148"/>
        <v>1.8323283765611782</v>
      </c>
      <c r="D516" s="7">
        <f t="shared" si="149"/>
        <v>7.9479905766558518</v>
      </c>
      <c r="E516" s="7">
        <f t="shared" si="150"/>
        <v>1</v>
      </c>
      <c r="G516" s="4">
        <f t="shared" si="151"/>
        <v>5040.0000000000446</v>
      </c>
      <c r="H516" s="1">
        <f t="shared" si="162"/>
        <v>1.5413851351351349</v>
      </c>
      <c r="I516" s="1">
        <f t="shared" si="163"/>
        <v>833.74469379787399</v>
      </c>
      <c r="J516" s="1">
        <f t="shared" si="152"/>
        <v>27.791489793262468</v>
      </c>
      <c r="K516" s="7">
        <f t="shared" si="153"/>
        <v>2.2842320378023944</v>
      </c>
      <c r="L516" s="4">
        <f t="shared" si="154"/>
        <v>6487.6712328767135</v>
      </c>
      <c r="M516" s="1">
        <f t="shared" si="155"/>
        <v>916.16418828058909</v>
      </c>
      <c r="N516" s="7">
        <f t="shared" si="156"/>
        <v>7.9479905766558518</v>
      </c>
      <c r="O516" s="1">
        <f t="shared" si="157"/>
        <v>3000</v>
      </c>
      <c r="P516" s="2">
        <f t="shared" si="158"/>
        <v>5.9437720488998229</v>
      </c>
      <c r="Q516" s="2">
        <f t="shared" si="165"/>
        <v>560.16104533041164</v>
      </c>
      <c r="S516" s="1">
        <f t="shared" si="146"/>
        <v>3000</v>
      </c>
      <c r="T516" s="1">
        <f t="shared" si="147"/>
        <v>6487.6712328767135</v>
      </c>
      <c r="V516" s="1">
        <f t="shared" si="159"/>
        <v>6487.6712328767135</v>
      </c>
      <c r="W516" s="1">
        <f t="shared" si="160"/>
        <v>3000</v>
      </c>
    </row>
    <row r="517" spans="1:23" x14ac:dyDescent="0.25">
      <c r="A517" s="2">
        <f t="shared" si="161"/>
        <v>50.500000000000448</v>
      </c>
      <c r="B517" s="7">
        <f t="shared" si="164"/>
        <v>23.68</v>
      </c>
      <c r="C517" s="7">
        <f t="shared" si="148"/>
        <v>1.8331457772839359</v>
      </c>
      <c r="D517" s="7">
        <f t="shared" si="149"/>
        <v>7.9962376640513435</v>
      </c>
      <c r="E517" s="7">
        <f t="shared" si="150"/>
        <v>1</v>
      </c>
      <c r="G517" s="4">
        <f t="shared" si="151"/>
        <v>5050.0000000000446</v>
      </c>
      <c r="H517" s="1">
        <f t="shared" si="162"/>
        <v>1.5413851351351349</v>
      </c>
      <c r="I517" s="1">
        <f t="shared" si="163"/>
        <v>835.28607893300909</v>
      </c>
      <c r="J517" s="1">
        <f t="shared" si="152"/>
        <v>27.842869297766971</v>
      </c>
      <c r="K517" s="7">
        <f t="shared" si="153"/>
        <v>2.2884550107753672</v>
      </c>
      <c r="L517" s="4">
        <f t="shared" si="154"/>
        <v>6487.6712328767135</v>
      </c>
      <c r="M517" s="1">
        <f t="shared" si="155"/>
        <v>916.57288864196801</v>
      </c>
      <c r="N517" s="7">
        <f t="shared" si="156"/>
        <v>7.9962376640513435</v>
      </c>
      <c r="O517" s="1">
        <f t="shared" si="157"/>
        <v>3000</v>
      </c>
      <c r="P517" s="2">
        <f t="shared" si="158"/>
        <v>5.9464235624772064</v>
      </c>
      <c r="Q517" s="2">
        <f t="shared" si="165"/>
        <v>563.85695266335097</v>
      </c>
      <c r="S517" s="1">
        <f t="shared" si="146"/>
        <v>3000</v>
      </c>
      <c r="T517" s="1">
        <f t="shared" si="147"/>
        <v>6487.6712328767135</v>
      </c>
      <c r="V517" s="1">
        <f t="shared" si="159"/>
        <v>6487.6712328767135</v>
      </c>
      <c r="W517" s="1">
        <f t="shared" si="160"/>
        <v>3000</v>
      </c>
    </row>
    <row r="518" spans="1:23" x14ac:dyDescent="0.25">
      <c r="A518" s="2">
        <f t="shared" si="161"/>
        <v>50.600000000000449</v>
      </c>
      <c r="B518" s="7">
        <f t="shared" si="164"/>
        <v>23.68</v>
      </c>
      <c r="C518" s="7">
        <f t="shared" si="148"/>
        <v>1.8339635426487255</v>
      </c>
      <c r="D518" s="7">
        <f t="shared" si="149"/>
        <v>8.0447776281707899</v>
      </c>
      <c r="E518" s="7">
        <f t="shared" si="150"/>
        <v>1</v>
      </c>
      <c r="G518" s="4">
        <f t="shared" si="151"/>
        <v>5060.0000000000446</v>
      </c>
      <c r="H518" s="1">
        <f t="shared" si="162"/>
        <v>1.5413851351351349</v>
      </c>
      <c r="I518" s="1">
        <f t="shared" si="163"/>
        <v>836.8274640681442</v>
      </c>
      <c r="J518" s="1">
        <f t="shared" si="152"/>
        <v>27.894248802271473</v>
      </c>
      <c r="K518" s="7">
        <f t="shared" si="153"/>
        <v>2.2926779837483404</v>
      </c>
      <c r="L518" s="4">
        <f t="shared" si="154"/>
        <v>6487.6712328767135</v>
      </c>
      <c r="M518" s="1">
        <f t="shared" si="155"/>
        <v>916.98177132436274</v>
      </c>
      <c r="N518" s="7">
        <f t="shared" si="156"/>
        <v>8.0447776281707899</v>
      </c>
      <c r="O518" s="1">
        <f t="shared" si="157"/>
        <v>3000</v>
      </c>
      <c r="P518" s="2">
        <f t="shared" si="158"/>
        <v>5.9490762588934016</v>
      </c>
      <c r="Q518" s="2">
        <f t="shared" si="165"/>
        <v>567.5792091734744</v>
      </c>
      <c r="S518" s="1">
        <f t="shared" si="146"/>
        <v>3000</v>
      </c>
      <c r="T518" s="1">
        <f t="shared" si="147"/>
        <v>6487.6712328767135</v>
      </c>
      <c r="V518" s="1">
        <f t="shared" si="159"/>
        <v>6487.6712328767135</v>
      </c>
      <c r="W518" s="1">
        <f t="shared" si="160"/>
        <v>3000</v>
      </c>
    </row>
    <row r="519" spans="1:23" x14ac:dyDescent="0.25">
      <c r="A519" s="2">
        <f t="shared" si="161"/>
        <v>50.70000000000045</v>
      </c>
      <c r="B519" s="7">
        <f t="shared" si="164"/>
        <v>23.68</v>
      </c>
      <c r="C519" s="7">
        <f t="shared" si="148"/>
        <v>1.8347816728182131</v>
      </c>
      <c r="D519" s="7">
        <f t="shared" si="149"/>
        <v>8.0936122468785179</v>
      </c>
      <c r="E519" s="7">
        <f t="shared" si="150"/>
        <v>1</v>
      </c>
      <c r="G519" s="4">
        <f t="shared" si="151"/>
        <v>5070.0000000000455</v>
      </c>
      <c r="H519" s="1">
        <f t="shared" si="162"/>
        <v>1.541385135135275</v>
      </c>
      <c r="I519" s="1">
        <f t="shared" si="163"/>
        <v>838.36884920327952</v>
      </c>
      <c r="J519" s="1">
        <f t="shared" si="152"/>
        <v>27.945628306775983</v>
      </c>
      <c r="K519" s="7">
        <f t="shared" si="153"/>
        <v>2.2969009567213137</v>
      </c>
      <c r="L519" s="4">
        <f t="shared" si="154"/>
        <v>6487.6712328767135</v>
      </c>
      <c r="M519" s="1">
        <f t="shared" si="155"/>
        <v>917.39083640910656</v>
      </c>
      <c r="N519" s="7">
        <f t="shared" si="156"/>
        <v>8.0936122468785179</v>
      </c>
      <c r="O519" s="1">
        <f t="shared" si="157"/>
        <v>3000</v>
      </c>
      <c r="P519" s="2">
        <f t="shared" si="158"/>
        <v>5.9517301386760675</v>
      </c>
      <c r="Q519" s="2">
        <f t="shared" si="165"/>
        <v>571.32802874573906</v>
      </c>
      <c r="S519" s="1">
        <f t="shared" si="146"/>
        <v>3000</v>
      </c>
      <c r="T519" s="1">
        <f t="shared" si="147"/>
        <v>6487.6712328767135</v>
      </c>
      <c r="V519" s="1">
        <f t="shared" si="159"/>
        <v>6487.6712328767135</v>
      </c>
      <c r="W519" s="1">
        <f t="shared" si="160"/>
        <v>3000</v>
      </c>
    </row>
    <row r="520" spans="1:23" x14ac:dyDescent="0.25">
      <c r="A520" s="2">
        <f t="shared" si="161"/>
        <v>50.800000000000452</v>
      </c>
      <c r="B520" s="7">
        <f t="shared" si="164"/>
        <v>23.68</v>
      </c>
      <c r="C520" s="7">
        <f t="shared" si="148"/>
        <v>1.8356001679551377</v>
      </c>
      <c r="D520" s="7">
        <f t="shared" si="149"/>
        <v>8.1427433088311183</v>
      </c>
      <c r="E520" s="7">
        <f t="shared" si="150"/>
        <v>1</v>
      </c>
      <c r="G520" s="4">
        <f t="shared" si="151"/>
        <v>5080.0000000000455</v>
      </c>
      <c r="H520" s="1">
        <f t="shared" si="162"/>
        <v>1.5413851351351349</v>
      </c>
      <c r="I520" s="1">
        <f t="shared" si="163"/>
        <v>839.91023433841463</v>
      </c>
      <c r="J520" s="1">
        <f t="shared" si="152"/>
        <v>27.997007811280486</v>
      </c>
      <c r="K520" s="7">
        <f t="shared" si="153"/>
        <v>2.3011239296942865</v>
      </c>
      <c r="L520" s="4">
        <f t="shared" si="154"/>
        <v>6487.6712328767135</v>
      </c>
      <c r="M520" s="1">
        <f t="shared" si="155"/>
        <v>917.80008397756887</v>
      </c>
      <c r="N520" s="7">
        <f t="shared" si="156"/>
        <v>8.1427433088311183</v>
      </c>
      <c r="O520" s="1">
        <f t="shared" si="157"/>
        <v>3000</v>
      </c>
      <c r="P520" s="2">
        <f t="shared" si="158"/>
        <v>5.9543852023531061</v>
      </c>
      <c r="Q520" s="2">
        <f t="shared" si="165"/>
        <v>575.10362734882108</v>
      </c>
      <c r="S520" s="1">
        <f t="shared" si="146"/>
        <v>3000</v>
      </c>
      <c r="T520" s="1">
        <f t="shared" si="147"/>
        <v>6487.6712328767135</v>
      </c>
      <c r="V520" s="1">
        <f t="shared" si="159"/>
        <v>6487.6712328767135</v>
      </c>
      <c r="W520" s="1">
        <f t="shared" si="160"/>
        <v>3000</v>
      </c>
    </row>
    <row r="521" spans="1:23" x14ac:dyDescent="0.25">
      <c r="A521" s="2">
        <f t="shared" si="161"/>
        <v>50.900000000000453</v>
      </c>
      <c r="B521" s="7">
        <f t="shared" si="164"/>
        <v>23.68</v>
      </c>
      <c r="C521" s="7">
        <f t="shared" si="148"/>
        <v>1.8364190282223118</v>
      </c>
      <c r="D521" s="7">
        <f t="shared" si="149"/>
        <v>8.1921726135429385</v>
      </c>
      <c r="E521" s="7">
        <f t="shared" si="150"/>
        <v>1</v>
      </c>
      <c r="G521" s="4">
        <f t="shared" si="151"/>
        <v>5090.0000000000464</v>
      </c>
      <c r="H521" s="1">
        <f t="shared" si="162"/>
        <v>1.541385135135275</v>
      </c>
      <c r="I521" s="1">
        <f t="shared" si="163"/>
        <v>841.45161947354995</v>
      </c>
      <c r="J521" s="1">
        <f t="shared" si="152"/>
        <v>28.048387315785</v>
      </c>
      <c r="K521" s="7">
        <f t="shared" si="153"/>
        <v>2.3053469026672602</v>
      </c>
      <c r="L521" s="4">
        <f t="shared" si="154"/>
        <v>6487.6712328767135</v>
      </c>
      <c r="M521" s="1">
        <f t="shared" si="155"/>
        <v>918.20951411115595</v>
      </c>
      <c r="N521" s="7">
        <f t="shared" si="156"/>
        <v>8.1921726135429385</v>
      </c>
      <c r="O521" s="1">
        <f t="shared" si="157"/>
        <v>3000</v>
      </c>
      <c r="P521" s="2">
        <f t="shared" si="158"/>
        <v>5.9570414504526505</v>
      </c>
      <c r="Q521" s="2">
        <f t="shared" si="165"/>
        <v>578.90622306005093</v>
      </c>
      <c r="S521" s="1">
        <f t="shared" si="146"/>
        <v>3000</v>
      </c>
      <c r="T521" s="1">
        <f t="shared" si="147"/>
        <v>6487.6712328767135</v>
      </c>
      <c r="V521" s="1">
        <f t="shared" si="159"/>
        <v>6487.6712328767135</v>
      </c>
      <c r="W521" s="1">
        <f t="shared" si="160"/>
        <v>3000</v>
      </c>
    </row>
    <row r="522" spans="1:23" x14ac:dyDescent="0.25">
      <c r="A522" s="2">
        <f t="shared" si="161"/>
        <v>51.000000000000455</v>
      </c>
      <c r="B522" s="7">
        <f t="shared" si="164"/>
        <v>23.68</v>
      </c>
      <c r="C522" s="7">
        <f t="shared" si="148"/>
        <v>1.8372382537826191</v>
      </c>
      <c r="D522" s="7">
        <f t="shared" si="149"/>
        <v>8.2419019714520196</v>
      </c>
      <c r="E522" s="7">
        <f t="shared" si="150"/>
        <v>1</v>
      </c>
      <c r="G522" s="4">
        <f t="shared" si="151"/>
        <v>5100.0000000000455</v>
      </c>
      <c r="H522" s="1">
        <f t="shared" si="162"/>
        <v>1.5413851351349948</v>
      </c>
      <c r="I522" s="1">
        <f t="shared" si="163"/>
        <v>842.99300460868494</v>
      </c>
      <c r="J522" s="1">
        <f t="shared" si="152"/>
        <v>28.099766820289499</v>
      </c>
      <c r="K522" s="7">
        <f t="shared" si="153"/>
        <v>2.3095698756402325</v>
      </c>
      <c r="L522" s="4">
        <f t="shared" si="154"/>
        <v>6487.6712328767135</v>
      </c>
      <c r="M522" s="1">
        <f t="shared" si="155"/>
        <v>918.61912689130952</v>
      </c>
      <c r="N522" s="7">
        <f t="shared" si="156"/>
        <v>8.2419019714520196</v>
      </c>
      <c r="O522" s="1">
        <f t="shared" si="157"/>
        <v>3000</v>
      </c>
      <c r="P522" s="2">
        <f t="shared" si="158"/>
        <v>5.959698883503072</v>
      </c>
      <c r="Q522" s="2">
        <f t="shared" si="165"/>
        <v>582.73603609071324</v>
      </c>
      <c r="S522" s="1">
        <f t="shared" si="146"/>
        <v>3000</v>
      </c>
      <c r="T522" s="1">
        <f t="shared" si="147"/>
        <v>6487.6712328767135</v>
      </c>
      <c r="V522" s="1">
        <f t="shared" si="159"/>
        <v>6487.6712328767135</v>
      </c>
      <c r="W522" s="1">
        <f t="shared" si="160"/>
        <v>3000</v>
      </c>
    </row>
    <row r="523" spans="1:23" x14ac:dyDescent="0.25">
      <c r="A523" s="2">
        <f t="shared" si="161"/>
        <v>51.100000000000456</v>
      </c>
      <c r="B523" s="7">
        <f t="shared" si="164"/>
        <v>23.68</v>
      </c>
      <c r="C523" s="7">
        <f t="shared" si="148"/>
        <v>1.838057844799017</v>
      </c>
      <c r="D523" s="7">
        <f t="shared" si="149"/>
        <v>8.291933203986396</v>
      </c>
      <c r="E523" s="7">
        <f t="shared" si="150"/>
        <v>1</v>
      </c>
      <c r="G523" s="4">
        <f t="shared" si="151"/>
        <v>5110.0000000000455</v>
      </c>
      <c r="H523" s="1">
        <f t="shared" si="162"/>
        <v>1.5413851351351349</v>
      </c>
      <c r="I523" s="1">
        <f t="shared" si="163"/>
        <v>844.53438974382004</v>
      </c>
      <c r="J523" s="1">
        <f t="shared" si="152"/>
        <v>28.151146324794002</v>
      </c>
      <c r="K523" s="7">
        <f t="shared" si="153"/>
        <v>2.3137928486132058</v>
      </c>
      <c r="L523" s="4">
        <f t="shared" si="154"/>
        <v>6487.6712328767135</v>
      </c>
      <c r="M523" s="1">
        <f t="shared" si="155"/>
        <v>919.02892239950847</v>
      </c>
      <c r="N523" s="7">
        <f t="shared" si="156"/>
        <v>8.291933203986396</v>
      </c>
      <c r="O523" s="1">
        <f t="shared" si="157"/>
        <v>3000</v>
      </c>
      <c r="P523" s="2">
        <f t="shared" si="158"/>
        <v>5.9623575020329769</v>
      </c>
      <c r="Q523" s="2">
        <f t="shared" si="165"/>
        <v>586.593288811712</v>
      </c>
      <c r="S523" s="1">
        <f t="shared" si="146"/>
        <v>3000</v>
      </c>
      <c r="T523" s="1">
        <f t="shared" si="147"/>
        <v>6487.6712328767135</v>
      </c>
      <c r="V523" s="1">
        <f t="shared" si="159"/>
        <v>6487.6712328767135</v>
      </c>
      <c r="W523" s="1">
        <f t="shared" si="160"/>
        <v>3000</v>
      </c>
    </row>
    <row r="524" spans="1:23" x14ac:dyDescent="0.25">
      <c r="A524" s="2">
        <f t="shared" si="161"/>
        <v>51.200000000000458</v>
      </c>
      <c r="B524" s="7">
        <f t="shared" si="164"/>
        <v>23.68</v>
      </c>
      <c r="C524" s="7">
        <f t="shared" si="148"/>
        <v>1.8388778014345351</v>
      </c>
      <c r="D524" s="7">
        <f t="shared" si="149"/>
        <v>8.3422681436308022</v>
      </c>
      <c r="E524" s="7">
        <f t="shared" si="150"/>
        <v>1</v>
      </c>
      <c r="G524" s="4">
        <f t="shared" si="151"/>
        <v>5120.0000000000455</v>
      </c>
      <c r="H524" s="1">
        <f t="shared" si="162"/>
        <v>1.5413851351351349</v>
      </c>
      <c r="I524" s="1">
        <f t="shared" si="163"/>
        <v>846.07577487895514</v>
      </c>
      <c r="J524" s="1">
        <f t="shared" si="152"/>
        <v>28.202525829298505</v>
      </c>
      <c r="K524" s="7">
        <f t="shared" si="153"/>
        <v>2.3180158215861786</v>
      </c>
      <c r="L524" s="4">
        <f t="shared" si="154"/>
        <v>6487.6712328767135</v>
      </c>
      <c r="M524" s="1">
        <f t="shared" si="155"/>
        <v>919.43890071726753</v>
      </c>
      <c r="N524" s="7">
        <f t="shared" si="156"/>
        <v>8.3422681436308022</v>
      </c>
      <c r="O524" s="1">
        <f t="shared" si="157"/>
        <v>3000</v>
      </c>
      <c r="P524" s="2">
        <f t="shared" si="158"/>
        <v>5.9650173065712053</v>
      </c>
      <c r="Q524" s="2">
        <f t="shared" si="165"/>
        <v>590.47820577960886</v>
      </c>
      <c r="S524" s="1">
        <f t="shared" ref="S524:S587" si="166">E524*$H$3</f>
        <v>3000</v>
      </c>
      <c r="T524" s="1">
        <f t="shared" ref="T524:T587" si="167">B524/100*$H$2/365*1000000</f>
        <v>6487.6712328767135</v>
      </c>
      <c r="V524" s="1">
        <f t="shared" si="159"/>
        <v>6487.6712328767135</v>
      </c>
      <c r="W524" s="1">
        <f t="shared" si="160"/>
        <v>3000</v>
      </c>
    </row>
    <row r="525" spans="1:23" x14ac:dyDescent="0.25">
      <c r="A525" s="2">
        <f t="shared" si="161"/>
        <v>51.300000000000459</v>
      </c>
      <c r="B525" s="7">
        <f t="shared" si="164"/>
        <v>23.68</v>
      </c>
      <c r="C525" s="7">
        <f t="shared" ref="C525:C588" si="168">IF($C$5&lt;$C$7,IF(A525&lt;=$C$2,$C$3*EXP(A525*$C$4),IF(A525&lt;=$C$7,$C$6,IF($C$8*EXP(A525*$C$9)&gt;$C$6,$C$6,$C$8*EXP(A525*$C$9)))),IF(A525&lt;=$C$2,$C$3*EXP(A525*$C$4),IF(A525&lt;=$C$5,$C$6,IF($C$8*EXP(A525*$C$9)&gt;$C$6,$C$6,$C$8*EXP(A525*$C$9)))))</f>
        <v>1.8396981238522763</v>
      </c>
      <c r="D525" s="7">
        <f t="shared" ref="D525:D588" si="169">IF(IF($D$5&lt;$D$7,IF(A525&lt;=$D$2,$D$3*EXP(A525*$D$4),IF(A525&lt;=$D$7,$D$6,IF($D$8*EXP(A525*$D$9)&gt;$D$6,$D$6,$D$8*EXP(A525*$D$9)))),IF(A525&lt;=$D$2,$D$3*EXP(A525*$D$4),IF(A525&lt;=$D$5,$D$6,IF($D$8*EXP(A525*$D$9)&gt;$D$6,$D$6,$D$8*EXP(A525*$D$9)))))&lt;=100,IF($D$5&lt;$D$7,IF(A525&lt;=$D$2,$D$3*EXP(A525*$D$4),IF(A525&lt;=$D$7,$D$6,IF($D$8*EXP(A525*$D$9)&gt;$D$6,$D$6,$D$8*EXP(A525*$D$9)))),IF(A525&lt;=$D$2,$D$3*EXP(A525*$D$4),IF(A525&lt;=$D$5,$D$6,IF($D$8*EXP(A525*$D$9)&gt;$D$6,$D$6,$D$8*EXP(A525*$D$9))))),100)</f>
        <v>8.3929086339937999</v>
      </c>
      <c r="E525" s="7">
        <f t="shared" ref="E525:E588" si="170">IF($E$5&lt;$E$7,IF(A525&lt;=$E$2,$E$3*EXP(A525*$E$4),IF(A525&lt;=$E$7,$E$6,IF($E$8*EXP(A525*$E$9)&gt;$E$6,$E$6,$E$8*EXP(A525*$E$9)))),IF(A525&lt;=$E$2,$E$3*EXP(A525*$E$4),IF(A525&lt;=$E$5,$E$6,IF($E$8*EXP(A525*$E$9)&gt;$E$6,$E$6,$E$8*EXP(A525*$E$9)))))</f>
        <v>1</v>
      </c>
      <c r="G525" s="4">
        <f t="shared" ref="G525:G588" si="171">A525/100*$H$2*1000</f>
        <v>5130.0000000000455</v>
      </c>
      <c r="H525" s="1">
        <f t="shared" si="162"/>
        <v>1.5413851351351349</v>
      </c>
      <c r="I525" s="1">
        <f t="shared" si="163"/>
        <v>847.61716001409025</v>
      </c>
      <c r="J525" s="1">
        <f t="shared" ref="J525:J588" si="172">I525/30</f>
        <v>28.253905333803008</v>
      </c>
      <c r="K525" s="7">
        <f t="shared" ref="K525:K588" si="173">I525/365</f>
        <v>2.3222387945591514</v>
      </c>
      <c r="L525" s="4">
        <f t="shared" ref="L525:L588" si="174">IF(A525&gt;$B$2,IF(AND(B525/100*$H$2/365*1000000&gt;=$H$5,O525&gt;=$H$6,M525&lt;=$L$4,N525&lt;=$L$5),B525/100*$H$2/365*1000000*$L$6/100,#N/A),B525/100*$H$2/365*1000000*$L$6/100)</f>
        <v>6487.6712328767135</v>
      </c>
      <c r="M525" s="1">
        <f t="shared" ref="M525:M588" si="175">C525*$H$4</f>
        <v>919.84906192613812</v>
      </c>
      <c r="N525" s="7">
        <f t="shared" ref="N525:N588" si="176">D525</f>
        <v>8.3929086339937999</v>
      </c>
      <c r="O525" s="1">
        <f t="shared" ref="O525:O588" si="177">E525*$H$3</f>
        <v>3000</v>
      </c>
      <c r="P525" s="2">
        <f t="shared" ref="P525:P588" si="178">L525*M525/1000000</f>
        <v>5.9676782976468372</v>
      </c>
      <c r="Q525" s="2">
        <f t="shared" si="165"/>
        <v>594.39101376304336</v>
      </c>
      <c r="S525" s="1">
        <f t="shared" si="166"/>
        <v>3000</v>
      </c>
      <c r="T525" s="1">
        <f t="shared" si="167"/>
        <v>6487.6712328767135</v>
      </c>
      <c r="V525" s="1">
        <f t="shared" ref="V525:V588" si="179">T525</f>
        <v>6487.6712328767135</v>
      </c>
      <c r="W525" s="1">
        <f t="shared" ref="W525:W588" si="180">S525</f>
        <v>3000</v>
      </c>
    </row>
    <row r="526" spans="1:23" x14ac:dyDescent="0.25">
      <c r="A526" s="2">
        <f t="shared" ref="A526:A589" si="181">A525+0.1</f>
        <v>51.40000000000046</v>
      </c>
      <c r="B526" s="7">
        <f t="shared" si="164"/>
        <v>23.68</v>
      </c>
      <c r="C526" s="7">
        <f t="shared" si="168"/>
        <v>1.8405188122154155</v>
      </c>
      <c r="D526" s="7">
        <f t="shared" si="169"/>
        <v>8.4438565298753083</v>
      </c>
      <c r="E526" s="7">
        <f t="shared" si="170"/>
        <v>1</v>
      </c>
      <c r="G526" s="4">
        <f t="shared" si="171"/>
        <v>5140.0000000000455</v>
      </c>
      <c r="H526" s="1">
        <f t="shared" ref="H526:H589" si="182">(G526-G525)*1000/L526</f>
        <v>1.5413851351351349</v>
      </c>
      <c r="I526" s="1">
        <f t="shared" ref="I526:I589" si="183">H526+I525</f>
        <v>849.15854514922535</v>
      </c>
      <c r="J526" s="1">
        <f t="shared" si="172"/>
        <v>28.305284838307511</v>
      </c>
      <c r="K526" s="7">
        <f t="shared" si="173"/>
        <v>2.3264617675321242</v>
      </c>
      <c r="L526" s="4">
        <f t="shared" si="174"/>
        <v>6487.6712328767135</v>
      </c>
      <c r="M526" s="1">
        <f t="shared" si="175"/>
        <v>920.25940610770772</v>
      </c>
      <c r="N526" s="7">
        <f t="shared" si="176"/>
        <v>8.4438565298753083</v>
      </c>
      <c r="O526" s="1">
        <f t="shared" si="177"/>
        <v>3000</v>
      </c>
      <c r="P526" s="2">
        <f t="shared" si="178"/>
        <v>5.9703404757891843</v>
      </c>
      <c r="Q526" s="2">
        <f t="shared" si="165"/>
        <v>598.3319417695393</v>
      </c>
      <c r="S526" s="1">
        <f t="shared" si="166"/>
        <v>3000</v>
      </c>
      <c r="T526" s="1">
        <f t="shared" si="167"/>
        <v>6487.6712328767135</v>
      </c>
      <c r="V526" s="1">
        <f t="shared" si="179"/>
        <v>6487.6712328767135</v>
      </c>
      <c r="W526" s="1">
        <f t="shared" si="180"/>
        <v>3000</v>
      </c>
    </row>
    <row r="527" spans="1:23" x14ac:dyDescent="0.25">
      <c r="A527" s="2">
        <f t="shared" si="181"/>
        <v>51.500000000000462</v>
      </c>
      <c r="B527" s="7">
        <f t="shared" si="164"/>
        <v>23.68</v>
      </c>
      <c r="C527" s="7">
        <f t="shared" si="168"/>
        <v>1.8413398666872005</v>
      </c>
      <c r="D527" s="7">
        <f t="shared" si="169"/>
        <v>8.4951136973345154</v>
      </c>
      <c r="E527" s="7">
        <f t="shared" si="170"/>
        <v>1</v>
      </c>
      <c r="G527" s="4">
        <f t="shared" si="171"/>
        <v>5150.0000000000455</v>
      </c>
      <c r="H527" s="1">
        <f t="shared" si="182"/>
        <v>1.5413851351351349</v>
      </c>
      <c r="I527" s="1">
        <f t="shared" si="183"/>
        <v>850.69993028436045</v>
      </c>
      <c r="J527" s="1">
        <f t="shared" si="172"/>
        <v>28.356664342812014</v>
      </c>
      <c r="K527" s="7">
        <f t="shared" si="173"/>
        <v>2.330684740505097</v>
      </c>
      <c r="L527" s="4">
        <f t="shared" si="174"/>
        <v>6487.6712328767135</v>
      </c>
      <c r="M527" s="1">
        <f t="shared" si="175"/>
        <v>920.66993334360029</v>
      </c>
      <c r="N527" s="7">
        <f t="shared" si="176"/>
        <v>8.4951136973345154</v>
      </c>
      <c r="O527" s="1">
        <f t="shared" si="177"/>
        <v>3000</v>
      </c>
      <c r="P527" s="2">
        <f t="shared" si="178"/>
        <v>5.9730038415277971</v>
      </c>
      <c r="Q527" s="2">
        <f t="shared" si="165"/>
        <v>602.30122107270074</v>
      </c>
      <c r="S527" s="1">
        <f t="shared" si="166"/>
        <v>3000</v>
      </c>
      <c r="T527" s="1">
        <f t="shared" si="167"/>
        <v>6487.6712328767135</v>
      </c>
      <c r="V527" s="1">
        <f t="shared" si="179"/>
        <v>6487.6712328767135</v>
      </c>
      <c r="W527" s="1">
        <f t="shared" si="180"/>
        <v>3000</v>
      </c>
    </row>
    <row r="528" spans="1:23" x14ac:dyDescent="0.25">
      <c r="A528" s="2">
        <f t="shared" si="181"/>
        <v>51.600000000000463</v>
      </c>
      <c r="B528" s="7">
        <f t="shared" si="164"/>
        <v>23.68</v>
      </c>
      <c r="C528" s="7">
        <f t="shared" si="168"/>
        <v>1.8421612874309528</v>
      </c>
      <c r="D528" s="7">
        <f t="shared" si="169"/>
        <v>8.5466820137582555</v>
      </c>
      <c r="E528" s="7">
        <f t="shared" si="170"/>
        <v>1</v>
      </c>
      <c r="G528" s="4">
        <f t="shared" si="171"/>
        <v>5160.0000000000464</v>
      </c>
      <c r="H528" s="1">
        <f t="shared" si="182"/>
        <v>1.541385135135275</v>
      </c>
      <c r="I528" s="1">
        <f t="shared" si="183"/>
        <v>852.24131541949578</v>
      </c>
      <c r="J528" s="1">
        <f t="shared" si="172"/>
        <v>28.408043847316527</v>
      </c>
      <c r="K528" s="7">
        <f t="shared" si="173"/>
        <v>2.3349077134780707</v>
      </c>
      <c r="L528" s="4">
        <f t="shared" si="174"/>
        <v>6487.6712328767135</v>
      </c>
      <c r="M528" s="1">
        <f t="shared" si="175"/>
        <v>921.08064371547641</v>
      </c>
      <c r="N528" s="7">
        <f t="shared" si="176"/>
        <v>8.5466820137582555</v>
      </c>
      <c r="O528" s="1">
        <f t="shared" si="177"/>
        <v>3000</v>
      </c>
      <c r="P528" s="2">
        <f t="shared" si="178"/>
        <v>5.9756683953924616</v>
      </c>
      <c r="Q528" s="2">
        <f t="shared" si="165"/>
        <v>606.29908523981464</v>
      </c>
      <c r="S528" s="1">
        <f t="shared" si="166"/>
        <v>3000</v>
      </c>
      <c r="T528" s="1">
        <f t="shared" si="167"/>
        <v>6487.6712328767135</v>
      </c>
      <c r="V528" s="1">
        <f t="shared" si="179"/>
        <v>6487.6712328767135</v>
      </c>
      <c r="W528" s="1">
        <f t="shared" si="180"/>
        <v>3000</v>
      </c>
    </row>
    <row r="529" spans="1:23" x14ac:dyDescent="0.25">
      <c r="A529" s="2">
        <f t="shared" si="181"/>
        <v>51.700000000000465</v>
      </c>
      <c r="B529" s="7">
        <f t="shared" si="164"/>
        <v>23.68</v>
      </c>
      <c r="C529" s="7">
        <f t="shared" si="168"/>
        <v>1.8429830746100657</v>
      </c>
      <c r="D529" s="7">
        <f t="shared" si="169"/>
        <v>8.5985633679297599</v>
      </c>
      <c r="E529" s="7">
        <f t="shared" si="170"/>
        <v>1</v>
      </c>
      <c r="G529" s="4">
        <f t="shared" si="171"/>
        <v>5170.0000000000473</v>
      </c>
      <c r="H529" s="1">
        <f t="shared" si="182"/>
        <v>1.541385135135275</v>
      </c>
      <c r="I529" s="1">
        <f t="shared" si="183"/>
        <v>853.78270055463111</v>
      </c>
      <c r="J529" s="1">
        <f t="shared" si="172"/>
        <v>28.459423351821037</v>
      </c>
      <c r="K529" s="7">
        <f t="shared" si="173"/>
        <v>2.3391306864510439</v>
      </c>
      <c r="L529" s="4">
        <f t="shared" si="174"/>
        <v>6487.6712328767135</v>
      </c>
      <c r="M529" s="1">
        <f t="shared" si="175"/>
        <v>921.49153730503281</v>
      </c>
      <c r="N529" s="7">
        <f t="shared" si="176"/>
        <v>8.5985633679297599</v>
      </c>
      <c r="O529" s="1">
        <f t="shared" si="177"/>
        <v>3000</v>
      </c>
      <c r="P529" s="2">
        <f t="shared" si="178"/>
        <v>5.9783341379132002</v>
      </c>
      <c r="Q529" s="2">
        <f t="shared" si="165"/>
        <v>610.32577015985453</v>
      </c>
      <c r="S529" s="1">
        <f t="shared" si="166"/>
        <v>3000</v>
      </c>
      <c r="T529" s="1">
        <f t="shared" si="167"/>
        <v>6487.6712328767135</v>
      </c>
      <c r="V529" s="1">
        <f t="shared" si="179"/>
        <v>6487.6712328767135</v>
      </c>
      <c r="W529" s="1">
        <f t="shared" si="180"/>
        <v>3000</v>
      </c>
    </row>
    <row r="530" spans="1:23" x14ac:dyDescent="0.25">
      <c r="A530" s="2">
        <f t="shared" si="181"/>
        <v>51.800000000000466</v>
      </c>
      <c r="B530" s="7">
        <f t="shared" si="164"/>
        <v>23.68</v>
      </c>
      <c r="C530" s="7">
        <f t="shared" si="168"/>
        <v>1.843805228388006</v>
      </c>
      <c r="D530" s="7">
        <f t="shared" si="169"/>
        <v>8.6507596600978225</v>
      </c>
      <c r="E530" s="7">
        <f t="shared" si="170"/>
        <v>1</v>
      </c>
      <c r="G530" s="4">
        <f t="shared" si="171"/>
        <v>5180.0000000000464</v>
      </c>
      <c r="H530" s="1">
        <f t="shared" si="182"/>
        <v>1.5413851351349948</v>
      </c>
      <c r="I530" s="1">
        <f t="shared" si="183"/>
        <v>855.32408568976609</v>
      </c>
      <c r="J530" s="1">
        <f t="shared" si="172"/>
        <v>28.510802856325537</v>
      </c>
      <c r="K530" s="7">
        <f t="shared" si="173"/>
        <v>2.3433536594240167</v>
      </c>
      <c r="L530" s="4">
        <f t="shared" si="174"/>
        <v>6487.6712328767135</v>
      </c>
      <c r="M530" s="1">
        <f t="shared" si="175"/>
        <v>921.90261419400304</v>
      </c>
      <c r="N530" s="7">
        <f t="shared" si="176"/>
        <v>8.6507596600978225</v>
      </c>
      <c r="O530" s="1">
        <f t="shared" si="177"/>
        <v>3000</v>
      </c>
      <c r="P530" s="2">
        <f t="shared" si="178"/>
        <v>5.9810010696202731</v>
      </c>
      <c r="Q530" s="2">
        <f t="shared" si="165"/>
        <v>614.38151407190003</v>
      </c>
      <c r="S530" s="1">
        <f t="shared" si="166"/>
        <v>3000</v>
      </c>
      <c r="T530" s="1">
        <f t="shared" si="167"/>
        <v>6487.6712328767135</v>
      </c>
      <c r="V530" s="1">
        <f t="shared" si="179"/>
        <v>6487.6712328767135</v>
      </c>
      <c r="W530" s="1">
        <f t="shared" si="180"/>
        <v>3000</v>
      </c>
    </row>
    <row r="531" spans="1:23" x14ac:dyDescent="0.25">
      <c r="A531" s="2">
        <f t="shared" si="181"/>
        <v>51.900000000000468</v>
      </c>
      <c r="B531" s="7">
        <f t="shared" si="164"/>
        <v>23.68</v>
      </c>
      <c r="C531" s="7">
        <f t="shared" si="168"/>
        <v>1.8446277489283129</v>
      </c>
      <c r="D531" s="7">
        <f t="shared" si="169"/>
        <v>8.7032728020464258</v>
      </c>
      <c r="E531" s="7">
        <f t="shared" si="170"/>
        <v>1</v>
      </c>
      <c r="G531" s="4">
        <f t="shared" si="171"/>
        <v>5190.0000000000464</v>
      </c>
      <c r="H531" s="1">
        <f t="shared" si="182"/>
        <v>1.5413851351351349</v>
      </c>
      <c r="I531" s="1">
        <f t="shared" si="183"/>
        <v>856.86547082490119</v>
      </c>
      <c r="J531" s="1">
        <f t="shared" si="172"/>
        <v>28.56218236083004</v>
      </c>
      <c r="K531" s="7">
        <f t="shared" si="173"/>
        <v>2.3475766323969895</v>
      </c>
      <c r="L531" s="4">
        <f t="shared" si="174"/>
        <v>6487.6712328767135</v>
      </c>
      <c r="M531" s="1">
        <f t="shared" si="175"/>
        <v>922.31387446415647</v>
      </c>
      <c r="N531" s="7">
        <f t="shared" si="176"/>
        <v>8.7032728020464258</v>
      </c>
      <c r="O531" s="1">
        <f t="shared" si="177"/>
        <v>3000</v>
      </c>
      <c r="P531" s="2">
        <f t="shared" si="178"/>
        <v>5.9836691910441724</v>
      </c>
      <c r="Q531" s="2">
        <f t="shared" si="165"/>
        <v>618.46655759397856</v>
      </c>
      <c r="S531" s="1">
        <f t="shared" si="166"/>
        <v>3000</v>
      </c>
      <c r="T531" s="1">
        <f t="shared" si="167"/>
        <v>6487.6712328767135</v>
      </c>
      <c r="V531" s="1">
        <f t="shared" si="179"/>
        <v>6487.6712328767135</v>
      </c>
      <c r="W531" s="1">
        <f t="shared" si="180"/>
        <v>3000</v>
      </c>
    </row>
    <row r="532" spans="1:23" x14ac:dyDescent="0.25">
      <c r="A532" s="2">
        <f t="shared" si="181"/>
        <v>52.000000000000469</v>
      </c>
      <c r="B532" s="7">
        <f t="shared" si="164"/>
        <v>23.68</v>
      </c>
      <c r="C532" s="7">
        <f t="shared" si="168"/>
        <v>1.8454506363945999</v>
      </c>
      <c r="D532" s="7">
        <f t="shared" si="169"/>
        <v>8.7561047171647477</v>
      </c>
      <c r="E532" s="7">
        <f t="shared" si="170"/>
        <v>1</v>
      </c>
      <c r="G532" s="4">
        <f t="shared" si="171"/>
        <v>5200.0000000000473</v>
      </c>
      <c r="H532" s="1">
        <f t="shared" si="182"/>
        <v>1.541385135135275</v>
      </c>
      <c r="I532" s="1">
        <f t="shared" si="183"/>
        <v>858.40685596003652</v>
      </c>
      <c r="J532" s="1">
        <f t="shared" si="172"/>
        <v>28.61356186533455</v>
      </c>
      <c r="K532" s="7">
        <f t="shared" si="173"/>
        <v>2.3517996053699632</v>
      </c>
      <c r="L532" s="4">
        <f t="shared" si="174"/>
        <v>6487.6712328767135</v>
      </c>
      <c r="M532" s="1">
        <f t="shared" si="175"/>
        <v>922.7253181973</v>
      </c>
      <c r="N532" s="7">
        <f t="shared" si="176"/>
        <v>8.7561047171647477</v>
      </c>
      <c r="O532" s="1">
        <f t="shared" si="177"/>
        <v>3000</v>
      </c>
      <c r="P532" s="2">
        <f t="shared" si="178"/>
        <v>5.9863385027156353</v>
      </c>
      <c r="Q532" s="2">
        <f t="shared" si="165"/>
        <v>622.58114375233458</v>
      </c>
      <c r="S532" s="1">
        <f t="shared" si="166"/>
        <v>3000</v>
      </c>
      <c r="T532" s="1">
        <f t="shared" si="167"/>
        <v>6487.6712328767135</v>
      </c>
      <c r="V532" s="1">
        <f t="shared" si="179"/>
        <v>6487.6712328767135</v>
      </c>
      <c r="W532" s="1">
        <f t="shared" si="180"/>
        <v>3000</v>
      </c>
    </row>
    <row r="533" spans="1:23" x14ac:dyDescent="0.25">
      <c r="A533" s="2">
        <f t="shared" si="181"/>
        <v>52.10000000000047</v>
      </c>
      <c r="B533" s="7">
        <f t="shared" si="164"/>
        <v>23.68</v>
      </c>
      <c r="C533" s="7">
        <f t="shared" si="168"/>
        <v>1.8462738909505512</v>
      </c>
      <c r="D533" s="7">
        <f t="shared" si="169"/>
        <v>8.8092573405176129</v>
      </c>
      <c r="E533" s="7">
        <f t="shared" si="170"/>
        <v>1</v>
      </c>
      <c r="G533" s="4">
        <f t="shared" si="171"/>
        <v>5210.0000000000473</v>
      </c>
      <c r="H533" s="1">
        <f t="shared" si="182"/>
        <v>1.5413851351351349</v>
      </c>
      <c r="I533" s="1">
        <f t="shared" si="183"/>
        <v>859.94824109517162</v>
      </c>
      <c r="J533" s="1">
        <f t="shared" si="172"/>
        <v>28.664941369839052</v>
      </c>
      <c r="K533" s="7">
        <f t="shared" si="173"/>
        <v>2.356022578342936</v>
      </c>
      <c r="L533" s="4">
        <f t="shared" si="174"/>
        <v>6487.6712328767135</v>
      </c>
      <c r="M533" s="1">
        <f t="shared" si="175"/>
        <v>923.13694547527564</v>
      </c>
      <c r="N533" s="7">
        <f t="shared" si="176"/>
        <v>8.8092573405176129</v>
      </c>
      <c r="O533" s="1">
        <f t="shared" si="177"/>
        <v>3000</v>
      </c>
      <c r="P533" s="2">
        <f t="shared" si="178"/>
        <v>5.9890090051656255</v>
      </c>
      <c r="Q533" s="2">
        <f t="shared" si="165"/>
        <v>626.72551801113423</v>
      </c>
      <c r="S533" s="1">
        <f t="shared" si="166"/>
        <v>3000</v>
      </c>
      <c r="T533" s="1">
        <f t="shared" si="167"/>
        <v>6487.6712328767135</v>
      </c>
      <c r="V533" s="1">
        <f t="shared" si="179"/>
        <v>6487.6712328767135</v>
      </c>
      <c r="W533" s="1">
        <f t="shared" si="180"/>
        <v>3000</v>
      </c>
    </row>
    <row r="534" spans="1:23" x14ac:dyDescent="0.25">
      <c r="A534" s="2">
        <f t="shared" si="181"/>
        <v>52.200000000000472</v>
      </c>
      <c r="B534" s="7">
        <f t="shared" si="164"/>
        <v>23.68</v>
      </c>
      <c r="C534" s="7">
        <f t="shared" si="168"/>
        <v>1.8470975127599258</v>
      </c>
      <c r="D534" s="7">
        <f t="shared" si="169"/>
        <v>8.8627326189163611</v>
      </c>
      <c r="E534" s="7">
        <f t="shared" si="170"/>
        <v>1</v>
      </c>
      <c r="G534" s="4">
        <f t="shared" si="171"/>
        <v>5220.0000000000464</v>
      </c>
      <c r="H534" s="1">
        <f t="shared" si="182"/>
        <v>1.5413851351349948</v>
      </c>
      <c r="I534" s="1">
        <f t="shared" si="183"/>
        <v>861.48962623030661</v>
      </c>
      <c r="J534" s="1">
        <f t="shared" si="172"/>
        <v>28.716320874343555</v>
      </c>
      <c r="K534" s="7">
        <f t="shared" si="173"/>
        <v>2.3602455513159084</v>
      </c>
      <c r="L534" s="4">
        <f t="shared" si="174"/>
        <v>6487.6712328767135</v>
      </c>
      <c r="M534" s="1">
        <f t="shared" si="175"/>
        <v>923.54875637996292</v>
      </c>
      <c r="N534" s="7">
        <f t="shared" si="176"/>
        <v>8.8627326189163611</v>
      </c>
      <c r="O534" s="1">
        <f t="shared" si="177"/>
        <v>3000</v>
      </c>
      <c r="P534" s="2">
        <f t="shared" si="178"/>
        <v>5.9916806989253502</v>
      </c>
      <c r="Q534" s="2">
        <f t="shared" si="165"/>
        <v>630.89992830261326</v>
      </c>
      <c r="S534" s="1">
        <f t="shared" si="166"/>
        <v>3000</v>
      </c>
      <c r="T534" s="1">
        <f t="shared" si="167"/>
        <v>6487.6712328767135</v>
      </c>
      <c r="V534" s="1">
        <f t="shared" si="179"/>
        <v>6487.6712328767135</v>
      </c>
      <c r="W534" s="1">
        <f t="shared" si="180"/>
        <v>3000</v>
      </c>
    </row>
    <row r="535" spans="1:23" x14ac:dyDescent="0.25">
      <c r="A535" s="2">
        <f t="shared" si="181"/>
        <v>52.300000000000473</v>
      </c>
      <c r="B535" s="7">
        <f t="shared" si="164"/>
        <v>23.68</v>
      </c>
      <c r="C535" s="7">
        <f t="shared" si="168"/>
        <v>1.8479215019865558</v>
      </c>
      <c r="D535" s="7">
        <f t="shared" si="169"/>
        <v>8.9165325109901641</v>
      </c>
      <c r="E535" s="7">
        <f t="shared" si="170"/>
        <v>1</v>
      </c>
      <c r="G535" s="4">
        <f t="shared" si="171"/>
        <v>5230.0000000000464</v>
      </c>
      <c r="H535" s="1">
        <f t="shared" si="182"/>
        <v>1.5413851351351349</v>
      </c>
      <c r="I535" s="1">
        <f t="shared" si="183"/>
        <v>863.03101136544171</v>
      </c>
      <c r="J535" s="1">
        <f t="shared" si="172"/>
        <v>28.767700378848058</v>
      </c>
      <c r="K535" s="7">
        <f t="shared" si="173"/>
        <v>2.3644685242888812</v>
      </c>
      <c r="L535" s="4">
        <f t="shared" si="174"/>
        <v>6487.6712328767135</v>
      </c>
      <c r="M535" s="1">
        <f t="shared" si="175"/>
        <v>923.96075099327788</v>
      </c>
      <c r="N535" s="7">
        <f t="shared" si="176"/>
        <v>8.9165325109901641</v>
      </c>
      <c r="O535" s="1">
        <f t="shared" si="177"/>
        <v>3000</v>
      </c>
      <c r="P535" s="2">
        <f t="shared" si="178"/>
        <v>5.9943535845262526</v>
      </c>
      <c r="Q535" s="2">
        <f t="shared" si="165"/>
        <v>635.10462505767873</v>
      </c>
      <c r="S535" s="1">
        <f t="shared" si="166"/>
        <v>3000</v>
      </c>
      <c r="T535" s="1">
        <f t="shared" si="167"/>
        <v>6487.6712328767135</v>
      </c>
      <c r="V535" s="1">
        <f t="shared" si="179"/>
        <v>6487.6712328767135</v>
      </c>
      <c r="W535" s="1">
        <f t="shared" si="180"/>
        <v>3000</v>
      </c>
    </row>
    <row r="536" spans="1:23" x14ac:dyDescent="0.25">
      <c r="A536" s="2">
        <f t="shared" si="181"/>
        <v>52.400000000000475</v>
      </c>
      <c r="B536" s="7">
        <f t="shared" si="164"/>
        <v>23.68</v>
      </c>
      <c r="C536" s="7">
        <f t="shared" si="168"/>
        <v>1.8487458587943451</v>
      </c>
      <c r="D536" s="7">
        <f t="shared" si="169"/>
        <v>8.9706589872577638</v>
      </c>
      <c r="E536" s="7">
        <f t="shared" si="170"/>
        <v>1</v>
      </c>
      <c r="G536" s="4">
        <f t="shared" si="171"/>
        <v>5240.0000000000482</v>
      </c>
      <c r="H536" s="1">
        <f t="shared" si="182"/>
        <v>1.5413851351354153</v>
      </c>
      <c r="I536" s="1">
        <f t="shared" si="183"/>
        <v>864.57239650057716</v>
      </c>
      <c r="J536" s="1">
        <f t="shared" si="172"/>
        <v>28.819079883352572</v>
      </c>
      <c r="K536" s="7">
        <f t="shared" si="173"/>
        <v>2.3686914972618553</v>
      </c>
      <c r="L536" s="4">
        <f t="shared" si="174"/>
        <v>6487.6712328767135</v>
      </c>
      <c r="M536" s="1">
        <f t="shared" si="175"/>
        <v>924.37292939717258</v>
      </c>
      <c r="N536" s="7">
        <f t="shared" si="176"/>
        <v>8.9706589872577638</v>
      </c>
      <c r="O536" s="1">
        <f t="shared" si="177"/>
        <v>3000</v>
      </c>
      <c r="P536" s="2">
        <f t="shared" si="178"/>
        <v>5.9970276625000132</v>
      </c>
      <c r="Q536" s="2">
        <f t="shared" si="165"/>
        <v>639.33986123696673</v>
      </c>
      <c r="S536" s="1">
        <f t="shared" si="166"/>
        <v>3000</v>
      </c>
      <c r="T536" s="1">
        <f t="shared" si="167"/>
        <v>6487.6712328767135</v>
      </c>
      <c r="V536" s="1">
        <f t="shared" si="179"/>
        <v>6487.6712328767135</v>
      </c>
      <c r="W536" s="1">
        <f t="shared" si="180"/>
        <v>3000</v>
      </c>
    </row>
    <row r="537" spans="1:23" x14ac:dyDescent="0.25">
      <c r="A537" s="2">
        <f t="shared" si="181"/>
        <v>52.500000000000476</v>
      </c>
      <c r="B537" s="7">
        <f t="shared" si="164"/>
        <v>23.68</v>
      </c>
      <c r="C537" s="7">
        <f t="shared" si="168"/>
        <v>1.8495705833472718</v>
      </c>
      <c r="D537" s="7">
        <f t="shared" si="169"/>
        <v>9.0251140301996298</v>
      </c>
      <c r="E537" s="7">
        <f t="shared" si="170"/>
        <v>1</v>
      </c>
      <c r="G537" s="4">
        <f t="shared" si="171"/>
        <v>5250.0000000000482</v>
      </c>
      <c r="H537" s="1">
        <f t="shared" si="182"/>
        <v>1.5413851351351349</v>
      </c>
      <c r="I537" s="1">
        <f t="shared" si="183"/>
        <v>866.11378163571226</v>
      </c>
      <c r="J537" s="1">
        <f t="shared" si="172"/>
        <v>28.870459387857075</v>
      </c>
      <c r="K537" s="7">
        <f t="shared" si="173"/>
        <v>2.3729144702348282</v>
      </c>
      <c r="L537" s="4">
        <f t="shared" si="174"/>
        <v>6487.6712328767135</v>
      </c>
      <c r="M537" s="1">
        <f t="shared" si="175"/>
        <v>924.78529167363592</v>
      </c>
      <c r="N537" s="7">
        <f t="shared" si="176"/>
        <v>9.0251140301996298</v>
      </c>
      <c r="O537" s="1">
        <f t="shared" si="177"/>
        <v>3000</v>
      </c>
      <c r="P537" s="2">
        <f t="shared" si="178"/>
        <v>5.9997029333785488</v>
      </c>
      <c r="Q537" s="2">
        <f t="shared" si="165"/>
        <v>643.60589236236933</v>
      </c>
      <c r="S537" s="1">
        <f t="shared" si="166"/>
        <v>3000</v>
      </c>
      <c r="T537" s="1">
        <f t="shared" si="167"/>
        <v>6487.6712328767135</v>
      </c>
      <c r="V537" s="1">
        <f t="shared" si="179"/>
        <v>6487.6712328767135</v>
      </c>
      <c r="W537" s="1">
        <f t="shared" si="180"/>
        <v>3000</v>
      </c>
    </row>
    <row r="538" spans="1:23" x14ac:dyDescent="0.25">
      <c r="A538" s="2">
        <f t="shared" si="181"/>
        <v>52.600000000000477</v>
      </c>
      <c r="B538" s="7">
        <f t="shared" si="164"/>
        <v>23.68</v>
      </c>
      <c r="C538" s="7">
        <f t="shared" si="168"/>
        <v>1.8503956758093867</v>
      </c>
      <c r="D538" s="7">
        <f t="shared" si="169"/>
        <v>9.0798996343305909</v>
      </c>
      <c r="E538" s="7">
        <f t="shared" si="170"/>
        <v>1</v>
      </c>
      <c r="G538" s="4">
        <f t="shared" si="171"/>
        <v>5260.0000000000473</v>
      </c>
      <c r="H538" s="1">
        <f t="shared" si="182"/>
        <v>1.5413851351349948</v>
      </c>
      <c r="I538" s="1">
        <f t="shared" si="183"/>
        <v>867.65516677084725</v>
      </c>
      <c r="J538" s="1">
        <f t="shared" si="172"/>
        <v>28.921838892361574</v>
      </c>
      <c r="K538" s="7">
        <f t="shared" si="173"/>
        <v>2.3771374432078005</v>
      </c>
      <c r="L538" s="4">
        <f t="shared" si="174"/>
        <v>6487.6712328767135</v>
      </c>
      <c r="M538" s="1">
        <f t="shared" si="175"/>
        <v>925.1978379046933</v>
      </c>
      <c r="N538" s="7">
        <f t="shared" si="176"/>
        <v>9.0798996343305909</v>
      </c>
      <c r="O538" s="1">
        <f t="shared" si="177"/>
        <v>3000</v>
      </c>
      <c r="P538" s="2">
        <f t="shared" si="178"/>
        <v>6.0023793976940114</v>
      </c>
      <c r="Q538" s="2">
        <f t="shared" si="165"/>
        <v>647.90297654903657</v>
      </c>
      <c r="S538" s="1">
        <f t="shared" si="166"/>
        <v>3000</v>
      </c>
      <c r="T538" s="1">
        <f t="shared" si="167"/>
        <v>6487.6712328767135</v>
      </c>
      <c r="V538" s="1">
        <f t="shared" si="179"/>
        <v>6487.6712328767135</v>
      </c>
      <c r="W538" s="1">
        <f t="shared" si="180"/>
        <v>3000</v>
      </c>
    </row>
    <row r="539" spans="1:23" x14ac:dyDescent="0.25">
      <c r="A539" s="2">
        <f t="shared" si="181"/>
        <v>52.700000000000479</v>
      </c>
      <c r="B539" s="7">
        <f t="shared" si="164"/>
        <v>23.68</v>
      </c>
      <c r="C539" s="7">
        <f t="shared" si="168"/>
        <v>1.8512211363448141</v>
      </c>
      <c r="D539" s="7">
        <f t="shared" si="169"/>
        <v>9.1350178062728826</v>
      </c>
      <c r="E539" s="7">
        <f t="shared" si="170"/>
        <v>1</v>
      </c>
      <c r="G539" s="4">
        <f t="shared" si="171"/>
        <v>5270.0000000000473</v>
      </c>
      <c r="H539" s="1">
        <f t="shared" si="182"/>
        <v>1.5413851351351349</v>
      </c>
      <c r="I539" s="1">
        <f t="shared" si="183"/>
        <v>869.19655190598235</v>
      </c>
      <c r="J539" s="1">
        <f t="shared" si="172"/>
        <v>28.973218396866077</v>
      </c>
      <c r="K539" s="7">
        <f t="shared" si="173"/>
        <v>2.3813604161807738</v>
      </c>
      <c r="L539" s="4">
        <f t="shared" si="174"/>
        <v>6487.6712328767135</v>
      </c>
      <c r="M539" s="1">
        <f t="shared" si="175"/>
        <v>925.61056817240706</v>
      </c>
      <c r="N539" s="7">
        <f t="shared" si="176"/>
        <v>9.1350178062728826</v>
      </c>
      <c r="O539" s="1">
        <f t="shared" si="177"/>
        <v>3000</v>
      </c>
      <c r="P539" s="2">
        <f t="shared" si="178"/>
        <v>6.0050570559787957</v>
      </c>
      <c r="Q539" s="2">
        <f t="shared" si="165"/>
        <v>652.23137453786353</v>
      </c>
      <c r="S539" s="1">
        <f t="shared" si="166"/>
        <v>3000</v>
      </c>
      <c r="T539" s="1">
        <f t="shared" si="167"/>
        <v>6487.6712328767135</v>
      </c>
      <c r="V539" s="1">
        <f t="shared" si="179"/>
        <v>6487.6712328767135</v>
      </c>
      <c r="W539" s="1">
        <f t="shared" si="180"/>
        <v>3000</v>
      </c>
    </row>
    <row r="540" spans="1:23" x14ac:dyDescent="0.25">
      <c r="A540" s="2">
        <f t="shared" si="181"/>
        <v>52.80000000000048</v>
      </c>
      <c r="B540" s="7">
        <f t="shared" si="164"/>
        <v>23.68</v>
      </c>
      <c r="C540" s="7">
        <f t="shared" si="168"/>
        <v>1.8520469651177511</v>
      </c>
      <c r="D540" s="7">
        <f t="shared" si="169"/>
        <v>9.1904705648296261</v>
      </c>
      <c r="E540" s="7">
        <f t="shared" si="170"/>
        <v>1</v>
      </c>
      <c r="G540" s="4">
        <f t="shared" si="171"/>
        <v>5280.0000000000482</v>
      </c>
      <c r="H540" s="1">
        <f t="shared" si="182"/>
        <v>1.541385135135275</v>
      </c>
      <c r="I540" s="1">
        <f t="shared" si="183"/>
        <v>870.73793704111768</v>
      </c>
      <c r="J540" s="1">
        <f t="shared" si="172"/>
        <v>29.024597901370591</v>
      </c>
      <c r="K540" s="7">
        <f t="shared" si="173"/>
        <v>2.385583389153747</v>
      </c>
      <c r="L540" s="4">
        <f t="shared" si="174"/>
        <v>6487.6712328767135</v>
      </c>
      <c r="M540" s="1">
        <f t="shared" si="175"/>
        <v>926.02348255887557</v>
      </c>
      <c r="N540" s="7">
        <f t="shared" si="176"/>
        <v>9.1904705648296261</v>
      </c>
      <c r="O540" s="1">
        <f t="shared" si="177"/>
        <v>3000</v>
      </c>
      <c r="P540" s="2">
        <f t="shared" si="178"/>
        <v>6.007735908765528</v>
      </c>
      <c r="Q540" s="2">
        <f t="shared" si="165"/>
        <v>656.59134972846596</v>
      </c>
      <c r="S540" s="1">
        <f t="shared" si="166"/>
        <v>3000</v>
      </c>
      <c r="T540" s="1">
        <f t="shared" si="167"/>
        <v>6487.6712328767135</v>
      </c>
      <c r="V540" s="1">
        <f t="shared" si="179"/>
        <v>6487.6712328767135</v>
      </c>
      <c r="W540" s="1">
        <f t="shared" si="180"/>
        <v>3000</v>
      </c>
    </row>
    <row r="541" spans="1:23" x14ac:dyDescent="0.25">
      <c r="A541" s="2">
        <f t="shared" si="181"/>
        <v>52.900000000000482</v>
      </c>
      <c r="B541" s="7">
        <f t="shared" si="164"/>
        <v>23.68</v>
      </c>
      <c r="C541" s="7">
        <f t="shared" si="168"/>
        <v>1.8528731622924681</v>
      </c>
      <c r="D541" s="7">
        <f t="shared" si="169"/>
        <v>9.2462599410588009</v>
      </c>
      <c r="E541" s="7">
        <f t="shared" si="170"/>
        <v>1</v>
      </c>
      <c r="G541" s="4">
        <f t="shared" si="171"/>
        <v>5290.0000000000482</v>
      </c>
      <c r="H541" s="1">
        <f t="shared" si="182"/>
        <v>1.5413851351351349</v>
      </c>
      <c r="I541" s="1">
        <f t="shared" si="183"/>
        <v>872.27932217625278</v>
      </c>
      <c r="J541" s="1">
        <f t="shared" si="172"/>
        <v>29.075977405875093</v>
      </c>
      <c r="K541" s="7">
        <f t="shared" si="173"/>
        <v>2.3898063621267198</v>
      </c>
      <c r="L541" s="4">
        <f t="shared" si="174"/>
        <v>6487.6712328767135</v>
      </c>
      <c r="M541" s="1">
        <f t="shared" si="175"/>
        <v>926.43658114623406</v>
      </c>
      <c r="N541" s="7">
        <f t="shared" si="176"/>
        <v>9.2462599410588009</v>
      </c>
      <c r="O541" s="1">
        <f t="shared" si="177"/>
        <v>3000</v>
      </c>
      <c r="P541" s="2">
        <f t="shared" si="178"/>
        <v>6.0104159565870763</v>
      </c>
      <c r="Q541" s="2">
        <f t="shared" si="165"/>
        <v>660.98316821266405</v>
      </c>
      <c r="S541" s="1">
        <f t="shared" si="166"/>
        <v>3000</v>
      </c>
      <c r="T541" s="1">
        <f t="shared" si="167"/>
        <v>6487.6712328767135</v>
      </c>
      <c r="V541" s="1">
        <f t="shared" si="179"/>
        <v>6487.6712328767135</v>
      </c>
      <c r="W541" s="1">
        <f t="shared" si="180"/>
        <v>3000</v>
      </c>
    </row>
    <row r="542" spans="1:23" x14ac:dyDescent="0.25">
      <c r="A542" s="2">
        <f t="shared" si="181"/>
        <v>53.000000000000483</v>
      </c>
      <c r="B542" s="7">
        <f t="shared" si="164"/>
        <v>23.68</v>
      </c>
      <c r="C542" s="7">
        <f t="shared" si="168"/>
        <v>1.8536997280333094</v>
      </c>
      <c r="D542" s="7">
        <f t="shared" si="169"/>
        <v>9.3023879783476158</v>
      </c>
      <c r="E542" s="7">
        <f t="shared" si="170"/>
        <v>1</v>
      </c>
      <c r="G542" s="4">
        <f t="shared" si="171"/>
        <v>5300.0000000000482</v>
      </c>
      <c r="H542" s="1">
        <f t="shared" si="182"/>
        <v>1.5413851351351349</v>
      </c>
      <c r="I542" s="1">
        <f t="shared" si="183"/>
        <v>873.82070731138788</v>
      </c>
      <c r="J542" s="1">
        <f t="shared" si="172"/>
        <v>29.127356910379596</v>
      </c>
      <c r="K542" s="7">
        <f t="shared" si="173"/>
        <v>2.3940293350996926</v>
      </c>
      <c r="L542" s="4">
        <f t="shared" si="174"/>
        <v>6487.6712328767135</v>
      </c>
      <c r="M542" s="1">
        <f t="shared" si="175"/>
        <v>926.84986401665469</v>
      </c>
      <c r="N542" s="7">
        <f t="shared" si="176"/>
        <v>9.3023879783476158</v>
      </c>
      <c r="O542" s="1">
        <f t="shared" si="177"/>
        <v>3000</v>
      </c>
      <c r="P542" s="2">
        <f t="shared" si="178"/>
        <v>6.0130971999765448</v>
      </c>
      <c r="Q542" s="2">
        <f t="shared" si="165"/>
        <v>665.40709880847078</v>
      </c>
      <c r="S542" s="1">
        <f t="shared" si="166"/>
        <v>3000</v>
      </c>
      <c r="T542" s="1">
        <f t="shared" si="167"/>
        <v>6487.6712328767135</v>
      </c>
      <c r="V542" s="1">
        <f t="shared" si="179"/>
        <v>6487.6712328767135</v>
      </c>
      <c r="W542" s="1">
        <f t="shared" si="180"/>
        <v>3000</v>
      </c>
    </row>
    <row r="543" spans="1:23" x14ac:dyDescent="0.25">
      <c r="A543" s="2">
        <f t="shared" si="181"/>
        <v>53.100000000000485</v>
      </c>
      <c r="B543" s="7">
        <f t="shared" si="164"/>
        <v>23.68</v>
      </c>
      <c r="C543" s="7">
        <f t="shared" si="168"/>
        <v>1.8545266625046919</v>
      </c>
      <c r="D543" s="7">
        <f t="shared" si="169"/>
        <v>9.3588567324873466</v>
      </c>
      <c r="E543" s="7">
        <f t="shared" si="170"/>
        <v>1</v>
      </c>
      <c r="G543" s="4">
        <f t="shared" si="171"/>
        <v>5310.0000000000482</v>
      </c>
      <c r="H543" s="1">
        <f t="shared" si="182"/>
        <v>1.5413851351351349</v>
      </c>
      <c r="I543" s="1">
        <f t="shared" si="183"/>
        <v>875.36209244652298</v>
      </c>
      <c r="J543" s="1">
        <f t="shared" si="172"/>
        <v>29.178736414884099</v>
      </c>
      <c r="K543" s="7">
        <f t="shared" si="173"/>
        <v>2.3982523080726659</v>
      </c>
      <c r="L543" s="4">
        <f t="shared" si="174"/>
        <v>6487.6712328767135</v>
      </c>
      <c r="M543" s="1">
        <f t="shared" si="175"/>
        <v>927.26333125234589</v>
      </c>
      <c r="N543" s="7">
        <f t="shared" si="176"/>
        <v>9.3588567324873466</v>
      </c>
      <c r="O543" s="1">
        <f t="shared" si="177"/>
        <v>3000</v>
      </c>
      <c r="P543" s="2">
        <f t="shared" si="178"/>
        <v>6.0157796394672758</v>
      </c>
      <c r="Q543" s="2">
        <f t="shared" si="165"/>
        <v>669.86341309460079</v>
      </c>
      <c r="S543" s="1">
        <f t="shared" si="166"/>
        <v>3000</v>
      </c>
      <c r="T543" s="1">
        <f t="shared" si="167"/>
        <v>6487.6712328767135</v>
      </c>
      <c r="V543" s="1">
        <f t="shared" si="179"/>
        <v>6487.6712328767135</v>
      </c>
      <c r="W543" s="1">
        <f t="shared" si="180"/>
        <v>3000</v>
      </c>
    </row>
    <row r="544" spans="1:23" x14ac:dyDescent="0.25">
      <c r="A544" s="2">
        <f t="shared" si="181"/>
        <v>53.200000000000486</v>
      </c>
      <c r="B544" s="7">
        <f t="shared" si="164"/>
        <v>23.68</v>
      </c>
      <c r="C544" s="7">
        <f t="shared" si="168"/>
        <v>1.855353965871106</v>
      </c>
      <c r="D544" s="7">
        <f t="shared" si="169"/>
        <v>9.4156682717486504</v>
      </c>
      <c r="E544" s="7">
        <f t="shared" si="170"/>
        <v>1</v>
      </c>
      <c r="G544" s="4">
        <f t="shared" si="171"/>
        <v>5320.0000000000491</v>
      </c>
      <c r="H544" s="1">
        <f t="shared" si="182"/>
        <v>1.541385135135275</v>
      </c>
      <c r="I544" s="1">
        <f t="shared" si="183"/>
        <v>876.90347758165831</v>
      </c>
      <c r="J544" s="1">
        <f t="shared" si="172"/>
        <v>29.230115919388609</v>
      </c>
      <c r="K544" s="7">
        <f t="shared" si="173"/>
        <v>2.4024752810456391</v>
      </c>
      <c r="L544" s="4">
        <f t="shared" si="174"/>
        <v>6487.6712328767135</v>
      </c>
      <c r="M544" s="1">
        <f t="shared" si="175"/>
        <v>927.67698293555304</v>
      </c>
      <c r="N544" s="7">
        <f t="shared" si="176"/>
        <v>9.4156682717486504</v>
      </c>
      <c r="O544" s="1">
        <f t="shared" si="177"/>
        <v>3000</v>
      </c>
      <c r="P544" s="2">
        <f t="shared" si="178"/>
        <v>6.0184632755928495</v>
      </c>
      <c r="Q544" s="2">
        <f t="shared" si="165"/>
        <v>674.35238544551032</v>
      </c>
      <c r="S544" s="1">
        <f t="shared" si="166"/>
        <v>3000</v>
      </c>
      <c r="T544" s="1">
        <f t="shared" si="167"/>
        <v>6487.6712328767135</v>
      </c>
      <c r="V544" s="1">
        <f t="shared" si="179"/>
        <v>6487.6712328767135</v>
      </c>
      <c r="W544" s="1">
        <f t="shared" si="180"/>
        <v>3000</v>
      </c>
    </row>
    <row r="545" spans="1:23" x14ac:dyDescent="0.25">
      <c r="A545" s="2">
        <f t="shared" si="181"/>
        <v>53.300000000000487</v>
      </c>
      <c r="B545" s="7">
        <f t="shared" si="164"/>
        <v>23.68</v>
      </c>
      <c r="C545" s="7">
        <f t="shared" si="168"/>
        <v>1.8561816382971157</v>
      </c>
      <c r="D545" s="7">
        <f t="shared" si="169"/>
        <v>9.4728246769573161</v>
      </c>
      <c r="E545" s="7">
        <f t="shared" si="170"/>
        <v>1</v>
      </c>
      <c r="G545" s="4">
        <f t="shared" si="171"/>
        <v>5330.0000000000491</v>
      </c>
      <c r="H545" s="1">
        <f t="shared" si="182"/>
        <v>1.5413851351351349</v>
      </c>
      <c r="I545" s="1">
        <f t="shared" si="183"/>
        <v>878.44486271679341</v>
      </c>
      <c r="J545" s="1">
        <f t="shared" si="172"/>
        <v>29.281495423893112</v>
      </c>
      <c r="K545" s="7">
        <f t="shared" si="173"/>
        <v>2.4066982540186119</v>
      </c>
      <c r="L545" s="4">
        <f t="shared" si="174"/>
        <v>6487.6712328767135</v>
      </c>
      <c r="M545" s="1">
        <f t="shared" si="175"/>
        <v>928.0908191485579</v>
      </c>
      <c r="N545" s="7">
        <f t="shared" si="176"/>
        <v>9.4728246769573161</v>
      </c>
      <c r="O545" s="1">
        <f t="shared" si="177"/>
        <v>3000</v>
      </c>
      <c r="P545" s="2">
        <f t="shared" si="178"/>
        <v>6.0211481088870835</v>
      </c>
      <c r="Q545" s="2">
        <f t="shared" si="165"/>
        <v>678.87429306697402</v>
      </c>
      <c r="S545" s="1">
        <f t="shared" si="166"/>
        <v>3000</v>
      </c>
      <c r="T545" s="1">
        <f t="shared" si="167"/>
        <v>6487.6712328767135</v>
      </c>
      <c r="V545" s="1">
        <f t="shared" si="179"/>
        <v>6487.6712328767135</v>
      </c>
      <c r="W545" s="1">
        <f t="shared" si="180"/>
        <v>3000</v>
      </c>
    </row>
    <row r="546" spans="1:23" x14ac:dyDescent="0.25">
      <c r="A546" s="2">
        <f t="shared" si="181"/>
        <v>53.400000000000489</v>
      </c>
      <c r="B546" s="7">
        <f t="shared" si="164"/>
        <v>23.68</v>
      </c>
      <c r="C546" s="7">
        <f t="shared" si="168"/>
        <v>1.8570096799473583</v>
      </c>
      <c r="D546" s="7">
        <f t="shared" si="169"/>
        <v>9.5303280415704617</v>
      </c>
      <c r="E546" s="7">
        <f t="shared" si="170"/>
        <v>1</v>
      </c>
      <c r="G546" s="4">
        <f t="shared" si="171"/>
        <v>5340.00000000005</v>
      </c>
      <c r="H546" s="1">
        <f t="shared" si="182"/>
        <v>1.541385135135275</v>
      </c>
      <c r="I546" s="1">
        <f t="shared" si="183"/>
        <v>879.98624785192874</v>
      </c>
      <c r="J546" s="1">
        <f t="shared" si="172"/>
        <v>29.332874928397626</v>
      </c>
      <c r="K546" s="7">
        <f t="shared" si="173"/>
        <v>2.4109212269915856</v>
      </c>
      <c r="L546" s="4">
        <f t="shared" si="174"/>
        <v>6487.6712328767135</v>
      </c>
      <c r="M546" s="1">
        <f t="shared" si="175"/>
        <v>928.50483997367917</v>
      </c>
      <c r="N546" s="7">
        <f t="shared" si="176"/>
        <v>9.5303280415704617</v>
      </c>
      <c r="O546" s="1">
        <f t="shared" si="177"/>
        <v>3000</v>
      </c>
      <c r="P546" s="2">
        <f t="shared" si="178"/>
        <v>6.0238341398840349</v>
      </c>
      <c r="Q546" s="2">
        <f t="shared" si="165"/>
        <v>683.42941603220834</v>
      </c>
      <c r="S546" s="1">
        <f t="shared" si="166"/>
        <v>3000</v>
      </c>
      <c r="T546" s="1">
        <f t="shared" si="167"/>
        <v>6487.6712328767135</v>
      </c>
      <c r="V546" s="1">
        <f t="shared" si="179"/>
        <v>6487.6712328767135</v>
      </c>
      <c r="W546" s="1">
        <f t="shared" si="180"/>
        <v>3000</v>
      </c>
    </row>
    <row r="547" spans="1:23" x14ac:dyDescent="0.25">
      <c r="A547" s="2">
        <f t="shared" si="181"/>
        <v>53.50000000000049</v>
      </c>
      <c r="B547" s="7">
        <f t="shared" si="164"/>
        <v>23.68</v>
      </c>
      <c r="C547" s="7">
        <f t="shared" si="168"/>
        <v>1.8578380909865446</v>
      </c>
      <c r="D547" s="7">
        <f t="shared" si="169"/>
        <v>9.5881804717532333</v>
      </c>
      <c r="E547" s="7">
        <f t="shared" si="170"/>
        <v>1</v>
      </c>
      <c r="G547" s="4">
        <f t="shared" si="171"/>
        <v>5350.0000000000491</v>
      </c>
      <c r="H547" s="1">
        <f t="shared" si="182"/>
        <v>1.5413851351349948</v>
      </c>
      <c r="I547" s="1">
        <f t="shared" si="183"/>
        <v>881.52763298706373</v>
      </c>
      <c r="J547" s="1">
        <f t="shared" si="172"/>
        <v>29.384254432902125</v>
      </c>
      <c r="K547" s="7">
        <f t="shared" si="173"/>
        <v>2.415144199964558</v>
      </c>
      <c r="L547" s="4">
        <f t="shared" si="174"/>
        <v>6487.6712328767135</v>
      </c>
      <c r="M547" s="1">
        <f t="shared" si="175"/>
        <v>928.91904549327228</v>
      </c>
      <c r="N547" s="7">
        <f t="shared" si="176"/>
        <v>9.5881804717532333</v>
      </c>
      <c r="O547" s="1">
        <f t="shared" si="177"/>
        <v>3000</v>
      </c>
      <c r="P547" s="2">
        <f t="shared" si="178"/>
        <v>6.0265213691179973</v>
      </c>
      <c r="Q547" s="2">
        <f t="shared" si="165"/>
        <v>688.01803731855466</v>
      </c>
      <c r="S547" s="1">
        <f t="shared" si="166"/>
        <v>3000</v>
      </c>
      <c r="T547" s="1">
        <f t="shared" si="167"/>
        <v>6487.6712328767135</v>
      </c>
      <c r="V547" s="1">
        <f t="shared" si="179"/>
        <v>6487.6712328767135</v>
      </c>
      <c r="W547" s="1">
        <f t="shared" si="180"/>
        <v>3000</v>
      </c>
    </row>
    <row r="548" spans="1:23" x14ac:dyDescent="0.25">
      <c r="A548" s="2">
        <f t="shared" si="181"/>
        <v>53.600000000000492</v>
      </c>
      <c r="B548" s="7">
        <f t="shared" si="164"/>
        <v>23.68</v>
      </c>
      <c r="C548" s="7">
        <f t="shared" si="168"/>
        <v>1.8586668715794588</v>
      </c>
      <c r="D548" s="7">
        <f t="shared" si="169"/>
        <v>9.6463840864559351</v>
      </c>
      <c r="E548" s="7">
        <f t="shared" si="170"/>
        <v>1</v>
      </c>
      <c r="G548" s="4">
        <f t="shared" si="171"/>
        <v>5360.0000000000491</v>
      </c>
      <c r="H548" s="1">
        <f t="shared" si="182"/>
        <v>1.5413851351351349</v>
      </c>
      <c r="I548" s="1">
        <f t="shared" si="183"/>
        <v>883.06901812219883</v>
      </c>
      <c r="J548" s="1">
        <f t="shared" si="172"/>
        <v>29.435633937406628</v>
      </c>
      <c r="K548" s="7">
        <f t="shared" si="173"/>
        <v>2.4193671729375312</v>
      </c>
      <c r="L548" s="4">
        <f t="shared" si="174"/>
        <v>6487.6712328767135</v>
      </c>
      <c r="M548" s="1">
        <f t="shared" si="175"/>
        <v>929.33343578972938</v>
      </c>
      <c r="N548" s="7">
        <f t="shared" si="176"/>
        <v>9.6463840864559351</v>
      </c>
      <c r="O548" s="1">
        <f t="shared" si="177"/>
        <v>3000</v>
      </c>
      <c r="P548" s="2">
        <f t="shared" si="178"/>
        <v>6.0292097971235057</v>
      </c>
      <c r="Q548" s="2">
        <f t="shared" si="165"/>
        <v>692.64044284473096</v>
      </c>
      <c r="S548" s="1">
        <f t="shared" si="166"/>
        <v>3000</v>
      </c>
      <c r="T548" s="1">
        <f t="shared" si="167"/>
        <v>6487.6712328767135</v>
      </c>
      <c r="V548" s="1">
        <f t="shared" si="179"/>
        <v>6487.6712328767135</v>
      </c>
      <c r="W548" s="1">
        <f t="shared" si="180"/>
        <v>3000</v>
      </c>
    </row>
    <row r="549" spans="1:23" x14ac:dyDescent="0.25">
      <c r="A549" s="2">
        <f t="shared" si="181"/>
        <v>53.700000000000493</v>
      </c>
      <c r="B549" s="7">
        <f t="shared" si="164"/>
        <v>23.68</v>
      </c>
      <c r="C549" s="7">
        <f t="shared" si="168"/>
        <v>1.8594960218909584</v>
      </c>
      <c r="D549" s="7">
        <f t="shared" si="169"/>
        <v>9.7049410174916453</v>
      </c>
      <c r="E549" s="7">
        <f t="shared" si="170"/>
        <v>1</v>
      </c>
      <c r="G549" s="4">
        <f t="shared" si="171"/>
        <v>5370.0000000000491</v>
      </c>
      <c r="H549" s="1">
        <f t="shared" si="182"/>
        <v>1.5413851351351349</v>
      </c>
      <c r="I549" s="1">
        <f t="shared" si="183"/>
        <v>884.61040325733393</v>
      </c>
      <c r="J549" s="1">
        <f t="shared" si="172"/>
        <v>29.487013441911131</v>
      </c>
      <c r="K549" s="7">
        <f t="shared" si="173"/>
        <v>2.423590145910504</v>
      </c>
      <c r="L549" s="4">
        <f t="shared" si="174"/>
        <v>6487.6712328767135</v>
      </c>
      <c r="M549" s="1">
        <f t="shared" si="175"/>
        <v>929.74801094547922</v>
      </c>
      <c r="N549" s="7">
        <f t="shared" si="176"/>
        <v>9.7049410174916453</v>
      </c>
      <c r="O549" s="1">
        <f t="shared" si="177"/>
        <v>3000</v>
      </c>
      <c r="P549" s="2">
        <f t="shared" si="178"/>
        <v>6.0318994244353297</v>
      </c>
      <c r="Q549" s="2">
        <f t="shared" si="165"/>
        <v>697.29692150865833</v>
      </c>
      <c r="S549" s="1">
        <f t="shared" si="166"/>
        <v>3000</v>
      </c>
      <c r="T549" s="1">
        <f t="shared" si="167"/>
        <v>6487.6712328767135</v>
      </c>
      <c r="V549" s="1">
        <f t="shared" si="179"/>
        <v>6487.6712328767135</v>
      </c>
      <c r="W549" s="1">
        <f t="shared" si="180"/>
        <v>3000</v>
      </c>
    </row>
    <row r="550" spans="1:23" x14ac:dyDescent="0.25">
      <c r="A550" s="2">
        <f t="shared" si="181"/>
        <v>53.800000000000495</v>
      </c>
      <c r="B550" s="7">
        <f t="shared" si="164"/>
        <v>23.68</v>
      </c>
      <c r="C550" s="7">
        <f t="shared" si="168"/>
        <v>1.8603255420859746</v>
      </c>
      <c r="D550" s="7">
        <f t="shared" si="169"/>
        <v>9.7638534096142813</v>
      </c>
      <c r="E550" s="7">
        <f t="shared" si="170"/>
        <v>1</v>
      </c>
      <c r="G550" s="4">
        <f t="shared" si="171"/>
        <v>5380.0000000000491</v>
      </c>
      <c r="H550" s="1">
        <f t="shared" si="182"/>
        <v>1.5413851351351349</v>
      </c>
      <c r="I550" s="1">
        <f t="shared" si="183"/>
        <v>886.15178839246903</v>
      </c>
      <c r="J550" s="1">
        <f t="shared" si="172"/>
        <v>29.538392946415634</v>
      </c>
      <c r="K550" s="7">
        <f t="shared" si="173"/>
        <v>2.4278131188834768</v>
      </c>
      <c r="L550" s="4">
        <f t="shared" si="174"/>
        <v>6487.6712328767135</v>
      </c>
      <c r="M550" s="1">
        <f t="shared" si="175"/>
        <v>930.16277104298729</v>
      </c>
      <c r="N550" s="7">
        <f t="shared" si="176"/>
        <v>9.7638534096142813</v>
      </c>
      <c r="O550" s="1">
        <f t="shared" si="177"/>
        <v>3000</v>
      </c>
      <c r="P550" s="2">
        <f t="shared" si="178"/>
        <v>6.0345902515884777</v>
      </c>
      <c r="Q550" s="2">
        <f t="shared" si="165"/>
        <v>701.98776522588003</v>
      </c>
      <c r="S550" s="1">
        <f t="shared" si="166"/>
        <v>3000</v>
      </c>
      <c r="T550" s="1">
        <f t="shared" si="167"/>
        <v>6487.6712328767135</v>
      </c>
      <c r="V550" s="1">
        <f t="shared" si="179"/>
        <v>6487.6712328767135</v>
      </c>
      <c r="W550" s="1">
        <f t="shared" si="180"/>
        <v>3000</v>
      </c>
    </row>
    <row r="551" spans="1:23" x14ac:dyDescent="0.25">
      <c r="A551" s="2">
        <f t="shared" si="181"/>
        <v>53.900000000000496</v>
      </c>
      <c r="B551" s="7">
        <f t="shared" si="164"/>
        <v>23.68</v>
      </c>
      <c r="C551" s="7">
        <f t="shared" si="168"/>
        <v>1.861155432329513</v>
      </c>
      <c r="D551" s="7">
        <f t="shared" si="169"/>
        <v>9.8231234205971827</v>
      </c>
      <c r="E551" s="7">
        <f t="shared" si="170"/>
        <v>1</v>
      </c>
      <c r="G551" s="4">
        <f t="shared" si="171"/>
        <v>5390.0000000000491</v>
      </c>
      <c r="H551" s="1">
        <f t="shared" si="182"/>
        <v>1.5413851351351349</v>
      </c>
      <c r="I551" s="1">
        <f t="shared" si="183"/>
        <v>887.69317352760413</v>
      </c>
      <c r="J551" s="1">
        <f t="shared" si="172"/>
        <v>29.589772450920137</v>
      </c>
      <c r="K551" s="7">
        <f t="shared" si="173"/>
        <v>2.4320360918564496</v>
      </c>
      <c r="L551" s="4">
        <f t="shared" si="174"/>
        <v>6487.6712328767135</v>
      </c>
      <c r="M551" s="1">
        <f t="shared" si="175"/>
        <v>930.57771616475645</v>
      </c>
      <c r="N551" s="7">
        <f t="shared" si="176"/>
        <v>9.8231234205971827</v>
      </c>
      <c r="O551" s="1">
        <f t="shared" si="177"/>
        <v>3000</v>
      </c>
      <c r="P551" s="2">
        <f t="shared" si="178"/>
        <v>6.0372822791182017</v>
      </c>
      <c r="Q551" s="2">
        <f t="shared" si="165"/>
        <v>706.71326896857886</v>
      </c>
      <c r="S551" s="1">
        <f t="shared" si="166"/>
        <v>3000</v>
      </c>
      <c r="T551" s="1">
        <f t="shared" si="167"/>
        <v>6487.6712328767135</v>
      </c>
      <c r="V551" s="1">
        <f t="shared" si="179"/>
        <v>6487.6712328767135</v>
      </c>
      <c r="W551" s="1">
        <f t="shared" si="180"/>
        <v>3000</v>
      </c>
    </row>
    <row r="552" spans="1:23" x14ac:dyDescent="0.25">
      <c r="A552" s="2">
        <f t="shared" si="181"/>
        <v>54.000000000000497</v>
      </c>
      <c r="B552" s="7">
        <f t="shared" si="164"/>
        <v>23.68</v>
      </c>
      <c r="C552" s="7">
        <f t="shared" si="168"/>
        <v>1.8619856927866514</v>
      </c>
      <c r="D552" s="7">
        <f t="shared" si="169"/>
        <v>9.8827532213121252</v>
      </c>
      <c r="E552" s="7">
        <f t="shared" si="170"/>
        <v>1</v>
      </c>
      <c r="G552" s="4">
        <f t="shared" si="171"/>
        <v>5400.0000000000491</v>
      </c>
      <c r="H552" s="1">
        <f t="shared" si="182"/>
        <v>1.5413851351351349</v>
      </c>
      <c r="I552" s="1">
        <f t="shared" si="183"/>
        <v>889.23455866273923</v>
      </c>
      <c r="J552" s="1">
        <f t="shared" si="172"/>
        <v>29.64115195542464</v>
      </c>
      <c r="K552" s="7">
        <f t="shared" si="173"/>
        <v>2.4362590648294224</v>
      </c>
      <c r="L552" s="4">
        <f t="shared" si="174"/>
        <v>6487.6712328767135</v>
      </c>
      <c r="M552" s="1">
        <f t="shared" si="175"/>
        <v>930.99284639332564</v>
      </c>
      <c r="N552" s="7">
        <f t="shared" si="176"/>
        <v>9.8827532213121252</v>
      </c>
      <c r="O552" s="1">
        <f t="shared" si="177"/>
        <v>3000</v>
      </c>
      <c r="P552" s="2">
        <f t="shared" si="178"/>
        <v>6.0399755075599879</v>
      </c>
      <c r="Q552" s="2">
        <f t="shared" si="165"/>
        <v>711.47373080520435</v>
      </c>
      <c r="S552" s="1">
        <f t="shared" si="166"/>
        <v>3000</v>
      </c>
      <c r="T552" s="1">
        <f t="shared" si="167"/>
        <v>6487.6712328767135</v>
      </c>
      <c r="V552" s="1">
        <f t="shared" si="179"/>
        <v>6487.6712328767135</v>
      </c>
      <c r="W552" s="1">
        <f t="shared" si="180"/>
        <v>3000</v>
      </c>
    </row>
    <row r="553" spans="1:23" x14ac:dyDescent="0.25">
      <c r="A553" s="2">
        <f t="shared" si="181"/>
        <v>54.100000000000499</v>
      </c>
      <c r="B553" s="7">
        <f t="shared" si="164"/>
        <v>23.68</v>
      </c>
      <c r="C553" s="7">
        <f t="shared" si="168"/>
        <v>1.8628163236225417</v>
      </c>
      <c r="D553" s="7">
        <f t="shared" si="169"/>
        <v>9.9427449958088303</v>
      </c>
      <c r="E553" s="7">
        <f t="shared" si="170"/>
        <v>1</v>
      </c>
      <c r="G553" s="4">
        <f t="shared" si="171"/>
        <v>5410.00000000005</v>
      </c>
      <c r="H553" s="1">
        <f t="shared" si="182"/>
        <v>1.541385135135275</v>
      </c>
      <c r="I553" s="1">
        <f t="shared" si="183"/>
        <v>890.77594379787456</v>
      </c>
      <c r="J553" s="1">
        <f t="shared" si="172"/>
        <v>29.692531459929153</v>
      </c>
      <c r="K553" s="7">
        <f t="shared" si="173"/>
        <v>2.4404820378023961</v>
      </c>
      <c r="L553" s="4">
        <f t="shared" si="174"/>
        <v>6487.6712328767135</v>
      </c>
      <c r="M553" s="1">
        <f t="shared" si="175"/>
        <v>931.40816181127082</v>
      </c>
      <c r="N553" s="7">
        <f t="shared" si="176"/>
        <v>9.9427449958088303</v>
      </c>
      <c r="O553" s="1">
        <f t="shared" si="177"/>
        <v>3000</v>
      </c>
      <c r="P553" s="2">
        <f t="shared" si="178"/>
        <v>6.0426699374495607</v>
      </c>
      <c r="Q553" s="2">
        <f t="shared" si="165"/>
        <v>716.26945194072198</v>
      </c>
      <c r="S553" s="1">
        <f t="shared" si="166"/>
        <v>3000</v>
      </c>
      <c r="T553" s="1">
        <f t="shared" si="167"/>
        <v>6487.6712328767135</v>
      </c>
      <c r="V553" s="1">
        <f t="shared" si="179"/>
        <v>6487.6712328767135</v>
      </c>
      <c r="W553" s="1">
        <f t="shared" si="180"/>
        <v>3000</v>
      </c>
    </row>
    <row r="554" spans="1:23" x14ac:dyDescent="0.25">
      <c r="A554" s="2">
        <f t="shared" si="181"/>
        <v>54.2000000000005</v>
      </c>
      <c r="B554" s="7">
        <f t="shared" si="164"/>
        <v>23.68</v>
      </c>
      <c r="C554" s="7">
        <f t="shared" si="168"/>
        <v>1.8636473250024099</v>
      </c>
      <c r="D554" s="7">
        <f t="shared" si="169"/>
        <v>10.003100941394976</v>
      </c>
      <c r="E554" s="7">
        <f t="shared" si="170"/>
        <v>1</v>
      </c>
      <c r="G554" s="4">
        <f t="shared" si="171"/>
        <v>5420.0000000000509</v>
      </c>
      <c r="H554" s="1">
        <f t="shared" si="182"/>
        <v>1.541385135135275</v>
      </c>
      <c r="I554" s="1">
        <f t="shared" si="183"/>
        <v>892.31732893300989</v>
      </c>
      <c r="J554" s="1">
        <f t="shared" si="172"/>
        <v>29.743910964433663</v>
      </c>
      <c r="K554" s="7">
        <f t="shared" si="173"/>
        <v>2.4447050107753694</v>
      </c>
      <c r="L554" s="4">
        <f t="shared" si="174"/>
        <v>6487.6712328767135</v>
      </c>
      <c r="M554" s="1">
        <f t="shared" si="175"/>
        <v>931.82366250120492</v>
      </c>
      <c r="N554" s="7">
        <f t="shared" si="176"/>
        <v>10.003100941394976</v>
      </c>
      <c r="O554" s="1">
        <f t="shared" si="177"/>
        <v>3000</v>
      </c>
      <c r="P554" s="2">
        <f t="shared" si="178"/>
        <v>6.0453655693228869</v>
      </c>
      <c r="Q554" s="2">
        <f t="shared" si="165"/>
        <v>721.10073675749697</v>
      </c>
      <c r="S554" s="1">
        <f t="shared" si="166"/>
        <v>3000</v>
      </c>
      <c r="T554" s="1">
        <f t="shared" si="167"/>
        <v>6487.6712328767135</v>
      </c>
      <c r="V554" s="1">
        <f t="shared" si="179"/>
        <v>6487.6712328767135</v>
      </c>
      <c r="W554" s="1">
        <f t="shared" si="180"/>
        <v>3000</v>
      </c>
    </row>
    <row r="555" spans="1:23" x14ac:dyDescent="0.25">
      <c r="A555" s="2">
        <f t="shared" si="181"/>
        <v>54.300000000000502</v>
      </c>
      <c r="B555" s="7">
        <f t="shared" si="164"/>
        <v>23.68</v>
      </c>
      <c r="C555" s="7">
        <f t="shared" si="168"/>
        <v>1.8644786970915559</v>
      </c>
      <c r="D555" s="7">
        <f t="shared" si="169"/>
        <v>10.063823268716664</v>
      </c>
      <c r="E555" s="7">
        <f t="shared" si="170"/>
        <v>1</v>
      </c>
      <c r="G555" s="4">
        <f t="shared" si="171"/>
        <v>5430.00000000005</v>
      </c>
      <c r="H555" s="1">
        <f t="shared" si="182"/>
        <v>1.5413851351349948</v>
      </c>
      <c r="I555" s="1">
        <f t="shared" si="183"/>
        <v>893.85871406814488</v>
      </c>
      <c r="J555" s="1">
        <f t="shared" si="172"/>
        <v>29.795290468938163</v>
      </c>
      <c r="K555" s="7">
        <f t="shared" si="173"/>
        <v>2.4489279837483422</v>
      </c>
      <c r="L555" s="4">
        <f t="shared" si="174"/>
        <v>6487.6712328767135</v>
      </c>
      <c r="M555" s="1">
        <f t="shared" si="175"/>
        <v>932.23934854577794</v>
      </c>
      <c r="N555" s="7">
        <f t="shared" si="176"/>
        <v>10.063823268716664</v>
      </c>
      <c r="O555" s="1">
        <f t="shared" si="177"/>
        <v>3000</v>
      </c>
      <c r="P555" s="2">
        <f t="shared" si="178"/>
        <v>6.0480624037161714</v>
      </c>
      <c r="Q555" s="2">
        <f t="shared" si="165"/>
        <v>725.96789285682064</v>
      </c>
      <c r="S555" s="1">
        <f t="shared" si="166"/>
        <v>3000</v>
      </c>
      <c r="T555" s="1">
        <f t="shared" si="167"/>
        <v>6487.6712328767135</v>
      </c>
      <c r="V555" s="1">
        <f t="shared" si="179"/>
        <v>6487.6712328767135</v>
      </c>
      <c r="W555" s="1">
        <f t="shared" si="180"/>
        <v>3000</v>
      </c>
    </row>
    <row r="556" spans="1:23" x14ac:dyDescent="0.25">
      <c r="A556" s="2">
        <f t="shared" si="181"/>
        <v>54.400000000000503</v>
      </c>
      <c r="B556" s="7">
        <f t="shared" ref="B556:B619" si="184">IF(A556&lt;=$B$2,$B$3*EXP(A556*$B$4),IF(A556&lt;$B$7,$B$6,IF($B$8*EXP(A556*$B$9)&gt;$B$6,$B$6,$B$8*EXP(A556*$B$9))))</f>
        <v>23.68</v>
      </c>
      <c r="C556" s="7">
        <f t="shared" si="168"/>
        <v>1.8653104400553524</v>
      </c>
      <c r="D556" s="7">
        <f t="shared" si="169"/>
        <v>10.124914201839388</v>
      </c>
      <c r="E556" s="7">
        <f t="shared" si="170"/>
        <v>1</v>
      </c>
      <c r="G556" s="4">
        <f t="shared" si="171"/>
        <v>5440.00000000005</v>
      </c>
      <c r="H556" s="1">
        <f t="shared" si="182"/>
        <v>1.5413851351351349</v>
      </c>
      <c r="I556" s="1">
        <f t="shared" si="183"/>
        <v>895.40009920327998</v>
      </c>
      <c r="J556" s="1">
        <f t="shared" si="172"/>
        <v>29.846669973442665</v>
      </c>
      <c r="K556" s="7">
        <f t="shared" si="173"/>
        <v>2.453150956721315</v>
      </c>
      <c r="L556" s="4">
        <f t="shared" si="174"/>
        <v>6487.6712328767135</v>
      </c>
      <c r="M556" s="1">
        <f t="shared" si="175"/>
        <v>932.65522002767625</v>
      </c>
      <c r="N556" s="7">
        <f t="shared" si="176"/>
        <v>10.124914201839388</v>
      </c>
      <c r="O556" s="1">
        <f t="shared" si="177"/>
        <v>3000</v>
      </c>
      <c r="P556" s="2">
        <f t="shared" si="178"/>
        <v>6.0507604411658571</v>
      </c>
      <c r="Q556" s="2">
        <f t="shared" si="165"/>
        <v>730.87123110109621</v>
      </c>
      <c r="S556" s="1">
        <f t="shared" si="166"/>
        <v>3000</v>
      </c>
      <c r="T556" s="1">
        <f t="shared" si="167"/>
        <v>6487.6712328767135</v>
      </c>
      <c r="V556" s="1">
        <f t="shared" si="179"/>
        <v>6487.6712328767135</v>
      </c>
      <c r="W556" s="1">
        <f t="shared" si="180"/>
        <v>3000</v>
      </c>
    </row>
    <row r="557" spans="1:23" x14ac:dyDescent="0.25">
      <c r="A557" s="2">
        <f t="shared" si="181"/>
        <v>54.500000000000504</v>
      </c>
      <c r="B557" s="7">
        <f t="shared" si="184"/>
        <v>23.68</v>
      </c>
      <c r="C557" s="7">
        <f t="shared" si="168"/>
        <v>1.8661425540592467</v>
      </c>
      <c r="D557" s="7">
        <f t="shared" si="169"/>
        <v>10.186375978329501</v>
      </c>
      <c r="E557" s="7">
        <f t="shared" si="170"/>
        <v>1</v>
      </c>
      <c r="G557" s="4">
        <f t="shared" si="171"/>
        <v>5450.0000000000509</v>
      </c>
      <c r="H557" s="1">
        <f t="shared" si="182"/>
        <v>1.541385135135275</v>
      </c>
      <c r="I557" s="1">
        <f t="shared" si="183"/>
        <v>896.94148433841531</v>
      </c>
      <c r="J557" s="1">
        <f t="shared" si="172"/>
        <v>29.898049477947175</v>
      </c>
      <c r="K557" s="7">
        <f t="shared" si="173"/>
        <v>2.4573739296942887</v>
      </c>
      <c r="L557" s="4">
        <f t="shared" si="174"/>
        <v>6487.6712328767135</v>
      </c>
      <c r="M557" s="1">
        <f t="shared" si="175"/>
        <v>933.07127702962339</v>
      </c>
      <c r="N557" s="7">
        <f t="shared" si="176"/>
        <v>10.186375978329501</v>
      </c>
      <c r="O557" s="1">
        <f t="shared" si="177"/>
        <v>3000</v>
      </c>
      <c r="P557" s="2">
        <f t="shared" si="178"/>
        <v>6.0534596822086266</v>
      </c>
      <c r="Q557" s="2">
        <f t="shared" si="165"/>
        <v>735.81106565669029</v>
      </c>
      <c r="S557" s="1">
        <f t="shared" si="166"/>
        <v>3000</v>
      </c>
      <c r="T557" s="1">
        <f t="shared" si="167"/>
        <v>6487.6712328767135</v>
      </c>
      <c r="V557" s="1">
        <f t="shared" si="179"/>
        <v>6487.6712328767135</v>
      </c>
      <c r="W557" s="1">
        <f t="shared" si="180"/>
        <v>3000</v>
      </c>
    </row>
    <row r="558" spans="1:23" x14ac:dyDescent="0.25">
      <c r="A558" s="2">
        <f t="shared" si="181"/>
        <v>54.600000000000506</v>
      </c>
      <c r="B558" s="7">
        <f t="shared" si="184"/>
        <v>23.68</v>
      </c>
      <c r="C558" s="7">
        <f t="shared" si="168"/>
        <v>1.8669750392687592</v>
      </c>
      <c r="D558" s="7">
        <f t="shared" si="169"/>
        <v>10.248210849336177</v>
      </c>
      <c r="E558" s="7">
        <f t="shared" si="170"/>
        <v>1</v>
      </c>
      <c r="G558" s="4">
        <f t="shared" si="171"/>
        <v>5460.0000000000509</v>
      </c>
      <c r="H558" s="1">
        <f t="shared" si="182"/>
        <v>1.5413851351351349</v>
      </c>
      <c r="I558" s="1">
        <f t="shared" si="183"/>
        <v>898.48286947355041</v>
      </c>
      <c r="J558" s="1">
        <f t="shared" si="172"/>
        <v>29.949428982451682</v>
      </c>
      <c r="K558" s="7">
        <f t="shared" si="173"/>
        <v>2.4615969026672615</v>
      </c>
      <c r="L558" s="4">
        <f t="shared" si="174"/>
        <v>6487.6712328767135</v>
      </c>
      <c r="M558" s="1">
        <f t="shared" si="175"/>
        <v>933.48751963437962</v>
      </c>
      <c r="N558" s="7">
        <f t="shared" si="176"/>
        <v>10.248210849336177</v>
      </c>
      <c r="O558" s="1">
        <f t="shared" si="177"/>
        <v>3000</v>
      </c>
      <c r="P558" s="2">
        <f t="shared" si="178"/>
        <v>6.0561601273814007</v>
      </c>
      <c r="Q558" s="2">
        <f t="shared" si="165"/>
        <v>740.78771403747101</v>
      </c>
      <c r="S558" s="1">
        <f t="shared" si="166"/>
        <v>3000</v>
      </c>
      <c r="T558" s="1">
        <f t="shared" si="167"/>
        <v>6487.6712328767135</v>
      </c>
      <c r="V558" s="1">
        <f t="shared" si="179"/>
        <v>6487.6712328767135</v>
      </c>
      <c r="W558" s="1">
        <f t="shared" si="180"/>
        <v>3000</v>
      </c>
    </row>
    <row r="559" spans="1:23" x14ac:dyDescent="0.25">
      <c r="A559" s="2">
        <f t="shared" si="181"/>
        <v>54.700000000000507</v>
      </c>
      <c r="B559" s="7">
        <f t="shared" si="184"/>
        <v>23.68</v>
      </c>
      <c r="C559" s="7">
        <f t="shared" si="168"/>
        <v>1.8678078958494848</v>
      </c>
      <c r="D559" s="7">
        <f t="shared" si="169"/>
        <v>10.310421079673835</v>
      </c>
      <c r="E559" s="7">
        <f t="shared" si="170"/>
        <v>1</v>
      </c>
      <c r="G559" s="4">
        <f t="shared" si="171"/>
        <v>5470.00000000005</v>
      </c>
      <c r="H559" s="1">
        <f t="shared" si="182"/>
        <v>1.5413851351349948</v>
      </c>
      <c r="I559" s="1">
        <f t="shared" si="183"/>
        <v>900.0242546086854</v>
      </c>
      <c r="J559" s="1">
        <f t="shared" si="172"/>
        <v>30.000808486956181</v>
      </c>
      <c r="K559" s="7">
        <f t="shared" si="173"/>
        <v>2.4658198756402339</v>
      </c>
      <c r="L559" s="4">
        <f t="shared" si="174"/>
        <v>6487.6712328767135</v>
      </c>
      <c r="M559" s="1">
        <f t="shared" si="175"/>
        <v>933.9039479247424</v>
      </c>
      <c r="N559" s="7">
        <f t="shared" si="176"/>
        <v>10.310421079673835</v>
      </c>
      <c r="O559" s="1">
        <f t="shared" si="177"/>
        <v>3000</v>
      </c>
      <c r="P559" s="2">
        <f t="shared" si="178"/>
        <v>6.0588617772213436</v>
      </c>
      <c r="Q559" s="2">
        <f t="shared" si="165"/>
        <v>745.80149714903303</v>
      </c>
      <c r="S559" s="1">
        <f t="shared" si="166"/>
        <v>3000</v>
      </c>
      <c r="T559" s="1">
        <f t="shared" si="167"/>
        <v>6487.6712328767135</v>
      </c>
      <c r="V559" s="1">
        <f t="shared" si="179"/>
        <v>6487.6712328767135</v>
      </c>
      <c r="W559" s="1">
        <f t="shared" si="180"/>
        <v>3000</v>
      </c>
    </row>
    <row r="560" spans="1:23" x14ac:dyDescent="0.25">
      <c r="A560" s="2">
        <f t="shared" si="181"/>
        <v>54.800000000000509</v>
      </c>
      <c r="B560" s="7">
        <f t="shared" si="184"/>
        <v>23.68</v>
      </c>
      <c r="C560" s="7">
        <f t="shared" si="168"/>
        <v>1.8686411239670919</v>
      </c>
      <c r="D560" s="7">
        <f t="shared" si="169"/>
        <v>10.373008947905129</v>
      </c>
      <c r="E560" s="7">
        <f t="shared" si="170"/>
        <v>1</v>
      </c>
      <c r="G560" s="4">
        <f t="shared" si="171"/>
        <v>5480.00000000005</v>
      </c>
      <c r="H560" s="1">
        <f t="shared" si="182"/>
        <v>1.5413851351351349</v>
      </c>
      <c r="I560" s="1">
        <f t="shared" si="183"/>
        <v>901.5656397438205</v>
      </c>
      <c r="J560" s="1">
        <f t="shared" si="172"/>
        <v>30.052187991460684</v>
      </c>
      <c r="K560" s="7">
        <f t="shared" si="173"/>
        <v>2.4700428486132067</v>
      </c>
      <c r="L560" s="4">
        <f t="shared" si="174"/>
        <v>6487.6712328767135</v>
      </c>
      <c r="M560" s="1">
        <f t="shared" si="175"/>
        <v>934.32056198354599</v>
      </c>
      <c r="N560" s="7">
        <f t="shared" si="176"/>
        <v>10.373008947905129</v>
      </c>
      <c r="O560" s="1">
        <f t="shared" si="177"/>
        <v>3000</v>
      </c>
      <c r="P560" s="2">
        <f t="shared" si="178"/>
        <v>6.0615646322658554</v>
      </c>
      <c r="Q560" s="2">
        <f t="shared" ref="Q560:Q623" si="185">IFERROR(N560/100*L560/(1-N560/100),L560*100)</f>
        <v>750.85273933363749</v>
      </c>
      <c r="S560" s="1">
        <f t="shared" si="166"/>
        <v>3000</v>
      </c>
      <c r="T560" s="1">
        <f t="shared" si="167"/>
        <v>6487.6712328767135</v>
      </c>
      <c r="V560" s="1">
        <f t="shared" si="179"/>
        <v>6487.6712328767135</v>
      </c>
      <c r="W560" s="1">
        <f t="shared" si="180"/>
        <v>3000</v>
      </c>
    </row>
    <row r="561" spans="1:23" x14ac:dyDescent="0.25">
      <c r="A561" s="2">
        <f t="shared" si="181"/>
        <v>54.90000000000051</v>
      </c>
      <c r="B561" s="7">
        <f t="shared" si="184"/>
        <v>23.68</v>
      </c>
      <c r="C561" s="7">
        <f t="shared" si="168"/>
        <v>1.8694747237873233</v>
      </c>
      <c r="D561" s="7">
        <f t="shared" si="169"/>
        <v>10.435976746424382</v>
      </c>
      <c r="E561" s="7">
        <f t="shared" si="170"/>
        <v>1</v>
      </c>
      <c r="G561" s="4">
        <f t="shared" si="171"/>
        <v>5490.0000000000518</v>
      </c>
      <c r="H561" s="1">
        <f t="shared" si="182"/>
        <v>1.5413851351354153</v>
      </c>
      <c r="I561" s="1">
        <f t="shared" si="183"/>
        <v>903.10702487895594</v>
      </c>
      <c r="J561" s="1">
        <f t="shared" si="172"/>
        <v>30.103567495965198</v>
      </c>
      <c r="K561" s="7">
        <f t="shared" si="173"/>
        <v>2.4742658215861808</v>
      </c>
      <c r="L561" s="4">
        <f t="shared" si="174"/>
        <v>6487.6712328767135</v>
      </c>
      <c r="M561" s="1">
        <f t="shared" si="175"/>
        <v>934.73736189366161</v>
      </c>
      <c r="N561" s="7">
        <f t="shared" si="176"/>
        <v>10.435976746424382</v>
      </c>
      <c r="O561" s="1">
        <f t="shared" si="177"/>
        <v>3000</v>
      </c>
      <c r="P561" s="2">
        <f t="shared" si="178"/>
        <v>6.0642686930525791</v>
      </c>
      <c r="Q561" s="2">
        <f t="shared" si="185"/>
        <v>755.94176841586693</v>
      </c>
      <c r="S561" s="1">
        <f t="shared" si="166"/>
        <v>3000</v>
      </c>
      <c r="T561" s="1">
        <f t="shared" si="167"/>
        <v>6487.6712328767135</v>
      </c>
      <c r="V561" s="1">
        <f t="shared" si="179"/>
        <v>6487.6712328767135</v>
      </c>
      <c r="W561" s="1">
        <f t="shared" si="180"/>
        <v>3000</v>
      </c>
    </row>
    <row r="562" spans="1:23" x14ac:dyDescent="0.25">
      <c r="A562" s="2">
        <f t="shared" si="181"/>
        <v>55.000000000000512</v>
      </c>
      <c r="B562" s="7">
        <f t="shared" si="184"/>
        <v>23.68</v>
      </c>
      <c r="C562" s="7">
        <f t="shared" si="168"/>
        <v>1.8703086954759949</v>
      </c>
      <c r="D562" s="7">
        <f t="shared" si="169"/>
        <v>10.499326781541541</v>
      </c>
      <c r="E562" s="7">
        <f t="shared" si="170"/>
        <v>1</v>
      </c>
      <c r="G562" s="4">
        <f t="shared" si="171"/>
        <v>5500.0000000000518</v>
      </c>
      <c r="H562" s="1">
        <f t="shared" si="182"/>
        <v>1.5413851351351349</v>
      </c>
      <c r="I562" s="1">
        <f t="shared" si="183"/>
        <v>904.64841001409104</v>
      </c>
      <c r="J562" s="1">
        <f t="shared" si="172"/>
        <v>30.154947000469701</v>
      </c>
      <c r="K562" s="7">
        <f t="shared" si="173"/>
        <v>2.4784887945591536</v>
      </c>
      <c r="L562" s="4">
        <f t="shared" si="174"/>
        <v>6487.6712328767135</v>
      </c>
      <c r="M562" s="1">
        <f t="shared" si="175"/>
        <v>935.15434773799745</v>
      </c>
      <c r="N562" s="7">
        <f t="shared" si="176"/>
        <v>10.499326781541541</v>
      </c>
      <c r="O562" s="1">
        <f t="shared" si="177"/>
        <v>3000</v>
      </c>
      <c r="P562" s="2">
        <f t="shared" si="178"/>
        <v>6.0669739601193928</v>
      </c>
      <c r="Q562" s="2">
        <f t="shared" si="185"/>
        <v>761.0689157490151</v>
      </c>
      <c r="S562" s="1">
        <f t="shared" si="166"/>
        <v>3000</v>
      </c>
      <c r="T562" s="1">
        <f t="shared" si="167"/>
        <v>6487.6712328767135</v>
      </c>
      <c r="V562" s="1">
        <f t="shared" si="179"/>
        <v>6487.6712328767135</v>
      </c>
      <c r="W562" s="1">
        <f t="shared" si="180"/>
        <v>3000</v>
      </c>
    </row>
    <row r="563" spans="1:23" x14ac:dyDescent="0.25">
      <c r="A563" s="2">
        <f t="shared" si="181"/>
        <v>55.100000000000513</v>
      </c>
      <c r="B563" s="7">
        <f t="shared" si="184"/>
        <v>23.68</v>
      </c>
      <c r="C563" s="7">
        <f t="shared" si="168"/>
        <v>1.8711430391989972</v>
      </c>
      <c r="D563" s="7">
        <f t="shared" si="169"/>
        <v>10.563061373566681</v>
      </c>
      <c r="E563" s="7">
        <f t="shared" si="170"/>
        <v>1</v>
      </c>
      <c r="G563" s="4">
        <f t="shared" si="171"/>
        <v>5510.0000000000509</v>
      </c>
      <c r="H563" s="1">
        <f t="shared" si="182"/>
        <v>1.5413851351349948</v>
      </c>
      <c r="I563" s="1">
        <f t="shared" si="183"/>
        <v>906.18979514922603</v>
      </c>
      <c r="J563" s="1">
        <f t="shared" si="172"/>
        <v>30.2063265049742</v>
      </c>
      <c r="K563" s="7">
        <f t="shared" si="173"/>
        <v>2.482711767532126</v>
      </c>
      <c r="L563" s="4">
        <f t="shared" si="174"/>
        <v>6487.6712328767135</v>
      </c>
      <c r="M563" s="1">
        <f t="shared" si="175"/>
        <v>935.57151959949863</v>
      </c>
      <c r="N563" s="7">
        <f t="shared" si="176"/>
        <v>10.563061373566681</v>
      </c>
      <c r="O563" s="1">
        <f t="shared" si="177"/>
        <v>3000</v>
      </c>
      <c r="P563" s="2">
        <f t="shared" si="178"/>
        <v>6.0696804340044199</v>
      </c>
      <c r="Q563" s="2">
        <f t="shared" si="185"/>
        <v>766.23451626222834</v>
      </c>
      <c r="S563" s="1">
        <f t="shared" si="166"/>
        <v>3000</v>
      </c>
      <c r="T563" s="1">
        <f t="shared" si="167"/>
        <v>6487.6712328767135</v>
      </c>
      <c r="V563" s="1">
        <f t="shared" si="179"/>
        <v>6487.6712328767135</v>
      </c>
      <c r="W563" s="1">
        <f t="shared" si="180"/>
        <v>3000</v>
      </c>
    </row>
    <row r="564" spans="1:23" x14ac:dyDescent="0.25">
      <c r="A564" s="2">
        <f t="shared" si="181"/>
        <v>55.200000000000514</v>
      </c>
      <c r="B564" s="7">
        <f t="shared" si="184"/>
        <v>23.68</v>
      </c>
      <c r="C564" s="7">
        <f t="shared" si="168"/>
        <v>1.871977755122294</v>
      </c>
      <c r="D564" s="7">
        <f t="shared" si="169"/>
        <v>10.627182856894965</v>
      </c>
      <c r="E564" s="7">
        <f t="shared" si="170"/>
        <v>1</v>
      </c>
      <c r="G564" s="4">
        <f t="shared" si="171"/>
        <v>5520.0000000000509</v>
      </c>
      <c r="H564" s="1">
        <f t="shared" si="182"/>
        <v>1.5413851351351349</v>
      </c>
      <c r="I564" s="1">
        <f t="shared" si="183"/>
        <v>907.73118028436113</v>
      </c>
      <c r="J564" s="1">
        <f t="shared" si="172"/>
        <v>30.257706009478703</v>
      </c>
      <c r="K564" s="7">
        <f t="shared" si="173"/>
        <v>2.4869347405050988</v>
      </c>
      <c r="L564" s="4">
        <f t="shared" si="174"/>
        <v>6487.6712328767135</v>
      </c>
      <c r="M564" s="1">
        <f t="shared" si="175"/>
        <v>935.98887756114698</v>
      </c>
      <c r="N564" s="7">
        <f t="shared" si="176"/>
        <v>10.627182856894965</v>
      </c>
      <c r="O564" s="1">
        <f t="shared" si="177"/>
        <v>3000</v>
      </c>
      <c r="P564" s="2">
        <f t="shared" si="178"/>
        <v>6.0723881152460173</v>
      </c>
      <c r="Q564" s="2">
        <f t="shared" si="185"/>
        <v>771.43890850840307</v>
      </c>
      <c r="S564" s="1">
        <f t="shared" si="166"/>
        <v>3000</v>
      </c>
      <c r="T564" s="1">
        <f t="shared" si="167"/>
        <v>6487.6712328767135</v>
      </c>
      <c r="V564" s="1">
        <f t="shared" si="179"/>
        <v>6487.6712328767135</v>
      </c>
      <c r="W564" s="1">
        <f t="shared" si="180"/>
        <v>3000</v>
      </c>
    </row>
    <row r="565" spans="1:23" x14ac:dyDescent="0.25">
      <c r="A565" s="2">
        <f t="shared" si="181"/>
        <v>55.300000000000516</v>
      </c>
      <c r="B565" s="7">
        <f t="shared" si="184"/>
        <v>23.68</v>
      </c>
      <c r="C565" s="7">
        <f t="shared" si="168"/>
        <v>1.8728128434119247</v>
      </c>
      <c r="D565" s="7">
        <f t="shared" si="169"/>
        <v>10.691693580092144</v>
      </c>
      <c r="E565" s="7">
        <f t="shared" si="170"/>
        <v>1</v>
      </c>
      <c r="G565" s="4">
        <f t="shared" si="171"/>
        <v>5530.0000000000518</v>
      </c>
      <c r="H565" s="1">
        <f t="shared" si="182"/>
        <v>1.541385135135275</v>
      </c>
      <c r="I565" s="1">
        <f t="shared" si="183"/>
        <v>909.27256541949646</v>
      </c>
      <c r="J565" s="1">
        <f t="shared" si="172"/>
        <v>30.309085513983216</v>
      </c>
      <c r="K565" s="7">
        <f t="shared" si="173"/>
        <v>2.4911577134780725</v>
      </c>
      <c r="L565" s="4">
        <f t="shared" si="174"/>
        <v>6487.6712328767135</v>
      </c>
      <c r="M565" s="1">
        <f t="shared" si="175"/>
        <v>936.40642170596232</v>
      </c>
      <c r="N565" s="7">
        <f t="shared" si="176"/>
        <v>10.691693580092144</v>
      </c>
      <c r="O565" s="1">
        <f t="shared" si="177"/>
        <v>3000</v>
      </c>
      <c r="P565" s="2">
        <f t="shared" si="178"/>
        <v>6.0750970043827923</v>
      </c>
      <c r="Q565" s="2">
        <f t="shared" si="185"/>
        <v>776.68243471286303</v>
      </c>
      <c r="S565" s="1">
        <f t="shared" si="166"/>
        <v>3000</v>
      </c>
      <c r="T565" s="1">
        <f t="shared" si="167"/>
        <v>6487.6712328767135</v>
      </c>
      <c r="V565" s="1">
        <f t="shared" si="179"/>
        <v>6487.6712328767135</v>
      </c>
      <c r="W565" s="1">
        <f t="shared" si="180"/>
        <v>3000</v>
      </c>
    </row>
    <row r="566" spans="1:23" x14ac:dyDescent="0.25">
      <c r="A566" s="2">
        <f t="shared" si="181"/>
        <v>55.400000000000517</v>
      </c>
      <c r="B566" s="7">
        <f t="shared" si="184"/>
        <v>23.68</v>
      </c>
      <c r="C566" s="7">
        <f t="shared" si="168"/>
        <v>1.8736483042340009</v>
      </c>
      <c r="D566" s="7">
        <f t="shared" si="169"/>
        <v>10.756595905980598</v>
      </c>
      <c r="E566" s="7">
        <f t="shared" si="170"/>
        <v>1</v>
      </c>
      <c r="G566" s="4">
        <f t="shared" si="171"/>
        <v>5540.0000000000518</v>
      </c>
      <c r="H566" s="1">
        <f t="shared" si="182"/>
        <v>1.5413851351351349</v>
      </c>
      <c r="I566" s="1">
        <f t="shared" si="183"/>
        <v>910.81395055463156</v>
      </c>
      <c r="J566" s="1">
        <f t="shared" si="172"/>
        <v>30.360465018487719</v>
      </c>
      <c r="K566" s="7">
        <f t="shared" si="173"/>
        <v>2.4953806864510453</v>
      </c>
      <c r="L566" s="4">
        <f t="shared" si="174"/>
        <v>6487.6712328767135</v>
      </c>
      <c r="M566" s="1">
        <f t="shared" si="175"/>
        <v>936.82415211700038</v>
      </c>
      <c r="N566" s="7">
        <f t="shared" si="176"/>
        <v>10.756595905980598</v>
      </c>
      <c r="O566" s="1">
        <f t="shared" si="177"/>
        <v>3000</v>
      </c>
      <c r="P566" s="2">
        <f t="shared" si="178"/>
        <v>6.0778071019535815</v>
      </c>
      <c r="Q566" s="2">
        <f t="shared" si="185"/>
        <v>781.96544082282912</v>
      </c>
      <c r="S566" s="1">
        <f t="shared" si="166"/>
        <v>3000</v>
      </c>
      <c r="T566" s="1">
        <f t="shared" si="167"/>
        <v>6487.6712328767135</v>
      </c>
      <c r="V566" s="1">
        <f t="shared" si="179"/>
        <v>6487.6712328767135</v>
      </c>
      <c r="W566" s="1">
        <f t="shared" si="180"/>
        <v>3000</v>
      </c>
    </row>
    <row r="567" spans="1:23" x14ac:dyDescent="0.25">
      <c r="A567" s="2">
        <f t="shared" si="181"/>
        <v>55.500000000000519</v>
      </c>
      <c r="B567" s="7">
        <f t="shared" si="184"/>
        <v>23.68</v>
      </c>
      <c r="C567" s="7">
        <f t="shared" si="168"/>
        <v>1.8744841377547095</v>
      </c>
      <c r="D567" s="7">
        <f t="shared" si="169"/>
        <v>10.82189221172586</v>
      </c>
      <c r="E567" s="7">
        <f t="shared" si="170"/>
        <v>1</v>
      </c>
      <c r="G567" s="4">
        <f t="shared" si="171"/>
        <v>5550.0000000000509</v>
      </c>
      <c r="H567" s="1">
        <f t="shared" si="182"/>
        <v>1.5413851351349948</v>
      </c>
      <c r="I567" s="1">
        <f t="shared" si="183"/>
        <v>912.35533568976655</v>
      </c>
      <c r="J567" s="1">
        <f t="shared" si="172"/>
        <v>30.411844522992219</v>
      </c>
      <c r="K567" s="7">
        <f t="shared" si="173"/>
        <v>2.4996036594240181</v>
      </c>
      <c r="L567" s="4">
        <f t="shared" si="174"/>
        <v>6487.6712328767135</v>
      </c>
      <c r="M567" s="1">
        <f t="shared" si="175"/>
        <v>937.24206887735477</v>
      </c>
      <c r="N567" s="7">
        <f t="shared" si="176"/>
        <v>10.82189221172586</v>
      </c>
      <c r="O567" s="1">
        <f t="shared" si="177"/>
        <v>3000</v>
      </c>
      <c r="P567" s="2">
        <f t="shared" si="178"/>
        <v>6.0805184084974693</v>
      </c>
      <c r="Q567" s="2">
        <f t="shared" si="185"/>
        <v>787.28827655769169</v>
      </c>
      <c r="S567" s="1">
        <f t="shared" si="166"/>
        <v>3000</v>
      </c>
      <c r="T567" s="1">
        <f t="shared" si="167"/>
        <v>6487.6712328767135</v>
      </c>
      <c r="V567" s="1">
        <f t="shared" si="179"/>
        <v>6487.6712328767135</v>
      </c>
      <c r="W567" s="1">
        <f t="shared" si="180"/>
        <v>3000</v>
      </c>
    </row>
    <row r="568" spans="1:23" x14ac:dyDescent="0.25">
      <c r="A568" s="2">
        <f t="shared" si="181"/>
        <v>55.60000000000052</v>
      </c>
      <c r="B568" s="7">
        <f t="shared" si="184"/>
        <v>23.68</v>
      </c>
      <c r="C568" s="7">
        <f t="shared" si="168"/>
        <v>1.8753203441403108</v>
      </c>
      <c r="D568" s="7">
        <f t="shared" si="169"/>
        <v>10.887584888923698</v>
      </c>
      <c r="E568" s="7">
        <f t="shared" si="170"/>
        <v>1</v>
      </c>
      <c r="G568" s="4">
        <f t="shared" si="171"/>
        <v>5560.0000000000518</v>
      </c>
      <c r="H568" s="1">
        <f t="shared" si="182"/>
        <v>1.541385135135275</v>
      </c>
      <c r="I568" s="1">
        <f t="shared" si="183"/>
        <v>913.89672082490188</v>
      </c>
      <c r="J568" s="1">
        <f t="shared" si="172"/>
        <v>30.463224027496729</v>
      </c>
      <c r="K568" s="7">
        <f t="shared" si="173"/>
        <v>2.5038266323969913</v>
      </c>
      <c r="L568" s="4">
        <f t="shared" si="174"/>
        <v>6487.6712328767135</v>
      </c>
      <c r="M568" s="1">
        <f t="shared" si="175"/>
        <v>937.66017207015534</v>
      </c>
      <c r="N568" s="7">
        <f t="shared" si="176"/>
        <v>10.887584888923698</v>
      </c>
      <c r="O568" s="1">
        <f t="shared" si="177"/>
        <v>3000</v>
      </c>
      <c r="P568" s="2">
        <f t="shared" si="178"/>
        <v>6.0832309245537761</v>
      </c>
      <c r="Q568" s="2">
        <f t="shared" si="185"/>
        <v>792.65129546010735</v>
      </c>
      <c r="S568" s="1">
        <f t="shared" si="166"/>
        <v>3000</v>
      </c>
      <c r="T568" s="1">
        <f t="shared" si="167"/>
        <v>6487.6712328767135</v>
      </c>
      <c r="V568" s="1">
        <f t="shared" si="179"/>
        <v>6487.6712328767135</v>
      </c>
      <c r="W568" s="1">
        <f t="shared" si="180"/>
        <v>3000</v>
      </c>
    </row>
    <row r="569" spans="1:23" x14ac:dyDescent="0.25">
      <c r="A569" s="2">
        <f t="shared" si="181"/>
        <v>55.700000000000522</v>
      </c>
      <c r="B569" s="7">
        <f t="shared" si="184"/>
        <v>23.68</v>
      </c>
      <c r="C569" s="7">
        <f t="shared" si="168"/>
        <v>1.8761569235571398</v>
      </c>
      <c r="D569" s="7">
        <f t="shared" si="169"/>
        <v>10.953676343687691</v>
      </c>
      <c r="E569" s="7">
        <f t="shared" si="170"/>
        <v>1</v>
      </c>
      <c r="G569" s="4">
        <f t="shared" si="171"/>
        <v>5570.0000000000528</v>
      </c>
      <c r="H569" s="1">
        <f t="shared" si="182"/>
        <v>1.541385135135275</v>
      </c>
      <c r="I569" s="1">
        <f t="shared" si="183"/>
        <v>915.43810596003721</v>
      </c>
      <c r="J569" s="1">
        <f t="shared" si="172"/>
        <v>30.514603532001239</v>
      </c>
      <c r="K569" s="7">
        <f t="shared" si="173"/>
        <v>2.508049605369965</v>
      </c>
      <c r="L569" s="4">
        <f t="shared" si="174"/>
        <v>6487.6712328767135</v>
      </c>
      <c r="M569" s="1">
        <f t="shared" si="175"/>
        <v>938.07846177856993</v>
      </c>
      <c r="N569" s="7">
        <f t="shared" si="176"/>
        <v>10.953676343687691</v>
      </c>
      <c r="O569" s="1">
        <f t="shared" si="177"/>
        <v>3000</v>
      </c>
      <c r="P569" s="2">
        <f t="shared" si="178"/>
        <v>6.0859446506620651</v>
      </c>
      <c r="Q569" s="2">
        <f t="shared" si="185"/>
        <v>798.05485494793072</v>
      </c>
      <c r="S569" s="1">
        <f t="shared" si="166"/>
        <v>3000</v>
      </c>
      <c r="T569" s="1">
        <f t="shared" si="167"/>
        <v>6487.6712328767135</v>
      </c>
      <c r="V569" s="1">
        <f t="shared" si="179"/>
        <v>6487.6712328767135</v>
      </c>
      <c r="W569" s="1">
        <f t="shared" si="180"/>
        <v>3000</v>
      </c>
    </row>
    <row r="570" spans="1:23" x14ac:dyDescent="0.25">
      <c r="A570" s="2">
        <f t="shared" si="181"/>
        <v>55.800000000000523</v>
      </c>
      <c r="B570" s="7">
        <f t="shared" si="184"/>
        <v>23.68</v>
      </c>
      <c r="C570" s="7">
        <f t="shared" si="168"/>
        <v>1.8769938761716056</v>
      </c>
      <c r="D570" s="7">
        <f t="shared" si="169"/>
        <v>11.020168996737381</v>
      </c>
      <c r="E570" s="7">
        <f t="shared" si="170"/>
        <v>1</v>
      </c>
      <c r="G570" s="4">
        <f t="shared" si="171"/>
        <v>5580.0000000000528</v>
      </c>
      <c r="H570" s="1">
        <f t="shared" si="182"/>
        <v>1.5413851351351349</v>
      </c>
      <c r="I570" s="1">
        <f t="shared" si="183"/>
        <v>916.97949109517231</v>
      </c>
      <c r="J570" s="1">
        <f t="shared" si="172"/>
        <v>30.565983036505745</v>
      </c>
      <c r="K570" s="7">
        <f t="shared" si="173"/>
        <v>2.5122725783429378</v>
      </c>
      <c r="L570" s="4">
        <f t="shared" si="174"/>
        <v>6487.6712328767135</v>
      </c>
      <c r="M570" s="1">
        <f t="shared" si="175"/>
        <v>938.49693808580287</v>
      </c>
      <c r="N570" s="7">
        <f t="shared" si="176"/>
        <v>11.020168996737381</v>
      </c>
      <c r="O570" s="1">
        <f t="shared" si="177"/>
        <v>3000</v>
      </c>
      <c r="P570" s="2">
        <f t="shared" si="178"/>
        <v>6.088659587362141</v>
      </c>
      <c r="Q570" s="2">
        <f t="shared" si="185"/>
        <v>803.49931636700262</v>
      </c>
      <c r="S570" s="1">
        <f t="shared" si="166"/>
        <v>3000</v>
      </c>
      <c r="T570" s="1">
        <f t="shared" si="167"/>
        <v>6487.6712328767135</v>
      </c>
      <c r="V570" s="1">
        <f t="shared" si="179"/>
        <v>6487.6712328767135</v>
      </c>
      <c r="W570" s="1">
        <f t="shared" si="180"/>
        <v>3000</v>
      </c>
    </row>
    <row r="571" spans="1:23" x14ac:dyDescent="0.25">
      <c r="A571" s="2">
        <f t="shared" si="181"/>
        <v>55.900000000000524</v>
      </c>
      <c r="B571" s="7">
        <f t="shared" si="184"/>
        <v>23.68</v>
      </c>
      <c r="C571" s="7">
        <f t="shared" si="168"/>
        <v>1.8778312021501915</v>
      </c>
      <c r="D571" s="7">
        <f t="shared" si="169"/>
        <v>11.087065283486925</v>
      </c>
      <c r="E571" s="7">
        <f t="shared" si="170"/>
        <v>1</v>
      </c>
      <c r="G571" s="4">
        <f t="shared" si="171"/>
        <v>5590.0000000000528</v>
      </c>
      <c r="H571" s="1">
        <f t="shared" si="182"/>
        <v>1.5413851351351349</v>
      </c>
      <c r="I571" s="1">
        <f t="shared" si="183"/>
        <v>918.52087623030741</v>
      </c>
      <c r="J571" s="1">
        <f t="shared" si="172"/>
        <v>30.617362541010248</v>
      </c>
      <c r="K571" s="7">
        <f t="shared" si="173"/>
        <v>2.5164955513159106</v>
      </c>
      <c r="L571" s="4">
        <f t="shared" si="174"/>
        <v>6487.6712328767135</v>
      </c>
      <c r="M571" s="1">
        <f t="shared" si="175"/>
        <v>938.91560107509576</v>
      </c>
      <c r="N571" s="7">
        <f t="shared" si="176"/>
        <v>11.087065283486925</v>
      </c>
      <c r="O571" s="1">
        <f t="shared" si="177"/>
        <v>3000</v>
      </c>
      <c r="P571" s="2">
        <f t="shared" si="178"/>
        <v>6.0913757351940472</v>
      </c>
      <c r="Q571" s="2">
        <f t="shared" si="185"/>
        <v>808.98504504480616</v>
      </c>
      <c r="S571" s="1">
        <f t="shared" si="166"/>
        <v>3000</v>
      </c>
      <c r="T571" s="1">
        <f t="shared" si="167"/>
        <v>6487.6712328767135</v>
      </c>
      <c r="V571" s="1">
        <f t="shared" si="179"/>
        <v>6487.6712328767135</v>
      </c>
      <c r="W571" s="1">
        <f t="shared" si="180"/>
        <v>3000</v>
      </c>
    </row>
    <row r="572" spans="1:23" x14ac:dyDescent="0.25">
      <c r="A572" s="2">
        <f t="shared" si="181"/>
        <v>56.000000000000526</v>
      </c>
      <c r="B572" s="7">
        <f t="shared" si="184"/>
        <v>23.68</v>
      </c>
      <c r="C572" s="7">
        <f t="shared" si="168"/>
        <v>1.8786689016594551</v>
      </c>
      <c r="D572" s="7">
        <f t="shared" si="169"/>
        <v>11.154367654134292</v>
      </c>
      <c r="E572" s="7">
        <f t="shared" si="170"/>
        <v>1</v>
      </c>
      <c r="G572" s="4">
        <f t="shared" si="171"/>
        <v>5600.0000000000528</v>
      </c>
      <c r="H572" s="1">
        <f t="shared" si="182"/>
        <v>1.5413851351351349</v>
      </c>
      <c r="I572" s="1">
        <f t="shared" si="183"/>
        <v>920.06226136544251</v>
      </c>
      <c r="J572" s="1">
        <f t="shared" si="172"/>
        <v>30.668742045514751</v>
      </c>
      <c r="K572" s="7">
        <f t="shared" si="173"/>
        <v>2.5207185242888834</v>
      </c>
      <c r="L572" s="4">
        <f t="shared" si="174"/>
        <v>6487.6712328767135</v>
      </c>
      <c r="M572" s="1">
        <f t="shared" si="175"/>
        <v>939.33445082972753</v>
      </c>
      <c r="N572" s="7">
        <f t="shared" si="176"/>
        <v>11.154367654134292</v>
      </c>
      <c r="O572" s="1">
        <f t="shared" si="177"/>
        <v>3000</v>
      </c>
      <c r="P572" s="2">
        <f t="shared" si="178"/>
        <v>6.0940930946980689</v>
      </c>
      <c r="Q572" s="2">
        <f t="shared" si="185"/>
        <v>814.51241034500879</v>
      </c>
      <c r="S572" s="1">
        <f t="shared" si="166"/>
        <v>3000</v>
      </c>
      <c r="T572" s="1">
        <f t="shared" si="167"/>
        <v>6487.6712328767135</v>
      </c>
      <c r="V572" s="1">
        <f t="shared" si="179"/>
        <v>6487.6712328767135</v>
      </c>
      <c r="W572" s="1">
        <f t="shared" si="180"/>
        <v>3000</v>
      </c>
    </row>
    <row r="573" spans="1:23" x14ac:dyDescent="0.25">
      <c r="A573" s="2">
        <f t="shared" si="181"/>
        <v>56.100000000000527</v>
      </c>
      <c r="B573" s="7">
        <f t="shared" si="184"/>
        <v>23.68</v>
      </c>
      <c r="C573" s="7">
        <f t="shared" si="168"/>
        <v>1.8795069748660282</v>
      </c>
      <c r="D573" s="7">
        <f t="shared" si="169"/>
        <v>11.222078573751016</v>
      </c>
      <c r="E573" s="7">
        <f t="shared" si="170"/>
        <v>1</v>
      </c>
      <c r="G573" s="4">
        <f t="shared" si="171"/>
        <v>5610.0000000000528</v>
      </c>
      <c r="H573" s="1">
        <f t="shared" si="182"/>
        <v>1.5413851351351349</v>
      </c>
      <c r="I573" s="1">
        <f t="shared" si="183"/>
        <v>921.60364650057761</v>
      </c>
      <c r="J573" s="1">
        <f t="shared" si="172"/>
        <v>30.720121550019254</v>
      </c>
      <c r="K573" s="7">
        <f t="shared" si="173"/>
        <v>2.5249414972618567</v>
      </c>
      <c r="L573" s="4">
        <f t="shared" si="174"/>
        <v>6487.6712328767135</v>
      </c>
      <c r="M573" s="1">
        <f t="shared" si="175"/>
        <v>939.75348743301413</v>
      </c>
      <c r="N573" s="7">
        <f t="shared" si="176"/>
        <v>11.222078573751016</v>
      </c>
      <c r="O573" s="1">
        <f t="shared" si="177"/>
        <v>3000</v>
      </c>
      <c r="P573" s="2">
        <f t="shared" si="178"/>
        <v>6.0968116664147338</v>
      </c>
      <c r="Q573" s="2">
        <f t="shared" si="185"/>
        <v>820.08178572291172</v>
      </c>
      <c r="S573" s="1">
        <f t="shared" si="166"/>
        <v>3000</v>
      </c>
      <c r="T573" s="1">
        <f t="shared" si="167"/>
        <v>6487.6712328767135</v>
      </c>
      <c r="V573" s="1">
        <f t="shared" si="179"/>
        <v>6487.6712328767135</v>
      </c>
      <c r="W573" s="1">
        <f t="shared" si="180"/>
        <v>3000</v>
      </c>
    </row>
    <row r="574" spans="1:23" x14ac:dyDescent="0.25">
      <c r="A574" s="2">
        <f t="shared" si="181"/>
        <v>56.200000000000529</v>
      </c>
      <c r="B574" s="7">
        <f t="shared" si="184"/>
        <v>23.68</v>
      </c>
      <c r="C574" s="7">
        <f t="shared" si="168"/>
        <v>1.8803454219366169</v>
      </c>
      <c r="D574" s="7">
        <f t="shared" si="169"/>
        <v>11.290200522372478</v>
      </c>
      <c r="E574" s="7">
        <f t="shared" si="170"/>
        <v>1</v>
      </c>
      <c r="G574" s="4">
        <f t="shared" si="171"/>
        <v>5620.0000000000528</v>
      </c>
      <c r="H574" s="1">
        <f t="shared" si="182"/>
        <v>1.5413851351351349</v>
      </c>
      <c r="I574" s="1">
        <f t="shared" si="183"/>
        <v>923.14503163571271</v>
      </c>
      <c r="J574" s="1">
        <f t="shared" si="172"/>
        <v>30.771501054523757</v>
      </c>
      <c r="K574" s="7">
        <f t="shared" si="173"/>
        <v>2.5291644702348295</v>
      </c>
      <c r="L574" s="4">
        <f t="shared" si="174"/>
        <v>6487.6712328767135</v>
      </c>
      <c r="M574" s="1">
        <f t="shared" si="175"/>
        <v>940.17271096830848</v>
      </c>
      <c r="N574" s="7">
        <f t="shared" si="176"/>
        <v>11.290200522372478</v>
      </c>
      <c r="O574" s="1">
        <f t="shared" si="177"/>
        <v>3000</v>
      </c>
      <c r="P574" s="2">
        <f t="shared" si="178"/>
        <v>6.0995314508848075</v>
      </c>
      <c r="Q574" s="2">
        <f t="shared" si="185"/>
        <v>825.69354878181628</v>
      </c>
      <c r="S574" s="1">
        <f t="shared" si="166"/>
        <v>3000</v>
      </c>
      <c r="T574" s="1">
        <f t="shared" si="167"/>
        <v>6487.6712328767135</v>
      </c>
      <c r="V574" s="1">
        <f t="shared" si="179"/>
        <v>6487.6712328767135</v>
      </c>
      <c r="W574" s="1">
        <f t="shared" si="180"/>
        <v>3000</v>
      </c>
    </row>
    <row r="575" spans="1:23" x14ac:dyDescent="0.25">
      <c r="A575" s="2">
        <f t="shared" si="181"/>
        <v>56.30000000000053</v>
      </c>
      <c r="B575" s="7">
        <f t="shared" si="184"/>
        <v>23.68</v>
      </c>
      <c r="C575" s="7">
        <f t="shared" si="168"/>
        <v>1.8811842430380017</v>
      </c>
      <c r="D575" s="7">
        <f t="shared" si="169"/>
        <v>11.358735995088738</v>
      </c>
      <c r="E575" s="7">
        <f t="shared" si="170"/>
        <v>1</v>
      </c>
      <c r="G575" s="4">
        <f t="shared" si="171"/>
        <v>5630.0000000000528</v>
      </c>
      <c r="H575" s="1">
        <f t="shared" si="182"/>
        <v>1.5413851351351349</v>
      </c>
      <c r="I575" s="1">
        <f t="shared" si="183"/>
        <v>924.68641677084781</v>
      </c>
      <c r="J575" s="1">
        <f t="shared" si="172"/>
        <v>30.82288055902826</v>
      </c>
      <c r="K575" s="7">
        <f t="shared" si="173"/>
        <v>2.5333874432078023</v>
      </c>
      <c r="L575" s="4">
        <f t="shared" si="174"/>
        <v>6487.6712328767135</v>
      </c>
      <c r="M575" s="1">
        <f t="shared" si="175"/>
        <v>940.5921215190009</v>
      </c>
      <c r="N575" s="7">
        <f t="shared" si="176"/>
        <v>11.358735995088738</v>
      </c>
      <c r="O575" s="1">
        <f t="shared" si="177"/>
        <v>3000</v>
      </c>
      <c r="P575" s="2">
        <f t="shared" si="178"/>
        <v>6.1022524486492999</v>
      </c>
      <c r="Q575" s="2">
        <f t="shared" si="185"/>
        <v>831.34808133033266</v>
      </c>
      <c r="S575" s="1">
        <f t="shared" si="166"/>
        <v>3000</v>
      </c>
      <c r="T575" s="1">
        <f t="shared" si="167"/>
        <v>6487.6712328767135</v>
      </c>
      <c r="V575" s="1">
        <f t="shared" si="179"/>
        <v>6487.6712328767135</v>
      </c>
      <c r="W575" s="1">
        <f t="shared" si="180"/>
        <v>3000</v>
      </c>
    </row>
    <row r="576" spans="1:23" x14ac:dyDescent="0.25">
      <c r="A576" s="2">
        <f t="shared" si="181"/>
        <v>56.400000000000531</v>
      </c>
      <c r="B576" s="7">
        <f t="shared" si="184"/>
        <v>23.68</v>
      </c>
      <c r="C576" s="7">
        <f t="shared" si="168"/>
        <v>1.8820234383370376</v>
      </c>
      <c r="D576" s="7">
        <f t="shared" si="169"/>
        <v>11.42768750213593</v>
      </c>
      <c r="E576" s="7">
        <f t="shared" si="170"/>
        <v>1</v>
      </c>
      <c r="G576" s="4">
        <f t="shared" si="171"/>
        <v>5640.0000000000528</v>
      </c>
      <c r="H576" s="1">
        <f t="shared" si="182"/>
        <v>1.5413851351351349</v>
      </c>
      <c r="I576" s="1">
        <f t="shared" si="183"/>
        <v>926.22780190598291</v>
      </c>
      <c r="J576" s="1">
        <f t="shared" si="172"/>
        <v>30.874260063532763</v>
      </c>
      <c r="K576" s="7">
        <f t="shared" si="173"/>
        <v>2.5376104161807751</v>
      </c>
      <c r="L576" s="4">
        <f t="shared" si="174"/>
        <v>6487.6712328767135</v>
      </c>
      <c r="M576" s="1">
        <f t="shared" si="175"/>
        <v>941.01171916851877</v>
      </c>
      <c r="N576" s="7">
        <f t="shared" si="176"/>
        <v>11.42768750213593</v>
      </c>
      <c r="O576" s="1">
        <f t="shared" si="177"/>
        <v>3000</v>
      </c>
      <c r="P576" s="2">
        <f t="shared" si="178"/>
        <v>6.1049746602494599</v>
      </c>
      <c r="Q576" s="2">
        <f t="shared" si="185"/>
        <v>837.0457694406465</v>
      </c>
      <c r="S576" s="1">
        <f t="shared" si="166"/>
        <v>3000</v>
      </c>
      <c r="T576" s="1">
        <f t="shared" si="167"/>
        <v>6487.6712328767135</v>
      </c>
      <c r="V576" s="1">
        <f t="shared" si="179"/>
        <v>6487.6712328767135</v>
      </c>
      <c r="W576" s="1">
        <f t="shared" si="180"/>
        <v>3000</v>
      </c>
    </row>
    <row r="577" spans="1:23" x14ac:dyDescent="0.25">
      <c r="A577" s="2">
        <f t="shared" si="181"/>
        <v>56.500000000000533</v>
      </c>
      <c r="B577" s="7">
        <f t="shared" si="184"/>
        <v>23.68</v>
      </c>
      <c r="C577" s="7">
        <f t="shared" si="168"/>
        <v>1.8828630080006536</v>
      </c>
      <c r="D577" s="7">
        <f t="shared" si="169"/>
        <v>11.497057568988211</v>
      </c>
      <c r="E577" s="7">
        <f t="shared" si="170"/>
        <v>1</v>
      </c>
      <c r="G577" s="4">
        <f t="shared" si="171"/>
        <v>5650.0000000000528</v>
      </c>
      <c r="H577" s="1">
        <f t="shared" si="182"/>
        <v>1.5413851351351349</v>
      </c>
      <c r="I577" s="1">
        <f t="shared" si="183"/>
        <v>927.76918704111802</v>
      </c>
      <c r="J577" s="1">
        <f t="shared" si="172"/>
        <v>30.925639568037266</v>
      </c>
      <c r="K577" s="7">
        <f t="shared" si="173"/>
        <v>2.5418333891537479</v>
      </c>
      <c r="L577" s="4">
        <f t="shared" si="174"/>
        <v>6487.6712328767135</v>
      </c>
      <c r="M577" s="1">
        <f t="shared" si="175"/>
        <v>941.43150400032687</v>
      </c>
      <c r="N577" s="7">
        <f t="shared" si="176"/>
        <v>11.497057568988211</v>
      </c>
      <c r="O577" s="1">
        <f t="shared" si="177"/>
        <v>3000</v>
      </c>
      <c r="P577" s="2">
        <f t="shared" si="178"/>
        <v>6.1076980862267787</v>
      </c>
      <c r="Q577" s="2">
        <f t="shared" si="185"/>
        <v>842.78700350776103</v>
      </c>
      <c r="S577" s="1">
        <f t="shared" si="166"/>
        <v>3000</v>
      </c>
      <c r="T577" s="1">
        <f t="shared" si="167"/>
        <v>6487.6712328767135</v>
      </c>
      <c r="V577" s="1">
        <f t="shared" si="179"/>
        <v>6487.6712328767135</v>
      </c>
      <c r="W577" s="1">
        <f t="shared" si="180"/>
        <v>3000</v>
      </c>
    </row>
    <row r="578" spans="1:23" x14ac:dyDescent="0.25">
      <c r="A578" s="2">
        <f t="shared" si="181"/>
        <v>56.600000000000534</v>
      </c>
      <c r="B578" s="7">
        <f t="shared" si="184"/>
        <v>23.68</v>
      </c>
      <c r="C578" s="7">
        <f t="shared" si="168"/>
        <v>1.8837029521958546</v>
      </c>
      <c r="D578" s="7">
        <f t="shared" si="169"/>
        <v>11.566848736450227</v>
      </c>
      <c r="E578" s="7">
        <f t="shared" si="170"/>
        <v>1</v>
      </c>
      <c r="G578" s="4">
        <f t="shared" si="171"/>
        <v>5660.0000000000537</v>
      </c>
      <c r="H578" s="1">
        <f t="shared" si="182"/>
        <v>1.541385135135275</v>
      </c>
      <c r="I578" s="1">
        <f t="shared" si="183"/>
        <v>929.31057217625334</v>
      </c>
      <c r="J578" s="1">
        <f t="shared" si="172"/>
        <v>30.977019072541779</v>
      </c>
      <c r="K578" s="7">
        <f t="shared" si="173"/>
        <v>2.5460563621267216</v>
      </c>
      <c r="L578" s="4">
        <f t="shared" si="174"/>
        <v>6487.6712328767135</v>
      </c>
      <c r="M578" s="1">
        <f t="shared" si="175"/>
        <v>941.85147609792728</v>
      </c>
      <c r="N578" s="7">
        <f t="shared" si="176"/>
        <v>11.566848736450227</v>
      </c>
      <c r="O578" s="1">
        <f t="shared" si="177"/>
        <v>3000</v>
      </c>
      <c r="P578" s="2">
        <f t="shared" si="178"/>
        <v>6.1104227271229918</v>
      </c>
      <c r="Q578" s="2">
        <f t="shared" si="185"/>
        <v>848.57217830973252</v>
      </c>
      <c r="S578" s="1">
        <f t="shared" si="166"/>
        <v>3000</v>
      </c>
      <c r="T578" s="1">
        <f t="shared" si="167"/>
        <v>6487.6712328767135</v>
      </c>
      <c r="V578" s="1">
        <f t="shared" si="179"/>
        <v>6487.6712328767135</v>
      </c>
      <c r="W578" s="1">
        <f t="shared" si="180"/>
        <v>3000</v>
      </c>
    </row>
    <row r="579" spans="1:23" x14ac:dyDescent="0.25">
      <c r="A579" s="2">
        <f t="shared" si="181"/>
        <v>56.700000000000536</v>
      </c>
      <c r="B579" s="7">
        <f t="shared" si="184"/>
        <v>23.68</v>
      </c>
      <c r="C579" s="7">
        <f t="shared" si="168"/>
        <v>1.8845432710897176</v>
      </c>
      <c r="D579" s="7">
        <f t="shared" si="169"/>
        <v>11.637063560750219</v>
      </c>
      <c r="E579" s="7">
        <f t="shared" si="170"/>
        <v>1</v>
      </c>
      <c r="G579" s="4">
        <f t="shared" si="171"/>
        <v>5670.0000000000537</v>
      </c>
      <c r="H579" s="1">
        <f t="shared" si="182"/>
        <v>1.5413851351351349</v>
      </c>
      <c r="I579" s="1">
        <f t="shared" si="183"/>
        <v>930.85195731138845</v>
      </c>
      <c r="J579" s="1">
        <f t="shared" si="172"/>
        <v>31.028398577046282</v>
      </c>
      <c r="K579" s="7">
        <f t="shared" si="173"/>
        <v>2.5502793350996944</v>
      </c>
      <c r="L579" s="4">
        <f t="shared" si="174"/>
        <v>6487.6712328767135</v>
      </c>
      <c r="M579" s="1">
        <f t="shared" si="175"/>
        <v>942.27163554485878</v>
      </c>
      <c r="N579" s="7">
        <f t="shared" si="176"/>
        <v>11.637063560750219</v>
      </c>
      <c r="O579" s="1">
        <f t="shared" si="177"/>
        <v>3000</v>
      </c>
      <c r="P579" s="2">
        <f t="shared" si="178"/>
        <v>6.1131485834800712</v>
      </c>
      <c r="Q579" s="2">
        <f t="shared" si="185"/>
        <v>854.40169306892756</v>
      </c>
      <c r="S579" s="1">
        <f t="shared" si="166"/>
        <v>3000</v>
      </c>
      <c r="T579" s="1">
        <f t="shared" si="167"/>
        <v>6487.6712328767135</v>
      </c>
      <c r="V579" s="1">
        <f t="shared" si="179"/>
        <v>6487.6712328767135</v>
      </c>
      <c r="W579" s="1">
        <f t="shared" si="180"/>
        <v>3000</v>
      </c>
    </row>
    <row r="580" spans="1:23" x14ac:dyDescent="0.25">
      <c r="A580" s="2">
        <f t="shared" si="181"/>
        <v>56.800000000000537</v>
      </c>
      <c r="B580" s="7">
        <f t="shared" si="184"/>
        <v>23.68</v>
      </c>
      <c r="C580" s="7">
        <f t="shared" si="168"/>
        <v>1.8853839648493964</v>
      </c>
      <c r="D580" s="7">
        <f t="shared" si="169"/>
        <v>11.707704613633631</v>
      </c>
      <c r="E580" s="7">
        <f t="shared" si="170"/>
        <v>1</v>
      </c>
      <c r="G580" s="4">
        <f t="shared" si="171"/>
        <v>5680.0000000000537</v>
      </c>
      <c r="H580" s="1">
        <f t="shared" si="182"/>
        <v>1.5413851351351349</v>
      </c>
      <c r="I580" s="1">
        <f t="shared" si="183"/>
        <v>932.39334244652355</v>
      </c>
      <c r="J580" s="1">
        <f t="shared" si="172"/>
        <v>31.079778081550785</v>
      </c>
      <c r="K580" s="7">
        <f t="shared" si="173"/>
        <v>2.5545023080726672</v>
      </c>
      <c r="L580" s="4">
        <f t="shared" si="174"/>
        <v>6487.6712328767135</v>
      </c>
      <c r="M580" s="1">
        <f t="shared" si="175"/>
        <v>942.69198242469815</v>
      </c>
      <c r="N580" s="7">
        <f t="shared" si="176"/>
        <v>11.707704613633631</v>
      </c>
      <c r="O580" s="1">
        <f t="shared" si="177"/>
        <v>3000</v>
      </c>
      <c r="P580" s="2">
        <f t="shared" si="178"/>
        <v>6.1158756558402345</v>
      </c>
      <c r="Q580" s="2">
        <f t="shared" si="185"/>
        <v>860.27595151431035</v>
      </c>
      <c r="S580" s="1">
        <f t="shared" si="166"/>
        <v>3000</v>
      </c>
      <c r="T580" s="1">
        <f t="shared" si="167"/>
        <v>6487.6712328767135</v>
      </c>
      <c r="V580" s="1">
        <f t="shared" si="179"/>
        <v>6487.6712328767135</v>
      </c>
      <c r="W580" s="1">
        <f t="shared" si="180"/>
        <v>3000</v>
      </c>
    </row>
    <row r="581" spans="1:23" x14ac:dyDescent="0.25">
      <c r="A581" s="2">
        <f t="shared" si="181"/>
        <v>56.900000000000539</v>
      </c>
      <c r="B581" s="7">
        <f t="shared" si="184"/>
        <v>23.68</v>
      </c>
      <c r="C581" s="7">
        <f t="shared" si="168"/>
        <v>1.8862250336421185</v>
      </c>
      <c r="D581" s="7">
        <f t="shared" si="169"/>
        <v>11.77877448245728</v>
      </c>
      <c r="E581" s="7">
        <f t="shared" si="170"/>
        <v>1</v>
      </c>
      <c r="G581" s="4">
        <f t="shared" si="171"/>
        <v>5690.0000000000537</v>
      </c>
      <c r="H581" s="1">
        <f t="shared" si="182"/>
        <v>1.5413851351351349</v>
      </c>
      <c r="I581" s="1">
        <f t="shared" si="183"/>
        <v>933.93472758165865</v>
      </c>
      <c r="J581" s="1">
        <f t="shared" si="172"/>
        <v>31.131157586055288</v>
      </c>
      <c r="K581" s="7">
        <f t="shared" si="173"/>
        <v>2.55872528104564</v>
      </c>
      <c r="L581" s="4">
        <f t="shared" si="174"/>
        <v>6487.6712328767135</v>
      </c>
      <c r="M581" s="1">
        <f t="shared" si="175"/>
        <v>943.11251682105922</v>
      </c>
      <c r="N581" s="7">
        <f t="shared" si="176"/>
        <v>11.77877448245728</v>
      </c>
      <c r="O581" s="1">
        <f t="shared" si="177"/>
        <v>3000</v>
      </c>
      <c r="P581" s="2">
        <f t="shared" si="178"/>
        <v>6.1186039447459413</v>
      </c>
      <c r="Q581" s="2">
        <f t="shared" si="185"/>
        <v>866.19536194478474</v>
      </c>
      <c r="S581" s="1">
        <f t="shared" si="166"/>
        <v>3000</v>
      </c>
      <c r="T581" s="1">
        <f t="shared" si="167"/>
        <v>6487.6712328767135</v>
      </c>
      <c r="V581" s="1">
        <f t="shared" si="179"/>
        <v>6487.6712328767135</v>
      </c>
      <c r="W581" s="1">
        <f t="shared" si="180"/>
        <v>3000</v>
      </c>
    </row>
    <row r="582" spans="1:23" x14ac:dyDescent="0.25">
      <c r="A582" s="2">
        <f t="shared" si="181"/>
        <v>57.00000000000054</v>
      </c>
      <c r="B582" s="7">
        <f t="shared" si="184"/>
        <v>23.68</v>
      </c>
      <c r="C582" s="7">
        <f t="shared" si="168"/>
        <v>1.8870664776351851</v>
      </c>
      <c r="D582" s="7">
        <f t="shared" si="169"/>
        <v>11.850275770284165</v>
      </c>
      <c r="E582" s="7">
        <f t="shared" si="170"/>
        <v>1</v>
      </c>
      <c r="G582" s="4">
        <f t="shared" si="171"/>
        <v>5700.0000000000546</v>
      </c>
      <c r="H582" s="1">
        <f t="shared" si="182"/>
        <v>1.541385135135275</v>
      </c>
      <c r="I582" s="1">
        <f t="shared" si="183"/>
        <v>935.47611271679398</v>
      </c>
      <c r="J582" s="1">
        <f t="shared" si="172"/>
        <v>31.182537090559798</v>
      </c>
      <c r="K582" s="7">
        <f t="shared" si="173"/>
        <v>2.5629482540186137</v>
      </c>
      <c r="L582" s="4">
        <f t="shared" si="174"/>
        <v>6487.6712328767135</v>
      </c>
      <c r="M582" s="1">
        <f t="shared" si="175"/>
        <v>943.53323881759252</v>
      </c>
      <c r="N582" s="7">
        <f t="shared" si="176"/>
        <v>11.850275770284165</v>
      </c>
      <c r="O582" s="1">
        <f t="shared" si="177"/>
        <v>3000</v>
      </c>
      <c r="P582" s="2">
        <f t="shared" si="178"/>
        <v>6.1213334507398898</v>
      </c>
      <c r="Q582" s="2">
        <f t="shared" si="185"/>
        <v>872.1603372936197</v>
      </c>
      <c r="S582" s="1">
        <f t="shared" si="166"/>
        <v>3000</v>
      </c>
      <c r="T582" s="1">
        <f t="shared" si="167"/>
        <v>6487.6712328767135</v>
      </c>
      <c r="V582" s="1">
        <f t="shared" si="179"/>
        <v>6487.6712328767135</v>
      </c>
      <c r="W582" s="1">
        <f t="shared" si="180"/>
        <v>3000</v>
      </c>
    </row>
    <row r="583" spans="1:23" x14ac:dyDescent="0.25">
      <c r="A583" s="2">
        <f t="shared" si="181"/>
        <v>57.100000000000541</v>
      </c>
      <c r="B583" s="7">
        <f t="shared" si="184"/>
        <v>23.68</v>
      </c>
      <c r="C583" s="7">
        <f t="shared" si="168"/>
        <v>1.8879082969959737</v>
      </c>
      <c r="D583" s="7">
        <f t="shared" si="169"/>
        <v>11.922211095978788</v>
      </c>
      <c r="E583" s="7">
        <f t="shared" si="170"/>
        <v>1</v>
      </c>
      <c r="G583" s="4">
        <f t="shared" si="171"/>
        <v>5710.0000000000546</v>
      </c>
      <c r="H583" s="1">
        <f t="shared" si="182"/>
        <v>1.5413851351351349</v>
      </c>
      <c r="I583" s="1">
        <f t="shared" si="183"/>
        <v>937.01749785192908</v>
      </c>
      <c r="J583" s="1">
        <f t="shared" si="172"/>
        <v>31.233916595064304</v>
      </c>
      <c r="K583" s="7">
        <f t="shared" si="173"/>
        <v>2.5671712269915865</v>
      </c>
      <c r="L583" s="4">
        <f t="shared" si="174"/>
        <v>6487.6712328767135</v>
      </c>
      <c r="M583" s="1">
        <f t="shared" si="175"/>
        <v>943.95414849798692</v>
      </c>
      <c r="N583" s="7">
        <f t="shared" si="176"/>
        <v>11.922211095978788</v>
      </c>
      <c r="O583" s="1">
        <f t="shared" si="177"/>
        <v>3000</v>
      </c>
      <c r="P583" s="2">
        <f t="shared" si="178"/>
        <v>6.1240641743650235</v>
      </c>
      <c r="Q583" s="2">
        <f t="shared" si="185"/>
        <v>878.17129519396713</v>
      </c>
      <c r="S583" s="1">
        <f t="shared" si="166"/>
        <v>3000</v>
      </c>
      <c r="T583" s="1">
        <f t="shared" si="167"/>
        <v>6487.6712328767135</v>
      </c>
      <c r="V583" s="1">
        <f t="shared" si="179"/>
        <v>6487.6712328767135</v>
      </c>
      <c r="W583" s="1">
        <f t="shared" si="180"/>
        <v>3000</v>
      </c>
    </row>
    <row r="584" spans="1:23" x14ac:dyDescent="0.25">
      <c r="A584" s="2">
        <f t="shared" si="181"/>
        <v>57.200000000000543</v>
      </c>
      <c r="B584" s="7">
        <f t="shared" si="184"/>
        <v>23.68</v>
      </c>
      <c r="C584" s="7">
        <f t="shared" si="168"/>
        <v>1.8887504918919353</v>
      </c>
      <c r="D584" s="7">
        <f t="shared" si="169"/>
        <v>11.994583094303072</v>
      </c>
      <c r="E584" s="7">
        <f t="shared" si="170"/>
        <v>1</v>
      </c>
      <c r="G584" s="4">
        <f t="shared" si="171"/>
        <v>5720.0000000000537</v>
      </c>
      <c r="H584" s="1">
        <f t="shared" si="182"/>
        <v>1.5413851351349948</v>
      </c>
      <c r="I584" s="1">
        <f t="shared" si="183"/>
        <v>938.55888298706407</v>
      </c>
      <c r="J584" s="1">
        <f t="shared" si="172"/>
        <v>31.285296099568804</v>
      </c>
      <c r="K584" s="7">
        <f t="shared" si="173"/>
        <v>2.5713941999645589</v>
      </c>
      <c r="L584" s="4">
        <f t="shared" si="174"/>
        <v>6487.6712328767135</v>
      </c>
      <c r="M584" s="1">
        <f t="shared" si="175"/>
        <v>944.37524594596766</v>
      </c>
      <c r="N584" s="7">
        <f t="shared" si="176"/>
        <v>11.994583094303072</v>
      </c>
      <c r="O584" s="1">
        <f t="shared" si="177"/>
        <v>3000</v>
      </c>
      <c r="P584" s="2">
        <f t="shared" si="178"/>
        <v>6.1267961161645257</v>
      </c>
      <c r="Q584" s="2">
        <f t="shared" si="185"/>
        <v>884.2286580455027</v>
      </c>
      <c r="S584" s="1">
        <f t="shared" si="166"/>
        <v>3000</v>
      </c>
      <c r="T584" s="1">
        <f t="shared" si="167"/>
        <v>6487.6712328767135</v>
      </c>
      <c r="V584" s="1">
        <f t="shared" si="179"/>
        <v>6487.6712328767135</v>
      </c>
      <c r="W584" s="1">
        <f t="shared" si="180"/>
        <v>3000</v>
      </c>
    </row>
    <row r="585" spans="1:23" x14ac:dyDescent="0.25">
      <c r="A585" s="2">
        <f t="shared" si="181"/>
        <v>57.300000000000544</v>
      </c>
      <c r="B585" s="7">
        <f t="shared" si="184"/>
        <v>23.68</v>
      </c>
      <c r="C585" s="7">
        <f t="shared" si="168"/>
        <v>1.8895930624905957</v>
      </c>
      <c r="D585" s="7">
        <f t="shared" si="169"/>
        <v>12.067394416012863</v>
      </c>
      <c r="E585" s="7">
        <f t="shared" si="170"/>
        <v>1</v>
      </c>
      <c r="G585" s="4">
        <f t="shared" si="171"/>
        <v>5730.0000000000537</v>
      </c>
      <c r="H585" s="1">
        <f t="shared" si="182"/>
        <v>1.5413851351351349</v>
      </c>
      <c r="I585" s="1">
        <f t="shared" si="183"/>
        <v>940.10026812219917</v>
      </c>
      <c r="J585" s="1">
        <f t="shared" si="172"/>
        <v>31.336675604073307</v>
      </c>
      <c r="K585" s="7">
        <f t="shared" si="173"/>
        <v>2.5756171729375321</v>
      </c>
      <c r="L585" s="4">
        <f t="shared" si="174"/>
        <v>6487.6712328767135</v>
      </c>
      <c r="M585" s="1">
        <f t="shared" si="175"/>
        <v>944.79653124529784</v>
      </c>
      <c r="N585" s="7">
        <f t="shared" si="176"/>
        <v>12.067394416012863</v>
      </c>
      <c r="O585" s="1">
        <f t="shared" si="177"/>
        <v>3000</v>
      </c>
      <c r="P585" s="2">
        <f t="shared" si="178"/>
        <v>6.1295292766818239</v>
      </c>
      <c r="Q585" s="2">
        <f t="shared" si="185"/>
        <v>890.33285308220786</v>
      </c>
      <c r="S585" s="1">
        <f t="shared" si="166"/>
        <v>3000</v>
      </c>
      <c r="T585" s="1">
        <f t="shared" si="167"/>
        <v>6487.6712328767135</v>
      </c>
      <c r="V585" s="1">
        <f t="shared" si="179"/>
        <v>6487.6712328767135</v>
      </c>
      <c r="W585" s="1">
        <f t="shared" si="180"/>
        <v>3000</v>
      </c>
    </row>
    <row r="586" spans="1:23" x14ac:dyDescent="0.25">
      <c r="A586" s="2">
        <f t="shared" si="181"/>
        <v>57.400000000000546</v>
      </c>
      <c r="B586" s="7">
        <f t="shared" si="184"/>
        <v>23.68</v>
      </c>
      <c r="C586" s="7">
        <f t="shared" si="168"/>
        <v>1.8904360089595562</v>
      </c>
      <c r="D586" s="7">
        <f t="shared" si="169"/>
        <v>12.140647727955031</v>
      </c>
      <c r="E586" s="7">
        <f t="shared" si="170"/>
        <v>1</v>
      </c>
      <c r="G586" s="4">
        <f t="shared" si="171"/>
        <v>5740.0000000000555</v>
      </c>
      <c r="H586" s="1">
        <f t="shared" si="182"/>
        <v>1.5413851351354153</v>
      </c>
      <c r="I586" s="1">
        <f t="shared" si="183"/>
        <v>941.64165325733461</v>
      </c>
      <c r="J586" s="1">
        <f t="shared" si="172"/>
        <v>31.38805510857782</v>
      </c>
      <c r="K586" s="7">
        <f t="shared" si="173"/>
        <v>2.5798401459105058</v>
      </c>
      <c r="L586" s="4">
        <f t="shared" si="174"/>
        <v>6487.6712328767135</v>
      </c>
      <c r="M586" s="1">
        <f t="shared" si="175"/>
        <v>945.21800447977807</v>
      </c>
      <c r="N586" s="7">
        <f t="shared" si="176"/>
        <v>12.140647727955031</v>
      </c>
      <c r="O586" s="1">
        <f t="shared" si="177"/>
        <v>3000</v>
      </c>
      <c r="P586" s="2">
        <f t="shared" si="178"/>
        <v>6.132263656460589</v>
      </c>
      <c r="Q586" s="2">
        <f t="shared" si="185"/>
        <v>896.48431244131928</v>
      </c>
      <c r="S586" s="1">
        <f t="shared" si="166"/>
        <v>3000</v>
      </c>
      <c r="T586" s="1">
        <f t="shared" si="167"/>
        <v>6487.6712328767135</v>
      </c>
      <c r="V586" s="1">
        <f t="shared" si="179"/>
        <v>6487.6712328767135</v>
      </c>
      <c r="W586" s="1">
        <f t="shared" si="180"/>
        <v>3000</v>
      </c>
    </row>
    <row r="587" spans="1:23" x14ac:dyDescent="0.25">
      <c r="A587" s="2">
        <f t="shared" si="181"/>
        <v>57.500000000000547</v>
      </c>
      <c r="B587" s="7">
        <f t="shared" si="184"/>
        <v>23.68</v>
      </c>
      <c r="C587" s="7">
        <f t="shared" si="168"/>
        <v>1.891279331466492</v>
      </c>
      <c r="D587" s="7">
        <f t="shared" si="169"/>
        <v>12.214345713165146</v>
      </c>
      <c r="E587" s="7">
        <f t="shared" si="170"/>
        <v>1</v>
      </c>
      <c r="G587" s="4">
        <f t="shared" si="171"/>
        <v>5750.0000000000555</v>
      </c>
      <c r="H587" s="1">
        <f t="shared" si="182"/>
        <v>1.5413851351351349</v>
      </c>
      <c r="I587" s="1">
        <f t="shared" si="183"/>
        <v>943.18303839246971</v>
      </c>
      <c r="J587" s="1">
        <f t="shared" si="172"/>
        <v>31.439434613082323</v>
      </c>
      <c r="K587" s="7">
        <f t="shared" si="173"/>
        <v>2.5840631188834786</v>
      </c>
      <c r="L587" s="4">
        <f t="shared" si="174"/>
        <v>6487.6712328767135</v>
      </c>
      <c r="M587" s="1">
        <f t="shared" si="175"/>
        <v>945.63966573324603</v>
      </c>
      <c r="N587" s="7">
        <f t="shared" si="176"/>
        <v>12.214345713165146</v>
      </c>
      <c r="O587" s="1">
        <f t="shared" si="177"/>
        <v>3000</v>
      </c>
      <c r="P587" s="2">
        <f t="shared" si="178"/>
        <v>6.1349992560447317</v>
      </c>
      <c r="Q587" s="2">
        <f t="shared" si="185"/>
        <v>902.68347323346745</v>
      </c>
      <c r="S587" s="1">
        <f t="shared" si="166"/>
        <v>3000</v>
      </c>
      <c r="T587" s="1">
        <f t="shared" si="167"/>
        <v>6487.6712328767135</v>
      </c>
      <c r="V587" s="1">
        <f t="shared" si="179"/>
        <v>6487.6712328767135</v>
      </c>
      <c r="W587" s="1">
        <f t="shared" si="180"/>
        <v>3000</v>
      </c>
    </row>
    <row r="588" spans="1:23" x14ac:dyDescent="0.25">
      <c r="A588" s="2">
        <f t="shared" si="181"/>
        <v>57.600000000000549</v>
      </c>
      <c r="B588" s="7">
        <f t="shared" si="184"/>
        <v>23.68</v>
      </c>
      <c r="C588" s="7">
        <f t="shared" si="168"/>
        <v>1.8921230301791536</v>
      </c>
      <c r="D588" s="7">
        <f t="shared" si="169"/>
        <v>12.288491070965724</v>
      </c>
      <c r="E588" s="7">
        <f t="shared" si="170"/>
        <v>1</v>
      </c>
      <c r="G588" s="4">
        <f t="shared" si="171"/>
        <v>5760.0000000000546</v>
      </c>
      <c r="H588" s="1">
        <f t="shared" si="182"/>
        <v>1.5413851351349948</v>
      </c>
      <c r="I588" s="1">
        <f t="shared" si="183"/>
        <v>944.7244235276047</v>
      </c>
      <c r="J588" s="1">
        <f t="shared" si="172"/>
        <v>31.490814117586822</v>
      </c>
      <c r="K588" s="7">
        <f t="shared" si="173"/>
        <v>2.5882860918564514</v>
      </c>
      <c r="L588" s="4">
        <f t="shared" si="174"/>
        <v>6487.6712328767135</v>
      </c>
      <c r="M588" s="1">
        <f t="shared" si="175"/>
        <v>946.0615150895768</v>
      </c>
      <c r="N588" s="7">
        <f t="shared" si="176"/>
        <v>12.288491070965724</v>
      </c>
      <c r="O588" s="1">
        <f t="shared" si="177"/>
        <v>3000</v>
      </c>
      <c r="P588" s="2">
        <f t="shared" si="178"/>
        <v>6.1377360759784061</v>
      </c>
      <c r="Q588" s="2">
        <f t="shared" si="185"/>
        <v>908.93077761402583</v>
      </c>
      <c r="S588" s="1">
        <f t="shared" ref="S588:S651" si="186">E588*$H$3</f>
        <v>3000</v>
      </c>
      <c r="T588" s="1">
        <f t="shared" ref="T588:T651" si="187">B588/100*$H$2/365*1000000</f>
        <v>6487.6712328767135</v>
      </c>
      <c r="V588" s="1">
        <f t="shared" si="179"/>
        <v>6487.6712328767135</v>
      </c>
      <c r="W588" s="1">
        <f t="shared" si="180"/>
        <v>3000</v>
      </c>
    </row>
    <row r="589" spans="1:23" x14ac:dyDescent="0.25">
      <c r="A589" s="2">
        <f t="shared" si="181"/>
        <v>57.70000000000055</v>
      </c>
      <c r="B589" s="7">
        <f t="shared" si="184"/>
        <v>23.68</v>
      </c>
      <c r="C589" s="7">
        <f t="shared" ref="C589:C652" si="188">IF($C$5&lt;$C$7,IF(A589&lt;=$C$2,$C$3*EXP(A589*$C$4),IF(A589&lt;=$C$7,$C$6,IF($C$8*EXP(A589*$C$9)&gt;$C$6,$C$6,$C$8*EXP(A589*$C$9)))),IF(A589&lt;=$C$2,$C$3*EXP(A589*$C$4),IF(A589&lt;=$C$5,$C$6,IF($C$8*EXP(A589*$C$9)&gt;$C$6,$C$6,$C$8*EXP(A589*$C$9)))))</f>
        <v>1.892967105265366</v>
      </c>
      <c r="D589" s="7">
        <f t="shared" ref="D589:D652" si="189">IF(IF($D$5&lt;$D$7,IF(A589&lt;=$D$2,$D$3*EXP(A589*$D$4),IF(A589&lt;=$D$7,$D$6,IF($D$8*EXP(A589*$D$9)&gt;$D$6,$D$6,$D$8*EXP(A589*$D$9)))),IF(A589&lt;=$D$2,$D$3*EXP(A589*$D$4),IF(A589&lt;=$D$5,$D$6,IF($D$8*EXP(A589*$D$9)&gt;$D$6,$D$6,$D$8*EXP(A589*$D$9)))))&lt;=100,IF($D$5&lt;$D$7,IF(A589&lt;=$D$2,$D$3*EXP(A589*$D$4),IF(A589&lt;=$D$7,$D$6,IF($D$8*EXP(A589*$D$9)&gt;$D$6,$D$6,$D$8*EXP(A589*$D$9)))),IF(A589&lt;=$D$2,$D$3*EXP(A589*$D$4),IF(A589&lt;=$D$5,$D$6,IF($D$8*EXP(A589*$D$9)&gt;$D$6,$D$6,$D$8*EXP(A589*$D$9))))),100)</f>
        <v>12.363086517065133</v>
      </c>
      <c r="E589" s="7">
        <f t="shared" ref="E589:E652" si="190">IF($E$5&lt;$E$7,IF(A589&lt;=$E$2,$E$3*EXP(A589*$E$4),IF(A589&lt;=$E$7,$E$6,IF($E$8*EXP(A589*$E$9)&gt;$E$6,$E$6,$E$8*EXP(A589*$E$9)))),IF(A589&lt;=$E$2,$E$3*EXP(A589*$E$4),IF(A589&lt;=$E$5,$E$6,IF($E$8*EXP(A589*$E$9)&gt;$E$6,$E$6,$E$8*EXP(A589*$E$9)))))</f>
        <v>1</v>
      </c>
      <c r="G589" s="4">
        <f t="shared" ref="G589:G652" si="191">A589/100*$H$2*1000</f>
        <v>5770.0000000000546</v>
      </c>
      <c r="H589" s="1">
        <f t="shared" si="182"/>
        <v>1.5413851351351349</v>
      </c>
      <c r="I589" s="1">
        <f t="shared" si="183"/>
        <v>946.2658086627398</v>
      </c>
      <c r="J589" s="1">
        <f t="shared" ref="J589:J652" si="192">I589/30</f>
        <v>31.542193622091325</v>
      </c>
      <c r="K589" s="7">
        <f t="shared" ref="K589:K652" si="193">I589/365</f>
        <v>2.5925090648294242</v>
      </c>
      <c r="L589" s="4">
        <f t="shared" ref="L589:L652" si="194">IF(A589&gt;$B$2,IF(AND(B589/100*$H$2/365*1000000&gt;=$H$5,O589&gt;=$H$6,M589&lt;=$L$4,N589&lt;=$L$5),B589/100*$H$2/365*1000000*$L$6/100,#N/A),B589/100*$H$2/365*1000000*$L$6/100)</f>
        <v>6487.6712328767135</v>
      </c>
      <c r="M589" s="1">
        <f t="shared" ref="M589:M652" si="195">C589*$H$4</f>
        <v>946.48355263268297</v>
      </c>
      <c r="N589" s="7">
        <f t="shared" ref="N589:N652" si="196">D589</f>
        <v>12.363086517065133</v>
      </c>
      <c r="O589" s="1">
        <f t="shared" ref="O589:O652" si="197">E589*$H$3</f>
        <v>3000</v>
      </c>
      <c r="P589" s="2">
        <f t="shared" ref="P589:P652" si="198">L589*M589/1000000</f>
        <v>6.1404741168060095</v>
      </c>
      <c r="Q589" s="2">
        <f t="shared" si="185"/>
        <v>915.22667285570128</v>
      </c>
      <c r="S589" s="1">
        <f t="shared" si="186"/>
        <v>3000</v>
      </c>
      <c r="T589" s="1">
        <f t="shared" si="187"/>
        <v>6487.6712328767135</v>
      </c>
      <c r="V589" s="1">
        <f t="shared" ref="V589:V652" si="199">T589</f>
        <v>6487.6712328767135</v>
      </c>
      <c r="W589" s="1">
        <f t="shared" ref="W589:W652" si="200">S589</f>
        <v>3000</v>
      </c>
    </row>
    <row r="590" spans="1:23" x14ac:dyDescent="0.25">
      <c r="A590" s="2">
        <f t="shared" ref="A590:A653" si="201">A589+0.1</f>
        <v>57.800000000000551</v>
      </c>
      <c r="B590" s="7">
        <f t="shared" si="184"/>
        <v>23.68</v>
      </c>
      <c r="C590" s="7">
        <f t="shared" si="188"/>
        <v>1.8938115568930292</v>
      </c>
      <c r="D590" s="7">
        <f t="shared" si="189"/>
        <v>12.438134783657043</v>
      </c>
      <c r="E590" s="7">
        <f t="shared" si="190"/>
        <v>1</v>
      </c>
      <c r="G590" s="4">
        <f t="shared" si="191"/>
        <v>5780.0000000000555</v>
      </c>
      <c r="H590" s="1">
        <f t="shared" ref="H590:H653" si="202">(G590-G589)*1000/L590</f>
        <v>1.541385135135275</v>
      </c>
      <c r="I590" s="1">
        <f t="shared" ref="I590:I653" si="203">H590+I589</f>
        <v>947.80719379787513</v>
      </c>
      <c r="J590" s="1">
        <f t="shared" si="192"/>
        <v>31.593573126595839</v>
      </c>
      <c r="K590" s="7">
        <f t="shared" si="193"/>
        <v>2.5967320378023975</v>
      </c>
      <c r="L590" s="4">
        <f t="shared" si="194"/>
        <v>6487.6712328767135</v>
      </c>
      <c r="M590" s="1">
        <f t="shared" si="195"/>
        <v>946.90577844651455</v>
      </c>
      <c r="N590" s="7">
        <f t="shared" si="196"/>
        <v>12.438134783657043</v>
      </c>
      <c r="O590" s="1">
        <f t="shared" si="197"/>
        <v>3000</v>
      </c>
      <c r="P590" s="2">
        <f t="shared" si="198"/>
        <v>6.1432133790721828</v>
      </c>
      <c r="Q590" s="2">
        <f t="shared" si="185"/>
        <v>921.57161142238681</v>
      </c>
      <c r="S590" s="1">
        <f t="shared" si="186"/>
        <v>3000</v>
      </c>
      <c r="T590" s="1">
        <f t="shared" si="187"/>
        <v>6487.6712328767135</v>
      </c>
      <c r="V590" s="1">
        <f t="shared" si="199"/>
        <v>6487.6712328767135</v>
      </c>
      <c r="W590" s="1">
        <f t="shared" si="200"/>
        <v>3000</v>
      </c>
    </row>
    <row r="591" spans="1:23" x14ac:dyDescent="0.25">
      <c r="A591" s="2">
        <f t="shared" si="201"/>
        <v>57.900000000000553</v>
      </c>
      <c r="B591" s="7">
        <f t="shared" si="184"/>
        <v>23.68</v>
      </c>
      <c r="C591" s="7">
        <f t="shared" si="188"/>
        <v>1.8946563852301188</v>
      </c>
      <c r="D591" s="7">
        <f t="shared" si="189"/>
        <v>12.513638619520478</v>
      </c>
      <c r="E591" s="7">
        <f t="shared" si="190"/>
        <v>1</v>
      </c>
      <c r="G591" s="4">
        <f t="shared" si="191"/>
        <v>5790.0000000000555</v>
      </c>
      <c r="H591" s="1">
        <f t="shared" si="202"/>
        <v>1.5413851351351349</v>
      </c>
      <c r="I591" s="1">
        <f t="shared" si="203"/>
        <v>949.34857893301023</v>
      </c>
      <c r="J591" s="1">
        <f t="shared" si="192"/>
        <v>31.644952631100342</v>
      </c>
      <c r="K591" s="7">
        <f t="shared" si="193"/>
        <v>2.6009550107753703</v>
      </c>
      <c r="L591" s="4">
        <f t="shared" si="194"/>
        <v>6487.6712328767135</v>
      </c>
      <c r="M591" s="1">
        <f t="shared" si="195"/>
        <v>947.32819261505938</v>
      </c>
      <c r="N591" s="7">
        <f t="shared" si="196"/>
        <v>12.513638619520478</v>
      </c>
      <c r="O591" s="1">
        <f t="shared" si="197"/>
        <v>3000</v>
      </c>
      <c r="P591" s="2">
        <f t="shared" si="198"/>
        <v>6.1459538633218109</v>
      </c>
      <c r="Q591" s="2">
        <f t="shared" si="185"/>
        <v>927.96605104429932</v>
      </c>
      <c r="S591" s="1">
        <f t="shared" si="186"/>
        <v>3000</v>
      </c>
      <c r="T591" s="1">
        <f t="shared" si="187"/>
        <v>6487.6712328767135</v>
      </c>
      <c r="V591" s="1">
        <f t="shared" si="199"/>
        <v>6487.6712328767135</v>
      </c>
      <c r="W591" s="1">
        <f t="shared" si="200"/>
        <v>3000</v>
      </c>
    </row>
    <row r="592" spans="1:23" x14ac:dyDescent="0.25">
      <c r="A592" s="2">
        <f t="shared" si="201"/>
        <v>58.000000000000554</v>
      </c>
      <c r="B592" s="7">
        <f t="shared" si="184"/>
        <v>23.68</v>
      </c>
      <c r="C592" s="7">
        <f t="shared" si="188"/>
        <v>1.8955015904446839</v>
      </c>
      <c r="D592" s="7">
        <f t="shared" si="189"/>
        <v>12.58960079012053</v>
      </c>
      <c r="E592" s="7">
        <f t="shared" si="190"/>
        <v>1</v>
      </c>
      <c r="G592" s="4">
        <f t="shared" si="191"/>
        <v>5800.0000000000546</v>
      </c>
      <c r="H592" s="1">
        <f t="shared" si="202"/>
        <v>1.5413851351349948</v>
      </c>
      <c r="I592" s="1">
        <f t="shared" si="203"/>
        <v>950.88996406814522</v>
      </c>
      <c r="J592" s="1">
        <f t="shared" si="192"/>
        <v>31.696332135604841</v>
      </c>
      <c r="K592" s="7">
        <f t="shared" si="193"/>
        <v>2.6051779837483431</v>
      </c>
      <c r="L592" s="4">
        <f t="shared" si="194"/>
        <v>6487.6712328767135</v>
      </c>
      <c r="M592" s="1">
        <f t="shared" si="195"/>
        <v>947.75079522234194</v>
      </c>
      <c r="N592" s="7">
        <f t="shared" si="196"/>
        <v>12.58960079012053</v>
      </c>
      <c r="O592" s="1">
        <f t="shared" si="197"/>
        <v>3000</v>
      </c>
      <c r="P592" s="2">
        <f t="shared" si="198"/>
        <v>6.148695570100017</v>
      </c>
      <c r="Q592" s="2">
        <f t="shared" si="185"/>
        <v>934.41045479443858</v>
      </c>
      <c r="S592" s="1">
        <f t="shared" si="186"/>
        <v>3000</v>
      </c>
      <c r="T592" s="1">
        <f t="shared" si="187"/>
        <v>6487.6712328767135</v>
      </c>
      <c r="V592" s="1">
        <f t="shared" si="199"/>
        <v>6487.6712328767135</v>
      </c>
      <c r="W592" s="1">
        <f t="shared" si="200"/>
        <v>3000</v>
      </c>
    </row>
    <row r="593" spans="1:23" x14ac:dyDescent="0.25">
      <c r="A593" s="2">
        <f t="shared" si="201"/>
        <v>58.100000000000556</v>
      </c>
      <c r="B593" s="7">
        <f t="shared" si="184"/>
        <v>23.68</v>
      </c>
      <c r="C593" s="7">
        <f t="shared" si="188"/>
        <v>1.8963471727048498</v>
      </c>
      <c r="D593" s="7">
        <f t="shared" si="189"/>
        <v>12.666024077709636</v>
      </c>
      <c r="E593" s="7">
        <f t="shared" si="190"/>
        <v>1</v>
      </c>
      <c r="G593" s="4">
        <f t="shared" si="191"/>
        <v>5810.0000000000555</v>
      </c>
      <c r="H593" s="1">
        <f t="shared" si="202"/>
        <v>1.541385135135275</v>
      </c>
      <c r="I593" s="1">
        <f t="shared" si="203"/>
        <v>952.43134920328055</v>
      </c>
      <c r="J593" s="1">
        <f t="shared" si="192"/>
        <v>31.747711640109351</v>
      </c>
      <c r="K593" s="7">
        <f t="shared" si="193"/>
        <v>2.6094009567213168</v>
      </c>
      <c r="L593" s="4">
        <f t="shared" si="194"/>
        <v>6487.6712328767135</v>
      </c>
      <c r="M593" s="1">
        <f t="shared" si="195"/>
        <v>948.17358635242488</v>
      </c>
      <c r="N593" s="7">
        <f t="shared" si="196"/>
        <v>12.666024077709636</v>
      </c>
      <c r="O593" s="1">
        <f t="shared" si="197"/>
        <v>3000</v>
      </c>
      <c r="P593" s="2">
        <f t="shared" si="198"/>
        <v>6.151438499952171</v>
      </c>
      <c r="Q593" s="2">
        <f t="shared" si="185"/>
        <v>940.90529116638436</v>
      </c>
      <c r="S593" s="1">
        <f t="shared" si="186"/>
        <v>3000</v>
      </c>
      <c r="T593" s="1">
        <f t="shared" si="187"/>
        <v>6487.6712328767135</v>
      </c>
      <c r="V593" s="1">
        <f t="shared" si="199"/>
        <v>6487.6712328767135</v>
      </c>
      <c r="W593" s="1">
        <f t="shared" si="200"/>
        <v>3000</v>
      </c>
    </row>
    <row r="594" spans="1:23" x14ac:dyDescent="0.25">
      <c r="A594" s="2">
        <f t="shared" si="201"/>
        <v>58.200000000000557</v>
      </c>
      <c r="B594" s="7">
        <f t="shared" si="184"/>
        <v>23.68</v>
      </c>
      <c r="C594" s="7">
        <f t="shared" si="188"/>
        <v>1.8971931321788158</v>
      </c>
      <c r="D594" s="7">
        <f t="shared" si="189"/>
        <v>12.742911281429464</v>
      </c>
      <c r="E594" s="7">
        <f t="shared" si="190"/>
        <v>1</v>
      </c>
      <c r="G594" s="4">
        <f t="shared" si="191"/>
        <v>5820.0000000000564</v>
      </c>
      <c r="H594" s="1">
        <f t="shared" si="202"/>
        <v>1.541385135135275</v>
      </c>
      <c r="I594" s="1">
        <f t="shared" si="203"/>
        <v>953.97273433841588</v>
      </c>
      <c r="J594" s="1">
        <f t="shared" si="192"/>
        <v>31.799091144613861</v>
      </c>
      <c r="K594" s="7">
        <f t="shared" si="193"/>
        <v>2.61362392969429</v>
      </c>
      <c r="L594" s="4">
        <f t="shared" si="194"/>
        <v>6487.6712328767135</v>
      </c>
      <c r="M594" s="1">
        <f t="shared" si="195"/>
        <v>948.59656608940793</v>
      </c>
      <c r="N594" s="7">
        <f t="shared" si="196"/>
        <v>12.742911281429464</v>
      </c>
      <c r="O594" s="1">
        <f t="shared" si="197"/>
        <v>3000</v>
      </c>
      <c r="P594" s="2">
        <f t="shared" si="198"/>
        <v>6.1541826534238862</v>
      </c>
      <c r="Q594" s="2">
        <f t="shared" si="185"/>
        <v>947.45103415346227</v>
      </c>
      <c r="S594" s="1">
        <f t="shared" si="186"/>
        <v>3000</v>
      </c>
      <c r="T594" s="1">
        <f t="shared" si="187"/>
        <v>6487.6712328767135</v>
      </c>
      <c r="V594" s="1">
        <f t="shared" si="199"/>
        <v>6487.6712328767135</v>
      </c>
      <c r="W594" s="1">
        <f t="shared" si="200"/>
        <v>3000</v>
      </c>
    </row>
    <row r="595" spans="1:23" x14ac:dyDescent="0.25">
      <c r="A595" s="2">
        <f t="shared" si="201"/>
        <v>58.300000000000558</v>
      </c>
      <c r="B595" s="7">
        <f t="shared" si="184"/>
        <v>23.68</v>
      </c>
      <c r="C595" s="7">
        <f t="shared" si="188"/>
        <v>1.8980394690348572</v>
      </c>
      <c r="D595" s="7">
        <f t="shared" si="189"/>
        <v>12.820265217413462</v>
      </c>
      <c r="E595" s="7">
        <f t="shared" si="190"/>
        <v>1</v>
      </c>
      <c r="G595" s="4">
        <f t="shared" si="191"/>
        <v>5830.0000000000564</v>
      </c>
      <c r="H595" s="1">
        <f t="shared" si="202"/>
        <v>1.5413851351351349</v>
      </c>
      <c r="I595" s="1">
        <f t="shared" si="203"/>
        <v>955.51411947355098</v>
      </c>
      <c r="J595" s="1">
        <f t="shared" si="192"/>
        <v>31.850470649118368</v>
      </c>
      <c r="K595" s="7">
        <f t="shared" si="193"/>
        <v>2.6178469026672628</v>
      </c>
      <c r="L595" s="4">
        <f t="shared" si="194"/>
        <v>6487.6712328767135</v>
      </c>
      <c r="M595" s="1">
        <f t="shared" si="195"/>
        <v>949.01973451742856</v>
      </c>
      <c r="N595" s="7">
        <f t="shared" si="196"/>
        <v>12.820265217413462</v>
      </c>
      <c r="O595" s="1">
        <f t="shared" si="197"/>
        <v>3000</v>
      </c>
      <c r="P595" s="2">
        <f t="shared" si="198"/>
        <v>6.1569280310610166</v>
      </c>
      <c r="Q595" s="2">
        <f t="shared" si="185"/>
        <v>954.04816332931227</v>
      </c>
      <c r="S595" s="1">
        <f t="shared" si="186"/>
        <v>3000</v>
      </c>
      <c r="T595" s="1">
        <f t="shared" si="187"/>
        <v>6487.6712328767135</v>
      </c>
      <c r="V595" s="1">
        <f t="shared" si="199"/>
        <v>6487.6712328767135</v>
      </c>
      <c r="W595" s="1">
        <f t="shared" si="200"/>
        <v>3000</v>
      </c>
    </row>
    <row r="596" spans="1:23" x14ac:dyDescent="0.25">
      <c r="A596" s="2">
        <f t="shared" si="201"/>
        <v>58.40000000000056</v>
      </c>
      <c r="B596" s="7">
        <f t="shared" si="184"/>
        <v>23.68</v>
      </c>
      <c r="C596" s="7">
        <f t="shared" si="188"/>
        <v>1.898886183441324</v>
      </c>
      <c r="D596" s="7">
        <f t="shared" si="189"/>
        <v>12.898088718890005</v>
      </c>
      <c r="E596" s="7">
        <f t="shared" si="190"/>
        <v>1</v>
      </c>
      <c r="G596" s="4">
        <f t="shared" si="191"/>
        <v>5840.0000000000564</v>
      </c>
      <c r="H596" s="1">
        <f t="shared" si="202"/>
        <v>1.5413851351351349</v>
      </c>
      <c r="I596" s="1">
        <f t="shared" si="203"/>
        <v>957.05550460868608</v>
      </c>
      <c r="J596" s="1">
        <f t="shared" si="192"/>
        <v>31.90185015362287</v>
      </c>
      <c r="K596" s="7">
        <f t="shared" si="193"/>
        <v>2.6220698756402356</v>
      </c>
      <c r="L596" s="4">
        <f t="shared" si="194"/>
        <v>6487.6712328767135</v>
      </c>
      <c r="M596" s="1">
        <f t="shared" si="195"/>
        <v>949.44309172066198</v>
      </c>
      <c r="N596" s="7">
        <f t="shared" si="196"/>
        <v>12.898088718890005</v>
      </c>
      <c r="O596" s="1">
        <f t="shared" si="197"/>
        <v>3000</v>
      </c>
      <c r="P596" s="2">
        <f t="shared" si="198"/>
        <v>6.1596746334096659</v>
      </c>
      <c r="Q596" s="2">
        <f t="shared" si="185"/>
        <v>960.69716392987948</v>
      </c>
      <c r="S596" s="1">
        <f t="shared" si="186"/>
        <v>3000</v>
      </c>
      <c r="T596" s="1">
        <f t="shared" si="187"/>
        <v>6487.6712328767135</v>
      </c>
      <c r="V596" s="1">
        <f t="shared" si="199"/>
        <v>6487.6712328767135</v>
      </c>
      <c r="W596" s="1">
        <f t="shared" si="200"/>
        <v>3000</v>
      </c>
    </row>
    <row r="597" spans="1:23" x14ac:dyDescent="0.25">
      <c r="A597" s="2">
        <f t="shared" si="201"/>
        <v>58.500000000000561</v>
      </c>
      <c r="B597" s="7">
        <f t="shared" si="184"/>
        <v>23.68</v>
      </c>
      <c r="C597" s="7">
        <f t="shared" si="188"/>
        <v>1.8997332755666412</v>
      </c>
      <c r="D597" s="7">
        <f t="shared" si="189"/>
        <v>12.976384636286131</v>
      </c>
      <c r="E597" s="7">
        <f t="shared" si="190"/>
        <v>1</v>
      </c>
      <c r="G597" s="4">
        <f t="shared" si="191"/>
        <v>5850.0000000000564</v>
      </c>
      <c r="H597" s="1">
        <f t="shared" si="202"/>
        <v>1.5413851351351349</v>
      </c>
      <c r="I597" s="1">
        <f t="shared" si="203"/>
        <v>958.59688974382118</v>
      </c>
      <c r="J597" s="1">
        <f t="shared" si="192"/>
        <v>31.953229658127373</v>
      </c>
      <c r="K597" s="7">
        <f t="shared" si="193"/>
        <v>2.6262928486132089</v>
      </c>
      <c r="L597" s="4">
        <f t="shared" si="194"/>
        <v>6487.6712328767135</v>
      </c>
      <c r="M597" s="1">
        <f t="shared" si="195"/>
        <v>949.86663778332058</v>
      </c>
      <c r="N597" s="7">
        <f t="shared" si="196"/>
        <v>12.976384636286131</v>
      </c>
      <c r="O597" s="1">
        <f t="shared" si="197"/>
        <v>3000</v>
      </c>
      <c r="P597" s="2">
        <f t="shared" si="198"/>
        <v>6.162422461016174</v>
      </c>
      <c r="Q597" s="2">
        <f t="shared" si="185"/>
        <v>967.39852693686225</v>
      </c>
      <c r="S597" s="1">
        <f t="shared" si="186"/>
        <v>3000</v>
      </c>
      <c r="T597" s="1">
        <f t="shared" si="187"/>
        <v>6487.6712328767135</v>
      </c>
      <c r="V597" s="1">
        <f t="shared" si="199"/>
        <v>6487.6712328767135</v>
      </c>
      <c r="W597" s="1">
        <f t="shared" si="200"/>
        <v>3000</v>
      </c>
    </row>
    <row r="598" spans="1:23" x14ac:dyDescent="0.25">
      <c r="A598" s="2">
        <f t="shared" si="201"/>
        <v>58.600000000000563</v>
      </c>
      <c r="B598" s="7">
        <f t="shared" si="184"/>
        <v>23.68</v>
      </c>
      <c r="C598" s="7">
        <f t="shared" si="188"/>
        <v>1.9005807455793087</v>
      </c>
      <c r="D598" s="7">
        <f t="shared" si="189"/>
        <v>13.055155837331988</v>
      </c>
      <c r="E598" s="7">
        <f t="shared" si="190"/>
        <v>1</v>
      </c>
      <c r="G598" s="4">
        <f t="shared" si="191"/>
        <v>5860.0000000000564</v>
      </c>
      <c r="H598" s="1">
        <f t="shared" si="202"/>
        <v>1.5413851351351349</v>
      </c>
      <c r="I598" s="1">
        <f t="shared" si="203"/>
        <v>960.13827487895628</v>
      </c>
      <c r="J598" s="1">
        <f t="shared" si="192"/>
        <v>32.004609162631873</v>
      </c>
      <c r="K598" s="7">
        <f t="shared" si="193"/>
        <v>2.6305158215861817</v>
      </c>
      <c r="L598" s="4">
        <f t="shared" si="194"/>
        <v>6487.6712328767135</v>
      </c>
      <c r="M598" s="1">
        <f t="shared" si="195"/>
        <v>950.29037278965438</v>
      </c>
      <c r="N598" s="7">
        <f t="shared" si="196"/>
        <v>13.055155837331988</v>
      </c>
      <c r="O598" s="1">
        <f t="shared" si="197"/>
        <v>3000</v>
      </c>
      <c r="P598" s="2">
        <f t="shared" si="198"/>
        <v>6.1651715144271284</v>
      </c>
      <c r="Q598" s="2">
        <f t="shared" si="185"/>
        <v>974.15274916265025</v>
      </c>
      <c r="S598" s="1">
        <f t="shared" si="186"/>
        <v>3000</v>
      </c>
      <c r="T598" s="1">
        <f t="shared" si="187"/>
        <v>6487.6712328767135</v>
      </c>
      <c r="V598" s="1">
        <f t="shared" si="199"/>
        <v>6487.6712328767135</v>
      </c>
      <c r="W598" s="1">
        <f t="shared" si="200"/>
        <v>3000</v>
      </c>
    </row>
    <row r="599" spans="1:23" x14ac:dyDescent="0.25">
      <c r="A599" s="2">
        <f t="shared" si="201"/>
        <v>58.700000000000564</v>
      </c>
      <c r="B599" s="7">
        <f t="shared" si="184"/>
        <v>23.68</v>
      </c>
      <c r="C599" s="7">
        <f t="shared" si="188"/>
        <v>1.9014285936479021</v>
      </c>
      <c r="D599" s="7">
        <f t="shared" si="189"/>
        <v>13.134405207165857</v>
      </c>
      <c r="E599" s="7">
        <f t="shared" si="190"/>
        <v>1</v>
      </c>
      <c r="G599" s="4">
        <f t="shared" si="191"/>
        <v>5870.0000000000564</v>
      </c>
      <c r="H599" s="1">
        <f t="shared" si="202"/>
        <v>1.5413851351351349</v>
      </c>
      <c r="I599" s="1">
        <f t="shared" si="203"/>
        <v>961.67966001409138</v>
      </c>
      <c r="J599" s="1">
        <f t="shared" si="192"/>
        <v>32.055988667136383</v>
      </c>
      <c r="K599" s="7">
        <f t="shared" si="193"/>
        <v>2.6347387945591545</v>
      </c>
      <c r="L599" s="4">
        <f t="shared" si="194"/>
        <v>6487.6712328767135</v>
      </c>
      <c r="M599" s="1">
        <f t="shared" si="195"/>
        <v>950.71429682395103</v>
      </c>
      <c r="N599" s="7">
        <f t="shared" si="196"/>
        <v>13.134405207165857</v>
      </c>
      <c r="O599" s="1">
        <f t="shared" si="197"/>
        <v>3000</v>
      </c>
      <c r="P599" s="2">
        <f t="shared" si="198"/>
        <v>6.1679217941893603</v>
      </c>
      <c r="Q599" s="2">
        <f t="shared" si="185"/>
        <v>980.96033333677758</v>
      </c>
      <c r="S599" s="1">
        <f t="shared" si="186"/>
        <v>3000</v>
      </c>
      <c r="T599" s="1">
        <f t="shared" si="187"/>
        <v>6487.6712328767135</v>
      </c>
      <c r="V599" s="1">
        <f t="shared" si="199"/>
        <v>6487.6712328767135</v>
      </c>
      <c r="W599" s="1">
        <f t="shared" si="200"/>
        <v>3000</v>
      </c>
    </row>
    <row r="600" spans="1:23" x14ac:dyDescent="0.25">
      <c r="A600" s="2">
        <f t="shared" si="201"/>
        <v>58.800000000000566</v>
      </c>
      <c r="B600" s="7">
        <f t="shared" si="184"/>
        <v>23.68</v>
      </c>
      <c r="C600" s="7">
        <f t="shared" si="188"/>
        <v>1.902276819941072</v>
      </c>
      <c r="D600" s="7">
        <f t="shared" si="189"/>
        <v>13.214135648439795</v>
      </c>
      <c r="E600" s="7">
        <f t="shared" si="190"/>
        <v>1</v>
      </c>
      <c r="G600" s="4">
        <f t="shared" si="191"/>
        <v>5880.0000000000555</v>
      </c>
      <c r="H600" s="1">
        <f t="shared" si="202"/>
        <v>1.5413851351349948</v>
      </c>
      <c r="I600" s="1">
        <f t="shared" si="203"/>
        <v>963.22104514922637</v>
      </c>
      <c r="J600" s="1">
        <f t="shared" si="192"/>
        <v>32.107368171640879</v>
      </c>
      <c r="K600" s="7">
        <f t="shared" si="193"/>
        <v>2.6389617675321269</v>
      </c>
      <c r="L600" s="4">
        <f t="shared" si="194"/>
        <v>6487.6712328767135</v>
      </c>
      <c r="M600" s="1">
        <f t="shared" si="195"/>
        <v>951.13840997053603</v>
      </c>
      <c r="N600" s="7">
        <f t="shared" si="196"/>
        <v>13.214135648439795</v>
      </c>
      <c r="O600" s="1">
        <f t="shared" si="197"/>
        <v>3000</v>
      </c>
      <c r="P600" s="2">
        <f t="shared" si="198"/>
        <v>6.1706733008499439</v>
      </c>
      <c r="Q600" s="2">
        <f t="shared" si="185"/>
        <v>987.82178819392425</v>
      </c>
      <c r="S600" s="1">
        <f t="shared" si="186"/>
        <v>3000</v>
      </c>
      <c r="T600" s="1">
        <f t="shared" si="187"/>
        <v>6487.6712328767135</v>
      </c>
      <c r="V600" s="1">
        <f t="shared" si="199"/>
        <v>6487.6712328767135</v>
      </c>
      <c r="W600" s="1">
        <f t="shared" si="200"/>
        <v>3000</v>
      </c>
    </row>
    <row r="601" spans="1:23" x14ac:dyDescent="0.25">
      <c r="A601" s="2">
        <f t="shared" si="201"/>
        <v>58.900000000000567</v>
      </c>
      <c r="B601" s="7">
        <f t="shared" si="184"/>
        <v>23.68</v>
      </c>
      <c r="C601" s="7">
        <f t="shared" si="188"/>
        <v>1.9031254246275442</v>
      </c>
      <c r="D601" s="7">
        <f t="shared" si="189"/>
        <v>13.294350081425996</v>
      </c>
      <c r="E601" s="7">
        <f t="shared" si="190"/>
        <v>1</v>
      </c>
      <c r="G601" s="4">
        <f t="shared" si="191"/>
        <v>5890.0000000000564</v>
      </c>
      <c r="H601" s="1">
        <f t="shared" si="202"/>
        <v>1.541385135135275</v>
      </c>
      <c r="I601" s="1">
        <f t="shared" si="203"/>
        <v>964.7624302843617</v>
      </c>
      <c r="J601" s="1">
        <f t="shared" si="192"/>
        <v>32.158747676145389</v>
      </c>
      <c r="K601" s="7">
        <f t="shared" si="193"/>
        <v>2.6431847405051005</v>
      </c>
      <c r="L601" s="4">
        <f t="shared" si="194"/>
        <v>6487.6712328767135</v>
      </c>
      <c r="M601" s="1">
        <f t="shared" si="195"/>
        <v>951.56271231377207</v>
      </c>
      <c r="N601" s="7">
        <f t="shared" si="196"/>
        <v>13.294350081425996</v>
      </c>
      <c r="O601" s="1">
        <f t="shared" si="197"/>
        <v>3000</v>
      </c>
      <c r="P601" s="2">
        <f t="shared" si="198"/>
        <v>6.1734260349561989</v>
      </c>
      <c r="Q601" s="2">
        <f t="shared" si="185"/>
        <v>994.73762856350345</v>
      </c>
      <c r="S601" s="1">
        <f t="shared" si="186"/>
        <v>3000</v>
      </c>
      <c r="T601" s="1">
        <f t="shared" si="187"/>
        <v>6487.6712328767135</v>
      </c>
      <c r="V601" s="1">
        <f t="shared" si="199"/>
        <v>6487.6712328767135</v>
      </c>
      <c r="W601" s="1">
        <f t="shared" si="200"/>
        <v>3000</v>
      </c>
    </row>
    <row r="602" spans="1:23" x14ac:dyDescent="0.25">
      <c r="A602" s="2">
        <f t="shared" si="201"/>
        <v>59.000000000000568</v>
      </c>
      <c r="B602" s="7">
        <f t="shared" si="184"/>
        <v>23.68</v>
      </c>
      <c r="C602" s="7">
        <f t="shared" si="188"/>
        <v>1.9039744078761196</v>
      </c>
      <c r="D602" s="7">
        <f t="shared" si="189"/>
        <v>13.375051444123715</v>
      </c>
      <c r="E602" s="7">
        <f t="shared" si="190"/>
        <v>1</v>
      </c>
      <c r="G602" s="4">
        <f t="shared" si="191"/>
        <v>5900.0000000000564</v>
      </c>
      <c r="H602" s="1">
        <f t="shared" si="202"/>
        <v>1.5413851351351349</v>
      </c>
      <c r="I602" s="1">
        <f t="shared" si="203"/>
        <v>966.3038154194968</v>
      </c>
      <c r="J602" s="1">
        <f t="shared" si="192"/>
        <v>32.210127180649891</v>
      </c>
      <c r="K602" s="7">
        <f t="shared" si="193"/>
        <v>2.6474077134780734</v>
      </c>
      <c r="L602" s="4">
        <f t="shared" si="194"/>
        <v>6487.6712328767135</v>
      </c>
      <c r="M602" s="1">
        <f t="shared" si="195"/>
        <v>951.98720393805979</v>
      </c>
      <c r="N602" s="7">
        <f t="shared" si="196"/>
        <v>13.375051444123715</v>
      </c>
      <c r="O602" s="1">
        <f t="shared" si="197"/>
        <v>3000</v>
      </c>
      <c r="P602" s="2">
        <f t="shared" si="198"/>
        <v>6.1761799970556881</v>
      </c>
      <c r="Q602" s="2">
        <f t="shared" si="185"/>
        <v>1001.7083754608619</v>
      </c>
      <c r="S602" s="1">
        <f t="shared" si="186"/>
        <v>3000</v>
      </c>
      <c r="T602" s="1">
        <f t="shared" si="187"/>
        <v>6487.6712328767135</v>
      </c>
      <c r="V602" s="1">
        <f t="shared" si="199"/>
        <v>6487.6712328767135</v>
      </c>
      <c r="W602" s="1">
        <f t="shared" si="200"/>
        <v>3000</v>
      </c>
    </row>
    <row r="603" spans="1:23" x14ac:dyDescent="0.25">
      <c r="A603" s="2">
        <f t="shared" si="201"/>
        <v>59.10000000000057</v>
      </c>
      <c r="B603" s="7">
        <f t="shared" si="184"/>
        <v>23.68</v>
      </c>
      <c r="C603" s="7">
        <f t="shared" si="188"/>
        <v>1.9048237698556743</v>
      </c>
      <c r="D603" s="7">
        <f t="shared" si="189"/>
        <v>13.456242692366905</v>
      </c>
      <c r="E603" s="7">
        <f t="shared" si="190"/>
        <v>1</v>
      </c>
      <c r="G603" s="4">
        <f t="shared" si="191"/>
        <v>5910.0000000000573</v>
      </c>
      <c r="H603" s="1">
        <f t="shared" si="202"/>
        <v>1.541385135135275</v>
      </c>
      <c r="I603" s="1">
        <f t="shared" si="203"/>
        <v>967.84520055463213</v>
      </c>
      <c r="J603" s="1">
        <f t="shared" si="192"/>
        <v>32.261506685154401</v>
      </c>
      <c r="K603" s="7">
        <f t="shared" si="193"/>
        <v>2.651630686451047</v>
      </c>
      <c r="L603" s="4">
        <f t="shared" si="194"/>
        <v>6487.6712328767135</v>
      </c>
      <c r="M603" s="1">
        <f t="shared" si="195"/>
        <v>952.41188492783715</v>
      </c>
      <c r="N603" s="7">
        <f t="shared" si="196"/>
        <v>13.456242692366905</v>
      </c>
      <c r="O603" s="1">
        <f t="shared" si="197"/>
        <v>3000</v>
      </c>
      <c r="P603" s="2">
        <f t="shared" si="198"/>
        <v>6.178935187696216</v>
      </c>
      <c r="Q603" s="2">
        <f t="shared" si="185"/>
        <v>1008.7345561801312</v>
      </c>
      <c r="S603" s="1">
        <f t="shared" si="186"/>
        <v>3000</v>
      </c>
      <c r="T603" s="1">
        <f t="shared" si="187"/>
        <v>6487.6712328767135</v>
      </c>
      <c r="V603" s="1">
        <f t="shared" si="199"/>
        <v>6487.6712328767135</v>
      </c>
      <c r="W603" s="1">
        <f t="shared" si="200"/>
        <v>3000</v>
      </c>
    </row>
    <row r="604" spans="1:23" x14ac:dyDescent="0.25">
      <c r="A604" s="2">
        <f t="shared" si="201"/>
        <v>59.200000000000571</v>
      </c>
      <c r="B604" s="7">
        <f t="shared" si="184"/>
        <v>23.68</v>
      </c>
      <c r="C604" s="7">
        <f t="shared" si="188"/>
        <v>1.9056735107351606</v>
      </c>
      <c r="D604" s="7">
        <f t="shared" si="189"/>
        <v>13.537926799932453</v>
      </c>
      <c r="E604" s="7">
        <f t="shared" si="190"/>
        <v>1</v>
      </c>
      <c r="G604" s="4">
        <f t="shared" si="191"/>
        <v>5920.0000000000573</v>
      </c>
      <c r="H604" s="1">
        <f t="shared" si="202"/>
        <v>1.5413851351351349</v>
      </c>
      <c r="I604" s="1">
        <f t="shared" si="203"/>
        <v>969.38658568976723</v>
      </c>
      <c r="J604" s="1">
        <f t="shared" si="192"/>
        <v>32.312886189658904</v>
      </c>
      <c r="K604" s="7">
        <f t="shared" si="193"/>
        <v>2.6558536594240199</v>
      </c>
      <c r="L604" s="4">
        <f t="shared" si="194"/>
        <v>6487.6712328767135</v>
      </c>
      <c r="M604" s="1">
        <f t="shared" si="195"/>
        <v>952.83675536758028</v>
      </c>
      <c r="N604" s="7">
        <f t="shared" si="196"/>
        <v>13.537926799932453</v>
      </c>
      <c r="O604" s="1">
        <f t="shared" si="197"/>
        <v>3000</v>
      </c>
      <c r="P604" s="2">
        <f t="shared" si="198"/>
        <v>6.1816916074258366</v>
      </c>
      <c r="Q604" s="2">
        <f t="shared" si="185"/>
        <v>1015.8167043887617</v>
      </c>
      <c r="S604" s="1">
        <f t="shared" si="186"/>
        <v>3000</v>
      </c>
      <c r="T604" s="1">
        <f t="shared" si="187"/>
        <v>6487.6712328767135</v>
      </c>
      <c r="V604" s="1">
        <f t="shared" si="199"/>
        <v>6487.6712328767135</v>
      </c>
      <c r="W604" s="1">
        <f t="shared" si="200"/>
        <v>3000</v>
      </c>
    </row>
    <row r="605" spans="1:23" x14ac:dyDescent="0.25">
      <c r="A605" s="2">
        <f t="shared" si="201"/>
        <v>59.300000000000573</v>
      </c>
      <c r="B605" s="7">
        <f t="shared" si="184"/>
        <v>23.68</v>
      </c>
      <c r="C605" s="7">
        <f t="shared" si="188"/>
        <v>1.9065236306836053</v>
      </c>
      <c r="D605" s="7">
        <f t="shared" si="189"/>
        <v>13.620106758649122</v>
      </c>
      <c r="E605" s="7">
        <f t="shared" si="190"/>
        <v>1</v>
      </c>
      <c r="G605" s="4">
        <f t="shared" si="191"/>
        <v>5930.0000000000573</v>
      </c>
      <c r="H605" s="1">
        <f t="shared" si="202"/>
        <v>1.5413851351351349</v>
      </c>
      <c r="I605" s="1">
        <f t="shared" si="203"/>
        <v>970.92797082490233</v>
      </c>
      <c r="J605" s="1">
        <f t="shared" si="192"/>
        <v>32.364265694163414</v>
      </c>
      <c r="K605" s="7">
        <f t="shared" si="193"/>
        <v>2.6600766323969927</v>
      </c>
      <c r="L605" s="4">
        <f t="shared" si="194"/>
        <v>6487.6712328767135</v>
      </c>
      <c r="M605" s="1">
        <f t="shared" si="195"/>
        <v>953.26181534180262</v>
      </c>
      <c r="N605" s="7">
        <f t="shared" si="196"/>
        <v>13.620106758649122</v>
      </c>
      <c r="O605" s="1">
        <f t="shared" si="197"/>
        <v>3000</v>
      </c>
      <c r="P605" s="2">
        <f t="shared" si="198"/>
        <v>6.1844492567928464</v>
      </c>
      <c r="Q605" s="2">
        <f t="shared" si="185"/>
        <v>1022.9553602237784</v>
      </c>
      <c r="S605" s="1">
        <f t="shared" si="186"/>
        <v>3000</v>
      </c>
      <c r="T605" s="1">
        <f t="shared" si="187"/>
        <v>6487.6712328767135</v>
      </c>
      <c r="V605" s="1">
        <f t="shared" si="199"/>
        <v>6487.6712328767135</v>
      </c>
      <c r="W605" s="1">
        <f t="shared" si="200"/>
        <v>3000</v>
      </c>
    </row>
    <row r="606" spans="1:23" x14ac:dyDescent="0.25">
      <c r="A606" s="2">
        <f t="shared" si="201"/>
        <v>59.400000000000574</v>
      </c>
      <c r="B606" s="7">
        <f t="shared" si="184"/>
        <v>23.68</v>
      </c>
      <c r="C606" s="7">
        <f t="shared" si="188"/>
        <v>1.9073741298701103</v>
      </c>
      <c r="D606" s="7">
        <f t="shared" si="189"/>
        <v>13.702785578507127</v>
      </c>
      <c r="E606" s="7">
        <f t="shared" si="190"/>
        <v>1</v>
      </c>
      <c r="G606" s="4">
        <f t="shared" si="191"/>
        <v>5940.0000000000573</v>
      </c>
      <c r="H606" s="1">
        <f t="shared" si="202"/>
        <v>1.5413851351351349</v>
      </c>
      <c r="I606" s="1">
        <f t="shared" si="203"/>
        <v>972.46935596003743</v>
      </c>
      <c r="J606" s="1">
        <f t="shared" si="192"/>
        <v>32.415645198667917</v>
      </c>
      <c r="K606" s="7">
        <f t="shared" si="193"/>
        <v>2.6642996053699655</v>
      </c>
      <c r="L606" s="4">
        <f t="shared" si="194"/>
        <v>6487.6712328767135</v>
      </c>
      <c r="M606" s="1">
        <f t="shared" si="195"/>
        <v>953.68706493505522</v>
      </c>
      <c r="N606" s="7">
        <f t="shared" si="196"/>
        <v>13.702785578507127</v>
      </c>
      <c r="O606" s="1">
        <f t="shared" si="197"/>
        <v>3000</v>
      </c>
      <c r="P606" s="2">
        <f t="shared" si="198"/>
        <v>6.1872081363457845</v>
      </c>
      <c r="Q606" s="2">
        <f t="shared" si="185"/>
        <v>1030.1510703897954</v>
      </c>
      <c r="S606" s="1">
        <f t="shared" si="186"/>
        <v>3000</v>
      </c>
      <c r="T606" s="1">
        <f t="shared" si="187"/>
        <v>6487.6712328767135</v>
      </c>
      <c r="V606" s="1">
        <f t="shared" si="199"/>
        <v>6487.6712328767135</v>
      </c>
      <c r="W606" s="1">
        <f t="shared" si="200"/>
        <v>3000</v>
      </c>
    </row>
    <row r="607" spans="1:23" x14ac:dyDescent="0.25">
      <c r="A607" s="2">
        <f t="shared" si="201"/>
        <v>59.500000000000576</v>
      </c>
      <c r="B607" s="7">
        <f t="shared" si="184"/>
        <v>23.68</v>
      </c>
      <c r="C607" s="7">
        <f t="shared" si="188"/>
        <v>1.9082250084638546</v>
      </c>
      <c r="D607" s="7">
        <f t="shared" si="189"/>
        <v>13.785966287768362</v>
      </c>
      <c r="E607" s="7">
        <f t="shared" si="190"/>
        <v>1</v>
      </c>
      <c r="G607" s="4">
        <f t="shared" si="191"/>
        <v>5950.0000000000582</v>
      </c>
      <c r="H607" s="1">
        <f t="shared" si="202"/>
        <v>1.541385135135275</v>
      </c>
      <c r="I607" s="1">
        <f t="shared" si="203"/>
        <v>974.01074109517276</v>
      </c>
      <c r="J607" s="1">
        <f t="shared" si="192"/>
        <v>32.467024703172427</v>
      </c>
      <c r="K607" s="7">
        <f t="shared" si="193"/>
        <v>2.6685225783429392</v>
      </c>
      <c r="L607" s="4">
        <f t="shared" si="194"/>
        <v>6487.6712328767135</v>
      </c>
      <c r="M607" s="1">
        <f t="shared" si="195"/>
        <v>954.11250423192723</v>
      </c>
      <c r="N607" s="7">
        <f t="shared" si="196"/>
        <v>13.785966287768362</v>
      </c>
      <c r="O607" s="1">
        <f t="shared" si="197"/>
        <v>3000</v>
      </c>
      <c r="P607" s="2">
        <f t="shared" si="198"/>
        <v>6.1899682466334358</v>
      </c>
      <c r="Q607" s="2">
        <f t="shared" si="185"/>
        <v>1037.4043882588203</v>
      </c>
      <c r="S607" s="1">
        <f t="shared" si="186"/>
        <v>3000</v>
      </c>
      <c r="T607" s="1">
        <f t="shared" si="187"/>
        <v>6487.6712328767135</v>
      </c>
      <c r="V607" s="1">
        <f t="shared" si="199"/>
        <v>6487.6712328767135</v>
      </c>
      <c r="W607" s="1">
        <f t="shared" si="200"/>
        <v>3000</v>
      </c>
    </row>
    <row r="608" spans="1:23" x14ac:dyDescent="0.25">
      <c r="A608" s="2">
        <f t="shared" si="201"/>
        <v>59.600000000000577</v>
      </c>
      <c r="B608" s="7">
        <f t="shared" si="184"/>
        <v>23.68</v>
      </c>
      <c r="C608" s="7">
        <f t="shared" si="188"/>
        <v>1.9090762666340906</v>
      </c>
      <c r="D608" s="7">
        <f t="shared" si="189"/>
        <v>13.869651933077352</v>
      </c>
      <c r="E608" s="7">
        <f t="shared" si="190"/>
        <v>1</v>
      </c>
      <c r="G608" s="4">
        <f t="shared" si="191"/>
        <v>5960.0000000000573</v>
      </c>
      <c r="H608" s="1">
        <f t="shared" si="202"/>
        <v>1.5413851351349948</v>
      </c>
      <c r="I608" s="1">
        <f t="shared" si="203"/>
        <v>975.55212623030775</v>
      </c>
      <c r="J608" s="1">
        <f t="shared" si="192"/>
        <v>32.518404207676923</v>
      </c>
      <c r="K608" s="7">
        <f t="shared" si="193"/>
        <v>2.6727455513159115</v>
      </c>
      <c r="L608" s="4">
        <f t="shared" si="194"/>
        <v>6487.6712328767135</v>
      </c>
      <c r="M608" s="1">
        <f t="shared" si="195"/>
        <v>954.53813331704532</v>
      </c>
      <c r="N608" s="7">
        <f t="shared" si="196"/>
        <v>13.869651933077352</v>
      </c>
      <c r="O608" s="1">
        <f t="shared" si="197"/>
        <v>3000</v>
      </c>
      <c r="P608" s="2">
        <f t="shared" si="198"/>
        <v>6.1927295882048314</v>
      </c>
      <c r="Q608" s="2">
        <f t="shared" si="185"/>
        <v>1044.7158739718975</v>
      </c>
      <c r="S608" s="1">
        <f t="shared" si="186"/>
        <v>3000</v>
      </c>
      <c r="T608" s="1">
        <f t="shared" si="187"/>
        <v>6487.6712328767135</v>
      </c>
      <c r="V608" s="1">
        <f t="shared" si="199"/>
        <v>6487.6712328767135</v>
      </c>
      <c r="W608" s="1">
        <f t="shared" si="200"/>
        <v>3000</v>
      </c>
    </row>
    <row r="609" spans="1:23" x14ac:dyDescent="0.25">
      <c r="A609" s="2">
        <f t="shared" si="201"/>
        <v>59.700000000000578</v>
      </c>
      <c r="B609" s="7">
        <f t="shared" si="184"/>
        <v>23.68</v>
      </c>
      <c r="C609" s="7">
        <f t="shared" si="188"/>
        <v>1.9099279045501476</v>
      </c>
      <c r="D609" s="7">
        <f t="shared" si="189"/>
        <v>13.95384557957281</v>
      </c>
      <c r="E609" s="7">
        <f t="shared" si="190"/>
        <v>1</v>
      </c>
      <c r="G609" s="4">
        <f t="shared" si="191"/>
        <v>5970.0000000000573</v>
      </c>
      <c r="H609" s="1">
        <f t="shared" si="202"/>
        <v>1.5413851351351349</v>
      </c>
      <c r="I609" s="1">
        <f t="shared" si="203"/>
        <v>977.09351136544285</v>
      </c>
      <c r="J609" s="1">
        <f t="shared" si="192"/>
        <v>32.569783712181426</v>
      </c>
      <c r="K609" s="7">
        <f t="shared" si="193"/>
        <v>2.6769685242888843</v>
      </c>
      <c r="L609" s="4">
        <f t="shared" si="194"/>
        <v>6487.6712328767135</v>
      </c>
      <c r="M609" s="1">
        <f t="shared" si="195"/>
        <v>954.96395227507378</v>
      </c>
      <c r="N609" s="7">
        <f t="shared" si="196"/>
        <v>13.95384557957281</v>
      </c>
      <c r="O609" s="1">
        <f t="shared" si="197"/>
        <v>3000</v>
      </c>
      <c r="P609" s="2">
        <f t="shared" si="198"/>
        <v>6.1954921616092475</v>
      </c>
      <c r="Q609" s="2">
        <f t="shared" si="185"/>
        <v>1052.0860945426198</v>
      </c>
      <c r="S609" s="1">
        <f t="shared" si="186"/>
        <v>3000</v>
      </c>
      <c r="T609" s="1">
        <f t="shared" si="187"/>
        <v>6487.6712328767135</v>
      </c>
      <c r="V609" s="1">
        <f t="shared" si="199"/>
        <v>6487.6712328767135</v>
      </c>
      <c r="W609" s="1">
        <f t="shared" si="200"/>
        <v>3000</v>
      </c>
    </row>
    <row r="610" spans="1:23" x14ac:dyDescent="0.25">
      <c r="A610" s="2">
        <f t="shared" si="201"/>
        <v>59.80000000000058</v>
      </c>
      <c r="B610" s="7">
        <f t="shared" si="184"/>
        <v>23.68</v>
      </c>
      <c r="C610" s="7">
        <f t="shared" si="188"/>
        <v>1.9107799223814301</v>
      </c>
      <c r="D610" s="7">
        <f t="shared" si="189"/>
        <v>14.038550310999916</v>
      </c>
      <c r="E610" s="7">
        <f t="shared" si="190"/>
        <v>1</v>
      </c>
      <c r="G610" s="4">
        <f t="shared" si="191"/>
        <v>5980.0000000000573</v>
      </c>
      <c r="H610" s="1">
        <f t="shared" si="202"/>
        <v>1.5413851351351349</v>
      </c>
      <c r="I610" s="1">
        <f t="shared" si="203"/>
        <v>978.63489650057795</v>
      </c>
      <c r="J610" s="1">
        <f t="shared" si="192"/>
        <v>32.621163216685929</v>
      </c>
      <c r="K610" s="7">
        <f t="shared" si="193"/>
        <v>2.6811914972618576</v>
      </c>
      <c r="L610" s="4">
        <f t="shared" si="194"/>
        <v>6487.6712328767135</v>
      </c>
      <c r="M610" s="1">
        <f t="shared" si="195"/>
        <v>955.3899611907151</v>
      </c>
      <c r="N610" s="7">
        <f t="shared" si="196"/>
        <v>14.038550310999916</v>
      </c>
      <c r="O610" s="1">
        <f t="shared" si="197"/>
        <v>3000</v>
      </c>
      <c r="P610" s="2">
        <f t="shared" si="198"/>
        <v>6.1982559673962028</v>
      </c>
      <c r="Q610" s="2">
        <f t="shared" si="185"/>
        <v>1059.5156239625539</v>
      </c>
      <c r="S610" s="1">
        <f t="shared" si="186"/>
        <v>3000</v>
      </c>
      <c r="T610" s="1">
        <f t="shared" si="187"/>
        <v>6487.6712328767135</v>
      </c>
      <c r="V610" s="1">
        <f t="shared" si="199"/>
        <v>6487.6712328767135</v>
      </c>
      <c r="W610" s="1">
        <f t="shared" si="200"/>
        <v>3000</v>
      </c>
    </row>
    <row r="611" spans="1:23" x14ac:dyDescent="0.25">
      <c r="A611" s="2">
        <f t="shared" si="201"/>
        <v>59.900000000000581</v>
      </c>
      <c r="B611" s="7">
        <f t="shared" si="184"/>
        <v>23.68</v>
      </c>
      <c r="C611" s="7">
        <f t="shared" si="188"/>
        <v>1.9116323202974177</v>
      </c>
      <c r="D611" s="7">
        <f t="shared" si="189"/>
        <v>14.12376922982326</v>
      </c>
      <c r="E611" s="7">
        <f t="shared" si="190"/>
        <v>1</v>
      </c>
      <c r="G611" s="4">
        <f t="shared" si="191"/>
        <v>5990.0000000000591</v>
      </c>
      <c r="H611" s="1">
        <f t="shared" si="202"/>
        <v>1.5413851351354153</v>
      </c>
      <c r="I611" s="1">
        <f t="shared" si="203"/>
        <v>980.17628163571339</v>
      </c>
      <c r="J611" s="1">
        <f t="shared" si="192"/>
        <v>32.672542721190446</v>
      </c>
      <c r="K611" s="7">
        <f t="shared" si="193"/>
        <v>2.6854144702348313</v>
      </c>
      <c r="L611" s="4">
        <f t="shared" si="194"/>
        <v>6487.6712328767135</v>
      </c>
      <c r="M611" s="1">
        <f t="shared" si="195"/>
        <v>955.81616014870883</v>
      </c>
      <c r="N611" s="7">
        <f t="shared" si="196"/>
        <v>14.12376922982326</v>
      </c>
      <c r="O611" s="1">
        <f t="shared" si="197"/>
        <v>3000</v>
      </c>
      <c r="P611" s="2">
        <f t="shared" si="198"/>
        <v>6.20102100611546</v>
      </c>
      <c r="Q611" s="2">
        <f t="shared" si="185"/>
        <v>1067.0050433086221</v>
      </c>
      <c r="S611" s="1">
        <f t="shared" si="186"/>
        <v>3000</v>
      </c>
      <c r="T611" s="1">
        <f t="shared" si="187"/>
        <v>6487.6712328767135</v>
      </c>
      <c r="V611" s="1">
        <f t="shared" si="199"/>
        <v>6487.6712328767135</v>
      </c>
      <c r="W611" s="1">
        <f t="shared" si="200"/>
        <v>3000</v>
      </c>
    </row>
    <row r="612" spans="1:23" x14ac:dyDescent="0.25">
      <c r="A612" s="2">
        <f t="shared" si="201"/>
        <v>60.000000000000583</v>
      </c>
      <c r="B612" s="7">
        <f t="shared" si="184"/>
        <v>23.68</v>
      </c>
      <c r="C612" s="7">
        <f t="shared" si="188"/>
        <v>1.9124850984676665</v>
      </c>
      <c r="D612" s="7">
        <f t="shared" si="189"/>
        <v>14.209505457340498</v>
      </c>
      <c r="E612" s="7">
        <f t="shared" si="190"/>
        <v>1</v>
      </c>
      <c r="G612" s="4">
        <f t="shared" si="191"/>
        <v>6000.0000000000582</v>
      </c>
      <c r="H612" s="1">
        <f t="shared" si="202"/>
        <v>1.5413851351349948</v>
      </c>
      <c r="I612" s="1">
        <f t="shared" si="203"/>
        <v>981.71766677084838</v>
      </c>
      <c r="J612" s="1">
        <f t="shared" si="192"/>
        <v>32.723922225694949</v>
      </c>
      <c r="K612" s="7">
        <f t="shared" si="193"/>
        <v>2.6896374432078036</v>
      </c>
      <c r="L612" s="4">
        <f t="shared" si="194"/>
        <v>6487.6712328767135</v>
      </c>
      <c r="M612" s="1">
        <f t="shared" si="195"/>
        <v>956.24254923383319</v>
      </c>
      <c r="N612" s="7">
        <f t="shared" si="196"/>
        <v>14.209505457340498</v>
      </c>
      <c r="O612" s="1">
        <f t="shared" si="197"/>
        <v>3000</v>
      </c>
      <c r="P612" s="2">
        <f t="shared" si="198"/>
        <v>6.2037872783170345</v>
      </c>
      <c r="Q612" s="2">
        <f t="shared" si="185"/>
        <v>1074.5549408524816</v>
      </c>
      <c r="S612" s="1">
        <f t="shared" si="186"/>
        <v>3000</v>
      </c>
      <c r="T612" s="1">
        <f t="shared" si="187"/>
        <v>6487.6712328767135</v>
      </c>
      <c r="V612" s="1">
        <f t="shared" si="199"/>
        <v>6487.6712328767135</v>
      </c>
      <c r="W612" s="1">
        <f t="shared" si="200"/>
        <v>3000</v>
      </c>
    </row>
    <row r="613" spans="1:23" x14ac:dyDescent="0.25">
      <c r="A613" s="2">
        <f t="shared" si="201"/>
        <v>60.100000000000584</v>
      </c>
      <c r="B613" s="7">
        <f t="shared" si="184"/>
        <v>23.68</v>
      </c>
      <c r="C613" s="7">
        <f t="shared" si="188"/>
        <v>1.9133382570618072</v>
      </c>
      <c r="D613" s="7">
        <f t="shared" si="189"/>
        <v>14.295762133796627</v>
      </c>
      <c r="E613" s="7">
        <f t="shared" si="190"/>
        <v>1</v>
      </c>
      <c r="G613" s="4">
        <f t="shared" si="191"/>
        <v>6010.0000000000582</v>
      </c>
      <c r="H613" s="1">
        <f t="shared" si="202"/>
        <v>1.5413851351351349</v>
      </c>
      <c r="I613" s="1">
        <f t="shared" si="203"/>
        <v>983.25905190598348</v>
      </c>
      <c r="J613" s="1">
        <f t="shared" si="192"/>
        <v>32.775301730199452</v>
      </c>
      <c r="K613" s="7">
        <f t="shared" si="193"/>
        <v>2.6938604161807769</v>
      </c>
      <c r="L613" s="4">
        <f t="shared" si="194"/>
        <v>6487.6712328767135</v>
      </c>
      <c r="M613" s="1">
        <f t="shared" si="195"/>
        <v>956.66912853090355</v>
      </c>
      <c r="N613" s="7">
        <f t="shared" si="196"/>
        <v>14.295762133796627</v>
      </c>
      <c r="O613" s="1">
        <f t="shared" si="197"/>
        <v>3000</v>
      </c>
      <c r="P613" s="2">
        <f t="shared" si="198"/>
        <v>6.2065547845511784</v>
      </c>
      <c r="Q613" s="2">
        <f t="shared" si="185"/>
        <v>1082.1659121719367</v>
      </c>
      <c r="S613" s="1">
        <f t="shared" si="186"/>
        <v>3000</v>
      </c>
      <c r="T613" s="1">
        <f t="shared" si="187"/>
        <v>6487.6712328767135</v>
      </c>
      <c r="V613" s="1">
        <f t="shared" si="199"/>
        <v>6487.6712328767135</v>
      </c>
      <c r="W613" s="1">
        <f t="shared" si="200"/>
        <v>3000</v>
      </c>
    </row>
    <row r="614" spans="1:23" x14ac:dyDescent="0.25">
      <c r="A614" s="2">
        <f t="shared" si="201"/>
        <v>60.200000000000585</v>
      </c>
      <c r="B614" s="7">
        <f t="shared" si="184"/>
        <v>23.68</v>
      </c>
      <c r="C614" s="7">
        <f t="shared" si="188"/>
        <v>1.9141917962495474</v>
      </c>
      <c r="D614" s="7">
        <f t="shared" si="189"/>
        <v>14.38254241849905</v>
      </c>
      <c r="E614" s="7">
        <f t="shared" si="190"/>
        <v>1</v>
      </c>
      <c r="G614" s="4">
        <f t="shared" si="191"/>
        <v>6020.0000000000582</v>
      </c>
      <c r="H614" s="1">
        <f t="shared" si="202"/>
        <v>1.5413851351351349</v>
      </c>
      <c r="I614" s="1">
        <f t="shared" si="203"/>
        <v>984.80043704111858</v>
      </c>
      <c r="J614" s="1">
        <f t="shared" si="192"/>
        <v>32.826681234703955</v>
      </c>
      <c r="K614" s="7">
        <f t="shared" si="193"/>
        <v>2.6980833891537497</v>
      </c>
      <c r="L614" s="4">
        <f t="shared" si="194"/>
        <v>6487.6712328767135</v>
      </c>
      <c r="M614" s="1">
        <f t="shared" si="195"/>
        <v>957.09589812477373</v>
      </c>
      <c r="N614" s="7">
        <f t="shared" si="196"/>
        <v>14.38254241849905</v>
      </c>
      <c r="O614" s="1">
        <f t="shared" si="197"/>
        <v>3000</v>
      </c>
      <c r="P614" s="2">
        <f t="shared" si="198"/>
        <v>6.2093235253683963</v>
      </c>
      <c r="Q614" s="2">
        <f t="shared" si="185"/>
        <v>1089.8385602644471</v>
      </c>
      <c r="S614" s="1">
        <f t="shared" si="186"/>
        <v>3000</v>
      </c>
      <c r="T614" s="1">
        <f t="shared" si="187"/>
        <v>6487.6712328767135</v>
      </c>
      <c r="V614" s="1">
        <f t="shared" si="199"/>
        <v>6487.6712328767135</v>
      </c>
      <c r="W614" s="1">
        <f t="shared" si="200"/>
        <v>3000</v>
      </c>
    </row>
    <row r="615" spans="1:23" x14ac:dyDescent="0.25">
      <c r="A615" s="2">
        <f t="shared" si="201"/>
        <v>60.300000000000587</v>
      </c>
      <c r="B615" s="7">
        <f t="shared" si="184"/>
        <v>23.68</v>
      </c>
      <c r="C615" s="7">
        <f t="shared" si="188"/>
        <v>1.9150457162006687</v>
      </c>
      <c r="D615" s="7">
        <f t="shared" si="189"/>
        <v>14.469849489933278</v>
      </c>
      <c r="E615" s="7">
        <f t="shared" si="190"/>
        <v>1</v>
      </c>
      <c r="G615" s="4">
        <f t="shared" si="191"/>
        <v>6030.0000000000591</v>
      </c>
      <c r="H615" s="1">
        <f t="shared" si="202"/>
        <v>1.541385135135275</v>
      </c>
      <c r="I615" s="1">
        <f t="shared" si="203"/>
        <v>986.34182217625391</v>
      </c>
      <c r="J615" s="1">
        <f t="shared" si="192"/>
        <v>32.878060739208465</v>
      </c>
      <c r="K615" s="7">
        <f t="shared" si="193"/>
        <v>2.7023063621267229</v>
      </c>
      <c r="L615" s="4">
        <f t="shared" si="194"/>
        <v>6487.6712328767135</v>
      </c>
      <c r="M615" s="1">
        <f t="shared" si="195"/>
        <v>957.52285810033436</v>
      </c>
      <c r="N615" s="7">
        <f t="shared" si="196"/>
        <v>14.469849489933278</v>
      </c>
      <c r="O615" s="1">
        <f t="shared" si="197"/>
        <v>3000</v>
      </c>
      <c r="P615" s="2">
        <f t="shared" si="198"/>
        <v>6.2120935013194307</v>
      </c>
      <c r="Q615" s="2">
        <f t="shared" si="185"/>
        <v>1097.57349566276</v>
      </c>
      <c r="S615" s="1">
        <f t="shared" si="186"/>
        <v>3000</v>
      </c>
      <c r="T615" s="1">
        <f t="shared" si="187"/>
        <v>6487.6712328767135</v>
      </c>
      <c r="V615" s="1">
        <f t="shared" si="199"/>
        <v>6487.6712328767135</v>
      </c>
      <c r="W615" s="1">
        <f t="shared" si="200"/>
        <v>3000</v>
      </c>
    </row>
    <row r="616" spans="1:23" x14ac:dyDescent="0.25">
      <c r="A616" s="2">
        <f t="shared" si="201"/>
        <v>60.400000000000588</v>
      </c>
      <c r="B616" s="7">
        <f t="shared" si="184"/>
        <v>23.68</v>
      </c>
      <c r="C616" s="7">
        <f t="shared" si="188"/>
        <v>1.9159000170850302</v>
      </c>
      <c r="D616" s="7">
        <f t="shared" si="189"/>
        <v>14.557686545879323</v>
      </c>
      <c r="E616" s="7">
        <f t="shared" si="190"/>
        <v>1</v>
      </c>
      <c r="G616" s="4">
        <f t="shared" si="191"/>
        <v>6040.0000000000582</v>
      </c>
      <c r="H616" s="1">
        <f t="shared" si="202"/>
        <v>1.5413851351349948</v>
      </c>
      <c r="I616" s="1">
        <f t="shared" si="203"/>
        <v>987.8832073113889</v>
      </c>
      <c r="J616" s="1">
        <f t="shared" si="192"/>
        <v>32.929440243712961</v>
      </c>
      <c r="K616" s="7">
        <f t="shared" si="193"/>
        <v>2.7065293350996957</v>
      </c>
      <c r="L616" s="4">
        <f t="shared" si="194"/>
        <v>6487.6712328767135</v>
      </c>
      <c r="M616" s="1">
        <f t="shared" si="195"/>
        <v>957.95000854251509</v>
      </c>
      <c r="N616" s="7">
        <f t="shared" si="196"/>
        <v>14.557686545879323</v>
      </c>
      <c r="O616" s="1">
        <f t="shared" si="197"/>
        <v>3000</v>
      </c>
      <c r="P616" s="2">
        <f t="shared" si="198"/>
        <v>6.2148647129552774</v>
      </c>
      <c r="Q616" s="2">
        <f t="shared" si="185"/>
        <v>1105.3713365527178</v>
      </c>
      <c r="S616" s="1">
        <f t="shared" si="186"/>
        <v>3000</v>
      </c>
      <c r="T616" s="1">
        <f t="shared" si="187"/>
        <v>6487.6712328767135</v>
      </c>
      <c r="V616" s="1">
        <f t="shared" si="199"/>
        <v>6487.6712328767135</v>
      </c>
      <c r="W616" s="1">
        <f t="shared" si="200"/>
        <v>3000</v>
      </c>
    </row>
    <row r="617" spans="1:23" x14ac:dyDescent="0.25">
      <c r="A617" s="2">
        <f t="shared" si="201"/>
        <v>60.50000000000059</v>
      </c>
      <c r="B617" s="7">
        <f t="shared" si="184"/>
        <v>23.68</v>
      </c>
      <c r="C617" s="7">
        <f t="shared" si="188"/>
        <v>1.9167546990725661</v>
      </c>
      <c r="D617" s="7">
        <f t="shared" si="189"/>
        <v>14.646056803528857</v>
      </c>
      <c r="E617" s="7">
        <f t="shared" si="190"/>
        <v>1</v>
      </c>
      <c r="G617" s="4">
        <f t="shared" si="191"/>
        <v>6050.0000000000582</v>
      </c>
      <c r="H617" s="1">
        <f t="shared" si="202"/>
        <v>1.5413851351351349</v>
      </c>
      <c r="I617" s="1">
        <f t="shared" si="203"/>
        <v>989.424592446524</v>
      </c>
      <c r="J617" s="1">
        <f t="shared" si="192"/>
        <v>32.980819748217463</v>
      </c>
      <c r="K617" s="7">
        <f t="shared" si="193"/>
        <v>2.7107523080726685</v>
      </c>
      <c r="L617" s="4">
        <f t="shared" si="194"/>
        <v>6487.6712328767135</v>
      </c>
      <c r="M617" s="1">
        <f t="shared" si="195"/>
        <v>958.37734953628308</v>
      </c>
      <c r="N617" s="7">
        <f t="shared" si="196"/>
        <v>14.646056803528857</v>
      </c>
      <c r="O617" s="1">
        <f t="shared" si="197"/>
        <v>3000</v>
      </c>
      <c r="P617" s="2">
        <f t="shared" si="198"/>
        <v>6.2176371608271745</v>
      </c>
      <c r="Q617" s="2">
        <f t="shared" si="185"/>
        <v>1113.2327088933002</v>
      </c>
      <c r="S617" s="1">
        <f t="shared" si="186"/>
        <v>3000</v>
      </c>
      <c r="T617" s="1">
        <f t="shared" si="187"/>
        <v>6487.6712328767135</v>
      </c>
      <c r="V617" s="1">
        <f t="shared" si="199"/>
        <v>6487.6712328767135</v>
      </c>
      <c r="W617" s="1">
        <f t="shared" si="200"/>
        <v>3000</v>
      </c>
    </row>
    <row r="618" spans="1:23" x14ac:dyDescent="0.25">
      <c r="A618" s="2">
        <f t="shared" si="201"/>
        <v>60.600000000000591</v>
      </c>
      <c r="B618" s="7">
        <f t="shared" si="184"/>
        <v>23.68</v>
      </c>
      <c r="C618" s="7">
        <f t="shared" si="188"/>
        <v>1.9176097623332855</v>
      </c>
      <c r="D618" s="7">
        <f t="shared" si="189"/>
        <v>14.73496349960303</v>
      </c>
      <c r="E618" s="7">
        <f t="shared" si="190"/>
        <v>1</v>
      </c>
      <c r="G618" s="4">
        <f t="shared" si="191"/>
        <v>6060.0000000000591</v>
      </c>
      <c r="H618" s="1">
        <f t="shared" si="202"/>
        <v>1.541385135135275</v>
      </c>
      <c r="I618" s="1">
        <f t="shared" si="203"/>
        <v>990.96597758165933</v>
      </c>
      <c r="J618" s="1">
        <f t="shared" si="192"/>
        <v>33.032199252721981</v>
      </c>
      <c r="K618" s="7">
        <f t="shared" si="193"/>
        <v>2.7149752810456418</v>
      </c>
      <c r="L618" s="4">
        <f t="shared" si="194"/>
        <v>6487.6712328767135</v>
      </c>
      <c r="M618" s="1">
        <f t="shared" si="195"/>
        <v>958.80488116664276</v>
      </c>
      <c r="N618" s="7">
        <f t="shared" si="196"/>
        <v>14.73496349960303</v>
      </c>
      <c r="O618" s="1">
        <f t="shared" si="197"/>
        <v>3000</v>
      </c>
      <c r="P618" s="2">
        <f t="shared" si="198"/>
        <v>6.2204108454866036</v>
      </c>
      <c r="Q618" s="2">
        <f t="shared" si="185"/>
        <v>1121.1582465389301</v>
      </c>
      <c r="S618" s="1">
        <f t="shared" si="186"/>
        <v>3000</v>
      </c>
      <c r="T618" s="1">
        <f t="shared" si="187"/>
        <v>6487.6712328767135</v>
      </c>
      <c r="V618" s="1">
        <f t="shared" si="199"/>
        <v>6487.6712328767135</v>
      </c>
      <c r="W618" s="1">
        <f t="shared" si="200"/>
        <v>3000</v>
      </c>
    </row>
    <row r="619" spans="1:23" x14ac:dyDescent="0.25">
      <c r="A619" s="2">
        <f t="shared" si="201"/>
        <v>60.700000000000593</v>
      </c>
      <c r="B619" s="7">
        <f t="shared" si="184"/>
        <v>23.68</v>
      </c>
      <c r="C619" s="7">
        <f t="shared" si="188"/>
        <v>1.9184652070372752</v>
      </c>
      <c r="D619" s="7">
        <f t="shared" si="189"/>
        <v>14.824409890471028</v>
      </c>
      <c r="E619" s="7">
        <f t="shared" si="190"/>
        <v>1</v>
      </c>
      <c r="G619" s="4">
        <f t="shared" si="191"/>
        <v>6070.00000000006</v>
      </c>
      <c r="H619" s="1">
        <f t="shared" si="202"/>
        <v>1.541385135135275</v>
      </c>
      <c r="I619" s="1">
        <f t="shared" si="203"/>
        <v>992.50736271679466</v>
      </c>
      <c r="J619" s="1">
        <f t="shared" si="192"/>
        <v>33.083578757226491</v>
      </c>
      <c r="K619" s="7">
        <f t="shared" si="193"/>
        <v>2.7191982540186155</v>
      </c>
      <c r="L619" s="4">
        <f t="shared" si="194"/>
        <v>6487.6712328767135</v>
      </c>
      <c r="M619" s="1">
        <f t="shared" si="195"/>
        <v>959.23260351863757</v>
      </c>
      <c r="N619" s="7">
        <f t="shared" si="196"/>
        <v>14.824409890471028</v>
      </c>
      <c r="O619" s="1">
        <f t="shared" si="197"/>
        <v>3000</v>
      </c>
      <c r="P619" s="2">
        <f t="shared" si="198"/>
        <v>6.2231857674852993</v>
      </c>
      <c r="Q619" s="2">
        <f t="shared" si="185"/>
        <v>1129.1485913641154</v>
      </c>
      <c r="S619" s="1">
        <f t="shared" si="186"/>
        <v>3000</v>
      </c>
      <c r="T619" s="1">
        <f t="shared" si="187"/>
        <v>6487.6712328767135</v>
      </c>
      <c r="V619" s="1">
        <f t="shared" si="199"/>
        <v>6487.6712328767135</v>
      </c>
      <c r="W619" s="1">
        <f t="shared" si="200"/>
        <v>3000</v>
      </c>
    </row>
    <row r="620" spans="1:23" x14ac:dyDescent="0.25">
      <c r="A620" s="2">
        <f t="shared" si="201"/>
        <v>60.800000000000594</v>
      </c>
      <c r="B620" s="7">
        <f t="shared" ref="B620:B683" si="204">IF(A620&lt;=$B$2,$B$3*EXP(A620*$B$4),IF(A620&lt;$B$7,$B$6,IF($B$8*EXP(A620*$B$9)&gt;$B$6,$B$6,$B$8*EXP(A620*$B$9))))</f>
        <v>23.68</v>
      </c>
      <c r="C620" s="7">
        <f t="shared" si="188"/>
        <v>1.9193210333546962</v>
      </c>
      <c r="D620" s="7">
        <f t="shared" si="189"/>
        <v>14.914399252269314</v>
      </c>
      <c r="E620" s="7">
        <f t="shared" si="190"/>
        <v>1</v>
      </c>
      <c r="G620" s="4">
        <f t="shared" si="191"/>
        <v>6080.00000000006</v>
      </c>
      <c r="H620" s="1">
        <f t="shared" si="202"/>
        <v>1.5413851351351349</v>
      </c>
      <c r="I620" s="1">
        <f t="shared" si="203"/>
        <v>994.04874785192976</v>
      </c>
      <c r="J620" s="1">
        <f t="shared" si="192"/>
        <v>33.134958261730993</v>
      </c>
      <c r="K620" s="7">
        <f t="shared" si="193"/>
        <v>2.7234212269915883</v>
      </c>
      <c r="L620" s="4">
        <f t="shared" si="194"/>
        <v>6487.6712328767135</v>
      </c>
      <c r="M620" s="1">
        <f t="shared" si="195"/>
        <v>959.66051667734814</v>
      </c>
      <c r="N620" s="7">
        <f t="shared" si="196"/>
        <v>14.914399252269314</v>
      </c>
      <c r="O620" s="1">
        <f t="shared" si="197"/>
        <v>3000</v>
      </c>
      <c r="P620" s="2">
        <f t="shared" si="198"/>
        <v>6.2259619273752342</v>
      </c>
      <c r="Q620" s="2">
        <f t="shared" si="185"/>
        <v>1137.2043933904558</v>
      </c>
      <c r="S620" s="1">
        <f t="shared" si="186"/>
        <v>3000</v>
      </c>
      <c r="T620" s="1">
        <f t="shared" si="187"/>
        <v>6487.6712328767135</v>
      </c>
      <c r="V620" s="1">
        <f t="shared" si="199"/>
        <v>6487.6712328767135</v>
      </c>
      <c r="W620" s="1">
        <f t="shared" si="200"/>
        <v>3000</v>
      </c>
    </row>
    <row r="621" spans="1:23" x14ac:dyDescent="0.25">
      <c r="A621" s="2">
        <f t="shared" si="201"/>
        <v>60.900000000000595</v>
      </c>
      <c r="B621" s="7">
        <f t="shared" si="204"/>
        <v>23.68</v>
      </c>
      <c r="C621" s="7">
        <f t="shared" si="188"/>
        <v>1.9201772414557863</v>
      </c>
      <c r="D621" s="7">
        <f t="shared" si="189"/>
        <v>15.004934881021683</v>
      </c>
      <c r="E621" s="7">
        <f t="shared" si="190"/>
        <v>1</v>
      </c>
      <c r="G621" s="4">
        <f t="shared" si="191"/>
        <v>6090.00000000006</v>
      </c>
      <c r="H621" s="1">
        <f t="shared" si="202"/>
        <v>1.5413851351351349</v>
      </c>
      <c r="I621" s="1">
        <f t="shared" si="203"/>
        <v>995.59013298706486</v>
      </c>
      <c r="J621" s="1">
        <f t="shared" si="192"/>
        <v>33.186337766235496</v>
      </c>
      <c r="K621" s="7">
        <f t="shared" si="193"/>
        <v>2.7276441999645611</v>
      </c>
      <c r="L621" s="4">
        <f t="shared" si="194"/>
        <v>6487.6712328767135</v>
      </c>
      <c r="M621" s="1">
        <f t="shared" si="195"/>
        <v>960.08862072789316</v>
      </c>
      <c r="N621" s="7">
        <f t="shared" si="196"/>
        <v>15.004934881021683</v>
      </c>
      <c r="O621" s="1">
        <f t="shared" si="197"/>
        <v>3000</v>
      </c>
      <c r="P621" s="2">
        <f t="shared" si="198"/>
        <v>6.2287393257086343</v>
      </c>
      <c r="Q621" s="2">
        <f t="shared" si="185"/>
        <v>1145.3263109160955</v>
      </c>
      <c r="S621" s="1">
        <f t="shared" si="186"/>
        <v>3000</v>
      </c>
      <c r="T621" s="1">
        <f t="shared" si="187"/>
        <v>6487.6712328767135</v>
      </c>
      <c r="V621" s="1">
        <f t="shared" si="199"/>
        <v>6487.6712328767135</v>
      </c>
      <c r="W621" s="1">
        <f t="shared" si="200"/>
        <v>3000</v>
      </c>
    </row>
    <row r="622" spans="1:23" x14ac:dyDescent="0.25">
      <c r="A622" s="2">
        <f t="shared" si="201"/>
        <v>61.000000000000597</v>
      </c>
      <c r="B622" s="7">
        <f t="shared" si="204"/>
        <v>23.68</v>
      </c>
      <c r="C622" s="7">
        <f t="shared" si="188"/>
        <v>1.9210338315108586</v>
      </c>
      <c r="D622" s="7">
        <f t="shared" si="189"/>
        <v>15.096020092759929</v>
      </c>
      <c r="E622" s="7">
        <f t="shared" si="190"/>
        <v>1</v>
      </c>
      <c r="G622" s="4">
        <f t="shared" si="191"/>
        <v>6100.00000000006</v>
      </c>
      <c r="H622" s="1">
        <f t="shared" si="202"/>
        <v>1.5413851351351349</v>
      </c>
      <c r="I622" s="1">
        <f t="shared" si="203"/>
        <v>997.13151812219996</v>
      </c>
      <c r="J622" s="1">
        <f t="shared" si="192"/>
        <v>33.237717270739999</v>
      </c>
      <c r="K622" s="7">
        <f t="shared" si="193"/>
        <v>2.7318671729375343</v>
      </c>
      <c r="L622" s="4">
        <f t="shared" si="194"/>
        <v>6487.6712328767135</v>
      </c>
      <c r="M622" s="1">
        <f t="shared" si="195"/>
        <v>960.5169157554293</v>
      </c>
      <c r="N622" s="7">
        <f t="shared" si="196"/>
        <v>15.096020092759929</v>
      </c>
      <c r="O622" s="1">
        <f t="shared" si="197"/>
        <v>3000</v>
      </c>
      <c r="P622" s="2">
        <f t="shared" si="198"/>
        <v>6.2315179630379642</v>
      </c>
      <c r="Q622" s="2">
        <f t="shared" si="185"/>
        <v>1153.5150106476447</v>
      </c>
      <c r="S622" s="1">
        <f t="shared" si="186"/>
        <v>3000</v>
      </c>
      <c r="T622" s="1">
        <f t="shared" si="187"/>
        <v>6487.6712328767135</v>
      </c>
      <c r="V622" s="1">
        <f t="shared" si="199"/>
        <v>6487.6712328767135</v>
      </c>
      <c r="W622" s="1">
        <f t="shared" si="200"/>
        <v>3000</v>
      </c>
    </row>
    <row r="623" spans="1:23" x14ac:dyDescent="0.25">
      <c r="A623" s="2">
        <f t="shared" si="201"/>
        <v>61.100000000000598</v>
      </c>
      <c r="B623" s="7">
        <f t="shared" si="204"/>
        <v>23.679202395475578</v>
      </c>
      <c r="C623" s="7">
        <f t="shared" si="188"/>
        <v>1.9218908036903029</v>
      </c>
      <c r="D623" s="7">
        <f t="shared" si="189"/>
        <v>15.187658223645318</v>
      </c>
      <c r="E623" s="7">
        <f t="shared" si="190"/>
        <v>1</v>
      </c>
      <c r="G623" s="4">
        <f t="shared" si="191"/>
        <v>6110.00000000006</v>
      </c>
      <c r="H623" s="1">
        <f t="shared" si="202"/>
        <v>1.5414370547790963</v>
      </c>
      <c r="I623" s="1">
        <f t="shared" si="203"/>
        <v>998.67295517697903</v>
      </c>
      <c r="J623" s="1">
        <f t="shared" si="192"/>
        <v>33.289098505899304</v>
      </c>
      <c r="K623" s="7">
        <f t="shared" si="193"/>
        <v>2.7360902881561069</v>
      </c>
      <c r="L623" s="4">
        <f t="shared" si="194"/>
        <v>6487.4527110891995</v>
      </c>
      <c r="M623" s="1">
        <f t="shared" si="195"/>
        <v>960.94540184515142</v>
      </c>
      <c r="N623" s="7">
        <f t="shared" si="196"/>
        <v>15.187658223645318</v>
      </c>
      <c r="O623" s="1">
        <f t="shared" si="197"/>
        <v>3000</v>
      </c>
      <c r="P623" s="2">
        <f t="shared" si="198"/>
        <v>6.2340878524090275</v>
      </c>
      <c r="Q623" s="2">
        <f t="shared" si="185"/>
        <v>1161.7320363338147</v>
      </c>
      <c r="S623" s="1">
        <f t="shared" si="186"/>
        <v>3000</v>
      </c>
      <c r="T623" s="1">
        <f t="shared" si="187"/>
        <v>6487.4527110891995</v>
      </c>
      <c r="V623" s="1">
        <f t="shared" si="199"/>
        <v>6487.4527110891995</v>
      </c>
      <c r="W623" s="1">
        <f t="shared" si="200"/>
        <v>3000</v>
      </c>
    </row>
    <row r="624" spans="1:23" x14ac:dyDescent="0.25">
      <c r="A624" s="2">
        <f t="shared" si="201"/>
        <v>61.2000000000006</v>
      </c>
      <c r="B624" s="7">
        <f t="shared" si="204"/>
        <v>23.505398703393315</v>
      </c>
      <c r="C624" s="7">
        <f t="shared" si="188"/>
        <v>1.9227481581645847</v>
      </c>
      <c r="D624" s="7">
        <f t="shared" si="189"/>
        <v>15.27985263009079</v>
      </c>
      <c r="E624" s="7">
        <f t="shared" si="190"/>
        <v>1</v>
      </c>
      <c r="G624" s="4">
        <f t="shared" si="191"/>
        <v>6120.00000000006</v>
      </c>
      <c r="H624" s="1">
        <f t="shared" si="202"/>
        <v>1.552834753436058</v>
      </c>
      <c r="I624" s="1">
        <f t="shared" si="203"/>
        <v>1000.2257899304151</v>
      </c>
      <c r="J624" s="1">
        <f t="shared" si="192"/>
        <v>33.340859664347171</v>
      </c>
      <c r="K624" s="7">
        <f t="shared" si="193"/>
        <v>2.7403446299463425</v>
      </c>
      <c r="L624" s="4">
        <f t="shared" si="194"/>
        <v>6439.8352612036488</v>
      </c>
      <c r="M624" s="1">
        <f t="shared" si="195"/>
        <v>961.37407908229238</v>
      </c>
      <c r="N624" s="7">
        <f t="shared" si="196"/>
        <v>15.27985263009079</v>
      </c>
      <c r="O624" s="1">
        <f t="shared" si="197"/>
        <v>3000</v>
      </c>
      <c r="P624" s="2">
        <f t="shared" si="198"/>
        <v>6.191090693681331</v>
      </c>
      <c r="Q624" s="2">
        <f t="shared" ref="Q624:Q687" si="205">IFERROR(N624/100*L624/(1-N624/100),L624*100)</f>
        <v>1161.4679247855449</v>
      </c>
      <c r="S624" s="1">
        <f t="shared" si="186"/>
        <v>3000</v>
      </c>
      <c r="T624" s="1">
        <f t="shared" si="187"/>
        <v>6439.8352612036488</v>
      </c>
      <c r="V624" s="1">
        <f t="shared" si="199"/>
        <v>6439.8352612036488</v>
      </c>
      <c r="W624" s="1">
        <f t="shared" si="200"/>
        <v>3000</v>
      </c>
    </row>
    <row r="625" spans="1:23" x14ac:dyDescent="0.25">
      <c r="A625" s="2">
        <f t="shared" si="201"/>
        <v>61.300000000000601</v>
      </c>
      <c r="B625" s="7">
        <f t="shared" si="204"/>
        <v>23.332870718274382</v>
      </c>
      <c r="C625" s="7">
        <f t="shared" si="188"/>
        <v>1.9236058951042456</v>
      </c>
      <c r="D625" s="7">
        <f t="shared" si="189"/>
        <v>15.372606688883899</v>
      </c>
      <c r="E625" s="7">
        <f t="shared" si="190"/>
        <v>1</v>
      </c>
      <c r="G625" s="4">
        <f t="shared" si="191"/>
        <v>6130.0000000000591</v>
      </c>
      <c r="H625" s="1">
        <f t="shared" si="202"/>
        <v>1.564316728991678</v>
      </c>
      <c r="I625" s="1">
        <f t="shared" si="203"/>
        <v>1001.7901066594068</v>
      </c>
      <c r="J625" s="1">
        <f t="shared" si="192"/>
        <v>33.393003555313562</v>
      </c>
      <c r="K625" s="7">
        <f t="shared" si="193"/>
        <v>2.7446304292038541</v>
      </c>
      <c r="L625" s="4">
        <f t="shared" si="194"/>
        <v>6392.5673200751726</v>
      </c>
      <c r="M625" s="1">
        <f t="shared" si="195"/>
        <v>961.80294755212276</v>
      </c>
      <c r="N625" s="7">
        <f t="shared" si="196"/>
        <v>15.372606688883899</v>
      </c>
      <c r="O625" s="1">
        <f t="shared" si="197"/>
        <v>3000</v>
      </c>
      <c r="P625" s="2">
        <f t="shared" si="198"/>
        <v>6.1483900908736757</v>
      </c>
      <c r="Q625" s="2">
        <f t="shared" si="205"/>
        <v>1161.2129276209203</v>
      </c>
      <c r="S625" s="1">
        <f t="shared" si="186"/>
        <v>3000</v>
      </c>
      <c r="T625" s="1">
        <f t="shared" si="187"/>
        <v>6392.5673200751726</v>
      </c>
      <c r="V625" s="1">
        <f t="shared" si="199"/>
        <v>6392.5673200751726</v>
      </c>
      <c r="W625" s="1">
        <f t="shared" si="200"/>
        <v>3000</v>
      </c>
    </row>
    <row r="626" spans="1:23" x14ac:dyDescent="0.25">
      <c r="A626" s="2">
        <f t="shared" si="201"/>
        <v>61.400000000000603</v>
      </c>
      <c r="B626" s="7">
        <f t="shared" si="204"/>
        <v>23.161609076518705</v>
      </c>
      <c r="C626" s="7">
        <f t="shared" si="188"/>
        <v>1.924464014679903</v>
      </c>
      <c r="D626" s="7">
        <f t="shared" si="189"/>
        <v>15.465923797310454</v>
      </c>
      <c r="E626" s="7">
        <f t="shared" si="190"/>
        <v>1</v>
      </c>
      <c r="G626" s="4">
        <f t="shared" si="191"/>
        <v>6140.00000000006</v>
      </c>
      <c r="H626" s="1">
        <f t="shared" si="202"/>
        <v>1.5758836046070352</v>
      </c>
      <c r="I626" s="1">
        <f t="shared" si="203"/>
        <v>1003.3659902640138</v>
      </c>
      <c r="J626" s="1">
        <f t="shared" si="192"/>
        <v>33.44553300880046</v>
      </c>
      <c r="K626" s="7">
        <f t="shared" si="193"/>
        <v>2.7489479185315449</v>
      </c>
      <c r="L626" s="4">
        <f t="shared" si="194"/>
        <v>6345.6463223338915</v>
      </c>
      <c r="M626" s="1">
        <f t="shared" si="195"/>
        <v>962.23200733995156</v>
      </c>
      <c r="N626" s="7">
        <f t="shared" si="196"/>
        <v>15.465923797310454</v>
      </c>
      <c r="O626" s="1">
        <f t="shared" si="197"/>
        <v>3000</v>
      </c>
      <c r="P626" s="2">
        <f t="shared" si="198"/>
        <v>6.1059839986087212</v>
      </c>
      <c r="Q626" s="2">
        <f t="shared" si="205"/>
        <v>1160.9671137895139</v>
      </c>
      <c r="S626" s="1">
        <f t="shared" si="186"/>
        <v>3000</v>
      </c>
      <c r="T626" s="1">
        <f t="shared" si="187"/>
        <v>6345.6463223338924</v>
      </c>
      <c r="V626" s="1">
        <f t="shared" si="199"/>
        <v>6345.6463223338924</v>
      </c>
      <c r="W626" s="1">
        <f t="shared" si="200"/>
        <v>3000</v>
      </c>
    </row>
    <row r="627" spans="1:23" x14ac:dyDescent="0.25">
      <c r="A627" s="2">
        <f t="shared" si="201"/>
        <v>61.500000000000604</v>
      </c>
      <c r="B627" s="7">
        <f t="shared" si="204"/>
        <v>22.991604483254445</v>
      </c>
      <c r="C627" s="7">
        <f t="shared" si="188"/>
        <v>1.9253225170622508</v>
      </c>
      <c r="D627" s="7">
        <f t="shared" si="189"/>
        <v>15.559807373279003</v>
      </c>
      <c r="E627" s="7">
        <f t="shared" si="190"/>
        <v>1</v>
      </c>
      <c r="G627" s="4">
        <f t="shared" si="191"/>
        <v>6150.00000000006</v>
      </c>
      <c r="H627" s="1">
        <f t="shared" si="202"/>
        <v>1.5875360080495542</v>
      </c>
      <c r="I627" s="1">
        <f t="shared" si="203"/>
        <v>1004.9535262720634</v>
      </c>
      <c r="J627" s="1">
        <f t="shared" si="192"/>
        <v>33.49845087573545</v>
      </c>
      <c r="K627" s="7">
        <f t="shared" si="193"/>
        <v>2.7532973322522287</v>
      </c>
      <c r="L627" s="4">
        <f t="shared" si="194"/>
        <v>6299.069721439575</v>
      </c>
      <c r="M627" s="1">
        <f t="shared" si="195"/>
        <v>962.66125853112544</v>
      </c>
      <c r="N627" s="7">
        <f t="shared" si="196"/>
        <v>15.559807373279003</v>
      </c>
      <c r="O627" s="1">
        <f t="shared" si="197"/>
        <v>3000</v>
      </c>
      <c r="P627" s="2">
        <f t="shared" si="198"/>
        <v>6.063870385616327</v>
      </c>
      <c r="Q627" s="2">
        <f t="shared" si="205"/>
        <v>1160.7305531588536</v>
      </c>
      <c r="S627" s="1">
        <f t="shared" si="186"/>
        <v>3000</v>
      </c>
      <c r="T627" s="1">
        <f t="shared" si="187"/>
        <v>6299.069721439575</v>
      </c>
      <c r="V627" s="1">
        <f t="shared" si="199"/>
        <v>6299.069721439575</v>
      </c>
      <c r="W627" s="1">
        <f t="shared" si="200"/>
        <v>3000</v>
      </c>
    </row>
    <row r="628" spans="1:23" x14ac:dyDescent="0.25">
      <c r="A628" s="2">
        <f t="shared" si="201"/>
        <v>61.600000000000605</v>
      </c>
      <c r="B628" s="7">
        <f t="shared" si="204"/>
        <v>22.822847711833457</v>
      </c>
      <c r="C628" s="7">
        <f t="shared" si="188"/>
        <v>1.9261814024220585</v>
      </c>
      <c r="D628" s="7">
        <f t="shared" si="189"/>
        <v>15.654260855445996</v>
      </c>
      <c r="E628" s="7">
        <f t="shared" si="190"/>
        <v>1</v>
      </c>
      <c r="G628" s="4">
        <f t="shared" si="191"/>
        <v>6160.0000000000609</v>
      </c>
      <c r="H628" s="1">
        <f t="shared" si="202"/>
        <v>1.5992745717300814</v>
      </c>
      <c r="I628" s="1">
        <f t="shared" si="203"/>
        <v>1006.5528008437935</v>
      </c>
      <c r="J628" s="1">
        <f t="shared" si="192"/>
        <v>33.551760028126452</v>
      </c>
      <c r="K628" s="7">
        <f t="shared" si="193"/>
        <v>2.757678906421352</v>
      </c>
      <c r="L628" s="4">
        <f t="shared" si="194"/>
        <v>6252.834989543413</v>
      </c>
      <c r="M628" s="1">
        <f t="shared" si="195"/>
        <v>963.09070121102923</v>
      </c>
      <c r="N628" s="7">
        <f t="shared" si="196"/>
        <v>15.654260855445996</v>
      </c>
      <c r="O628" s="1">
        <f t="shared" si="197"/>
        <v>3000</v>
      </c>
      <c r="P628" s="2">
        <f t="shared" si="198"/>
        <v>6.0220472346362239</v>
      </c>
      <c r="Q628" s="2">
        <f t="shared" si="205"/>
        <v>1160.5033165293282</v>
      </c>
      <c r="S628" s="1">
        <f t="shared" si="186"/>
        <v>3000</v>
      </c>
      <c r="T628" s="1">
        <f t="shared" si="187"/>
        <v>6252.834989543413</v>
      </c>
      <c r="V628" s="1">
        <f t="shared" si="199"/>
        <v>6252.834989543413</v>
      </c>
      <c r="W628" s="1">
        <f t="shared" si="200"/>
        <v>3000</v>
      </c>
    </row>
    <row r="629" spans="1:23" x14ac:dyDescent="0.25">
      <c r="A629" s="2">
        <f t="shared" si="201"/>
        <v>61.700000000000607</v>
      </c>
      <c r="B629" s="7">
        <f t="shared" si="204"/>
        <v>22.655329603330561</v>
      </c>
      <c r="C629" s="7">
        <f t="shared" si="188"/>
        <v>1.9270406709301726</v>
      </c>
      <c r="D629" s="7">
        <f t="shared" si="189"/>
        <v>15.749287703341711</v>
      </c>
      <c r="E629" s="7">
        <f t="shared" si="190"/>
        <v>1</v>
      </c>
      <c r="G629" s="4">
        <f t="shared" si="191"/>
        <v>6170.0000000000609</v>
      </c>
      <c r="H629" s="1">
        <f t="shared" si="202"/>
        <v>1.6110999327343325</v>
      </c>
      <c r="I629" s="1">
        <f t="shared" si="203"/>
        <v>1008.1639007765278</v>
      </c>
      <c r="J629" s="1">
        <f t="shared" si="192"/>
        <v>33.605463359217595</v>
      </c>
      <c r="K629" s="7">
        <f t="shared" si="193"/>
        <v>2.7620928788398023</v>
      </c>
      <c r="L629" s="4">
        <f t="shared" si="194"/>
        <v>6206.9396173508385</v>
      </c>
      <c r="M629" s="1">
        <f t="shared" si="195"/>
        <v>963.5203354650863</v>
      </c>
      <c r="N629" s="7">
        <f t="shared" si="196"/>
        <v>15.749287703341711</v>
      </c>
      <c r="O629" s="1">
        <f t="shared" si="197"/>
        <v>3000</v>
      </c>
      <c r="P629" s="2">
        <f t="shared" si="198"/>
        <v>5.9805125423214145</v>
      </c>
      <c r="Q629" s="2">
        <f t="shared" si="205"/>
        <v>1160.2854756493898</v>
      </c>
      <c r="S629" s="1">
        <f t="shared" si="186"/>
        <v>3000</v>
      </c>
      <c r="T629" s="1">
        <f t="shared" si="187"/>
        <v>6206.9396173508385</v>
      </c>
      <c r="V629" s="1">
        <f t="shared" si="199"/>
        <v>6206.9396173508385</v>
      </c>
      <c r="W629" s="1">
        <f t="shared" si="200"/>
        <v>3000</v>
      </c>
    </row>
    <row r="630" spans="1:23" x14ac:dyDescent="0.25">
      <c r="A630" s="2">
        <f t="shared" si="201"/>
        <v>61.800000000000608</v>
      </c>
      <c r="B630" s="7">
        <f t="shared" si="204"/>
        <v>22.489041066046397</v>
      </c>
      <c r="C630" s="7">
        <f t="shared" si="188"/>
        <v>1.9279003227575151</v>
      </c>
      <c r="D630" s="7">
        <f t="shared" si="189"/>
        <v>15.844891397497008</v>
      </c>
      <c r="E630" s="7">
        <f t="shared" si="190"/>
        <v>1</v>
      </c>
      <c r="G630" s="4">
        <f t="shared" si="191"/>
        <v>6180.0000000000609</v>
      </c>
      <c r="H630" s="1">
        <f t="shared" si="202"/>
        <v>1.6230127328597894</v>
      </c>
      <c r="I630" s="1">
        <f t="shared" si="203"/>
        <v>1009.7869135093877</v>
      </c>
      <c r="J630" s="1">
        <f t="shared" si="192"/>
        <v>33.659563783646256</v>
      </c>
      <c r="K630" s="7">
        <f t="shared" si="193"/>
        <v>2.7665394890668153</v>
      </c>
      <c r="L630" s="4">
        <f t="shared" si="194"/>
        <v>6161.3811139853151</v>
      </c>
      <c r="M630" s="1">
        <f t="shared" si="195"/>
        <v>963.95016137875757</v>
      </c>
      <c r="N630" s="7">
        <f t="shared" si="196"/>
        <v>15.844891397497008</v>
      </c>
      <c r="O630" s="1">
        <f t="shared" si="197"/>
        <v>3000</v>
      </c>
      <c r="P630" s="2">
        <f t="shared" si="198"/>
        <v>5.9392643191421737</v>
      </c>
      <c r="Q630" s="2">
        <f t="shared" si="205"/>
        <v>1160.0771032310543</v>
      </c>
      <c r="S630" s="1">
        <f t="shared" si="186"/>
        <v>3000</v>
      </c>
      <c r="T630" s="1">
        <f t="shared" si="187"/>
        <v>6161.3811139853151</v>
      </c>
      <c r="V630" s="1">
        <f t="shared" si="199"/>
        <v>6161.3811139853151</v>
      </c>
      <c r="W630" s="1">
        <f t="shared" si="200"/>
        <v>3000</v>
      </c>
    </row>
    <row r="631" spans="1:23" x14ac:dyDescent="0.25">
      <c r="A631" s="2">
        <f t="shared" si="201"/>
        <v>61.90000000000061</v>
      </c>
      <c r="B631" s="7">
        <f t="shared" si="204"/>
        <v>22.323973075014095</v>
      </c>
      <c r="C631" s="7">
        <f t="shared" si="188"/>
        <v>1.9287603580750845</v>
      </c>
      <c r="D631" s="7">
        <f t="shared" si="189"/>
        <v>15.941075439570792</v>
      </c>
      <c r="E631" s="7">
        <f t="shared" si="190"/>
        <v>1</v>
      </c>
      <c r="G631" s="4">
        <f t="shared" si="191"/>
        <v>6190.0000000000609</v>
      </c>
      <c r="H631" s="1">
        <f t="shared" si="202"/>
        <v>1.6350136186489266</v>
      </c>
      <c r="I631" s="1">
        <f t="shared" si="203"/>
        <v>1011.4219271280366</v>
      </c>
      <c r="J631" s="1">
        <f t="shared" si="192"/>
        <v>33.714064237601221</v>
      </c>
      <c r="K631" s="7">
        <f t="shared" si="193"/>
        <v>2.7710189784329771</v>
      </c>
      <c r="L631" s="4">
        <f t="shared" si="194"/>
        <v>6116.1570068531764</v>
      </c>
      <c r="M631" s="1">
        <f t="shared" si="195"/>
        <v>964.38017903754223</v>
      </c>
      <c r="N631" s="7">
        <f t="shared" si="196"/>
        <v>15.941075439570792</v>
      </c>
      <c r="O631" s="1">
        <f t="shared" si="197"/>
        <v>3000</v>
      </c>
      <c r="P631" s="2">
        <f t="shared" si="198"/>
        <v>5.8983005892907849</v>
      </c>
      <c r="Q631" s="2">
        <f t="shared" si="205"/>
        <v>1159.8782729657155</v>
      </c>
      <c r="S631" s="1">
        <f t="shared" si="186"/>
        <v>3000</v>
      </c>
      <c r="T631" s="1">
        <f t="shared" si="187"/>
        <v>6116.1570068531764</v>
      </c>
      <c r="V631" s="1">
        <f t="shared" si="199"/>
        <v>6116.1570068531764</v>
      </c>
      <c r="W631" s="1">
        <f t="shared" si="200"/>
        <v>3000</v>
      </c>
    </row>
    <row r="632" spans="1:23" x14ac:dyDescent="0.25">
      <c r="A632" s="2">
        <f t="shared" si="201"/>
        <v>62.000000000000611</v>
      </c>
      <c r="B632" s="7">
        <f t="shared" si="204"/>
        <v>22.160116671509421</v>
      </c>
      <c r="C632" s="7">
        <f t="shared" si="188"/>
        <v>1.9296207770539557</v>
      </c>
      <c r="D632" s="7">
        <f t="shared" si="189"/>
        <v>16.037843352478237</v>
      </c>
      <c r="E632" s="7">
        <f t="shared" si="190"/>
        <v>1</v>
      </c>
      <c r="G632" s="4">
        <f t="shared" si="191"/>
        <v>6200.0000000000618</v>
      </c>
      <c r="H632" s="1">
        <f t="shared" si="202"/>
        <v>1.6471032414251785</v>
      </c>
      <c r="I632" s="1">
        <f t="shared" si="203"/>
        <v>1013.0690303694618</v>
      </c>
      <c r="J632" s="1">
        <f t="shared" si="192"/>
        <v>33.768967678982058</v>
      </c>
      <c r="K632" s="7">
        <f t="shared" si="193"/>
        <v>2.77553159005332</v>
      </c>
      <c r="L632" s="4">
        <f t="shared" si="194"/>
        <v>6071.2648415094327</v>
      </c>
      <c r="M632" s="1">
        <f t="shared" si="195"/>
        <v>964.81038852697782</v>
      </c>
      <c r="N632" s="7">
        <f t="shared" si="196"/>
        <v>16.037843352478237</v>
      </c>
      <c r="O632" s="1">
        <f t="shared" si="197"/>
        <v>3000</v>
      </c>
      <c r="P632" s="2">
        <f t="shared" si="198"/>
        <v>5.8576193905868958</v>
      </c>
      <c r="Q632" s="2">
        <f t="shared" si="205"/>
        <v>1159.6890595402647</v>
      </c>
      <c r="S632" s="1">
        <f t="shared" si="186"/>
        <v>3000</v>
      </c>
      <c r="T632" s="1">
        <f t="shared" si="187"/>
        <v>6071.2648415094318</v>
      </c>
      <c r="V632" s="1">
        <f t="shared" si="199"/>
        <v>6071.2648415094318</v>
      </c>
      <c r="W632" s="1">
        <f t="shared" si="200"/>
        <v>3000</v>
      </c>
    </row>
    <row r="633" spans="1:23" x14ac:dyDescent="0.25">
      <c r="A633" s="2">
        <f t="shared" si="201"/>
        <v>62.100000000000612</v>
      </c>
      <c r="B633" s="7">
        <f t="shared" si="204"/>
        <v>21.99746296256448</v>
      </c>
      <c r="C633" s="7">
        <f t="shared" si="188"/>
        <v>1.9304815798652799</v>
      </c>
      <c r="D633" s="7">
        <f t="shared" si="189"/>
        <v>16.135198680519871</v>
      </c>
      <c r="E633" s="7">
        <f t="shared" si="190"/>
        <v>1</v>
      </c>
      <c r="G633" s="4">
        <f t="shared" si="191"/>
        <v>6210.0000000000609</v>
      </c>
      <c r="H633" s="1">
        <f t="shared" si="202"/>
        <v>1.6592822573272552</v>
      </c>
      <c r="I633" s="1">
        <f t="shared" si="203"/>
        <v>1014.728312626789</v>
      </c>
      <c r="J633" s="1">
        <f t="shared" si="192"/>
        <v>33.824277087559636</v>
      </c>
      <c r="K633" s="7">
        <f t="shared" si="193"/>
        <v>2.7800775688405177</v>
      </c>
      <c r="L633" s="4">
        <f t="shared" si="194"/>
        <v>6026.7021815245153</v>
      </c>
      <c r="M633" s="1">
        <f t="shared" si="195"/>
        <v>965.24078993263993</v>
      </c>
      <c r="N633" s="7">
        <f t="shared" si="196"/>
        <v>16.135198680519871</v>
      </c>
      <c r="O633" s="1">
        <f t="shared" si="197"/>
        <v>3000</v>
      </c>
      <c r="P633" s="2">
        <f t="shared" si="198"/>
        <v>5.8172187743834876</v>
      </c>
      <c r="Q633" s="2">
        <f t="shared" si="205"/>
        <v>1159.5095386535327</v>
      </c>
      <c r="S633" s="1">
        <f t="shared" si="186"/>
        <v>3000</v>
      </c>
      <c r="T633" s="1">
        <f t="shared" si="187"/>
        <v>6026.7021815245153</v>
      </c>
      <c r="V633" s="1">
        <f t="shared" si="199"/>
        <v>6026.7021815245153</v>
      </c>
      <c r="W633" s="1">
        <f t="shared" si="200"/>
        <v>3000</v>
      </c>
    </row>
    <row r="634" spans="1:23" x14ac:dyDescent="0.25">
      <c r="A634" s="2">
        <f t="shared" si="201"/>
        <v>62.200000000000614</v>
      </c>
      <c r="B634" s="7">
        <f t="shared" si="204"/>
        <v>21.836003120485216</v>
      </c>
      <c r="C634" s="7">
        <f t="shared" si="188"/>
        <v>1.9313427666802843</v>
      </c>
      <c r="D634" s="7">
        <f t="shared" si="189"/>
        <v>16.233144989511359</v>
      </c>
      <c r="E634" s="7">
        <f t="shared" si="190"/>
        <v>1</v>
      </c>
      <c r="G634" s="4">
        <f t="shared" si="191"/>
        <v>6220.0000000000609</v>
      </c>
      <c r="H634" s="1">
        <f t="shared" si="202"/>
        <v>1.671551327346986</v>
      </c>
      <c r="I634" s="1">
        <f t="shared" si="203"/>
        <v>1016.399863954136</v>
      </c>
      <c r="J634" s="1">
        <f t="shared" si="192"/>
        <v>33.879995465137867</v>
      </c>
      <c r="K634" s="7">
        <f t="shared" si="193"/>
        <v>2.7846571615181808</v>
      </c>
      <c r="L634" s="4">
        <f t="shared" si="194"/>
        <v>5982.4666083521151</v>
      </c>
      <c r="M634" s="1">
        <f t="shared" si="195"/>
        <v>965.67138334014214</v>
      </c>
      <c r="N634" s="7">
        <f t="shared" si="196"/>
        <v>16.233144989511359</v>
      </c>
      <c r="O634" s="1">
        <f t="shared" si="197"/>
        <v>3000</v>
      </c>
      <c r="P634" s="2">
        <f t="shared" si="198"/>
        <v>5.7770968054735956</v>
      </c>
      <c r="Q634" s="2">
        <f t="shared" si="205"/>
        <v>1159.3397870330723</v>
      </c>
      <c r="S634" s="1">
        <f t="shared" si="186"/>
        <v>3000</v>
      </c>
      <c r="T634" s="1">
        <f t="shared" si="187"/>
        <v>5982.4666083521151</v>
      </c>
      <c r="V634" s="1">
        <f t="shared" si="199"/>
        <v>5982.4666083521151</v>
      </c>
      <c r="W634" s="1">
        <f t="shared" si="200"/>
        <v>3000</v>
      </c>
    </row>
    <row r="635" spans="1:23" x14ac:dyDescent="0.25">
      <c r="A635" s="2">
        <f t="shared" si="201"/>
        <v>62.300000000000615</v>
      </c>
      <c r="B635" s="7">
        <f t="shared" si="204"/>
        <v>21.675728382372196</v>
      </c>
      <c r="C635" s="7">
        <f t="shared" si="188"/>
        <v>1.9322043376702724</v>
      </c>
      <c r="D635" s="7">
        <f t="shared" si="189"/>
        <v>16.331685866914132</v>
      </c>
      <c r="E635" s="7">
        <f t="shared" si="190"/>
        <v>1</v>
      </c>
      <c r="G635" s="4">
        <f t="shared" si="191"/>
        <v>6230.0000000000609</v>
      </c>
      <c r="H635" s="1">
        <f t="shared" si="202"/>
        <v>1.6839111173622039</v>
      </c>
      <c r="I635" s="1">
        <f t="shared" si="203"/>
        <v>1018.0837750714982</v>
      </c>
      <c r="J635" s="1">
        <f t="shared" si="192"/>
        <v>33.936125835716602</v>
      </c>
      <c r="K635" s="7">
        <f t="shared" si="193"/>
        <v>2.7892706166342416</v>
      </c>
      <c r="L635" s="4">
        <f t="shared" si="194"/>
        <v>5938.5557211978621</v>
      </c>
      <c r="M635" s="1">
        <f t="shared" si="195"/>
        <v>966.10216883513624</v>
      </c>
      <c r="N635" s="7">
        <f t="shared" si="196"/>
        <v>16.331685866914132</v>
      </c>
      <c r="O635" s="1">
        <f t="shared" si="197"/>
        <v>3000</v>
      </c>
      <c r="P635" s="2">
        <f t="shared" si="198"/>
        <v>5.737251561997561</v>
      </c>
      <c r="Q635" s="2">
        <f t="shared" si="205"/>
        <v>1159.1798824522593</v>
      </c>
      <c r="S635" s="1">
        <f t="shared" si="186"/>
        <v>3000</v>
      </c>
      <c r="T635" s="1">
        <f t="shared" si="187"/>
        <v>5938.5557211978621</v>
      </c>
      <c r="V635" s="1">
        <f t="shared" si="199"/>
        <v>5938.5557211978621</v>
      </c>
      <c r="W635" s="1">
        <f t="shared" si="200"/>
        <v>3000</v>
      </c>
    </row>
    <row r="636" spans="1:23" x14ac:dyDescent="0.25">
      <c r="A636" s="2">
        <f t="shared" si="201"/>
        <v>62.400000000000617</v>
      </c>
      <c r="B636" s="7">
        <f t="shared" si="204"/>
        <v>21.51663004964508</v>
      </c>
      <c r="C636" s="7">
        <f t="shared" si="188"/>
        <v>1.9330662930066256</v>
      </c>
      <c r="D636" s="7">
        <f t="shared" si="189"/>
        <v>16.430824921966735</v>
      </c>
      <c r="E636" s="7">
        <f t="shared" si="190"/>
        <v>1</v>
      </c>
      <c r="G636" s="4">
        <f t="shared" si="191"/>
        <v>6240.0000000000628</v>
      </c>
      <c r="H636" s="1">
        <f t="shared" si="202"/>
        <v>1.6963622981754389</v>
      </c>
      <c r="I636" s="1">
        <f t="shared" si="203"/>
        <v>1019.7801373696736</v>
      </c>
      <c r="J636" s="1">
        <f t="shared" si="192"/>
        <v>33.992671245655785</v>
      </c>
      <c r="K636" s="7">
        <f t="shared" si="193"/>
        <v>2.7939181845744483</v>
      </c>
      <c r="L636" s="4">
        <f t="shared" si="194"/>
        <v>5894.9671368890631</v>
      </c>
      <c r="M636" s="1">
        <f t="shared" si="195"/>
        <v>966.53314650331276</v>
      </c>
      <c r="N636" s="7">
        <f t="shared" si="196"/>
        <v>16.430824921966735</v>
      </c>
      <c r="O636" s="1">
        <f t="shared" si="197"/>
        <v>3000</v>
      </c>
      <c r="P636" s="2">
        <f t="shared" si="198"/>
        <v>5.6976811353510106</v>
      </c>
      <c r="Q636" s="2">
        <f t="shared" si="205"/>
        <v>1159.0299037477494</v>
      </c>
      <c r="S636" s="1">
        <f t="shared" si="186"/>
        <v>3000</v>
      </c>
      <c r="T636" s="1">
        <f t="shared" si="187"/>
        <v>5894.9671368890631</v>
      </c>
      <c r="V636" s="1">
        <f t="shared" si="199"/>
        <v>5894.9671368890631</v>
      </c>
      <c r="W636" s="1">
        <f t="shared" si="200"/>
        <v>3000</v>
      </c>
    </row>
    <row r="637" spans="1:23" x14ac:dyDescent="0.25">
      <c r="A637" s="2">
        <f t="shared" si="201"/>
        <v>62.500000000000618</v>
      </c>
      <c r="B637" s="7">
        <f t="shared" si="204"/>
        <v>21.358699487570451</v>
      </c>
      <c r="C637" s="7">
        <f t="shared" si="188"/>
        <v>1.9339286328607996</v>
      </c>
      <c r="D637" s="7">
        <f t="shared" si="189"/>
        <v>16.530565785817082</v>
      </c>
      <c r="E637" s="7">
        <f t="shared" si="190"/>
        <v>1</v>
      </c>
      <c r="G637" s="4">
        <f t="shared" si="191"/>
        <v>6250.0000000000618</v>
      </c>
      <c r="H637" s="1">
        <f t="shared" si="202"/>
        <v>1.708905545547734</v>
      </c>
      <c r="I637" s="1">
        <f t="shared" si="203"/>
        <v>1021.4890429152214</v>
      </c>
      <c r="J637" s="1">
        <f t="shared" si="192"/>
        <v>34.049634763840714</v>
      </c>
      <c r="K637" s="7">
        <f t="shared" si="193"/>
        <v>2.798600117575949</v>
      </c>
      <c r="L637" s="4">
        <f t="shared" si="194"/>
        <v>5851.6984897453276</v>
      </c>
      <c r="M637" s="1">
        <f t="shared" si="195"/>
        <v>966.96431643039978</v>
      </c>
      <c r="N637" s="7">
        <f t="shared" si="196"/>
        <v>16.530565785817082</v>
      </c>
      <c r="O637" s="1">
        <f t="shared" si="197"/>
        <v>3000</v>
      </c>
      <c r="P637" s="2">
        <f t="shared" si="198"/>
        <v>5.6583836300933941</v>
      </c>
      <c r="Q637" s="2">
        <f t="shared" si="205"/>
        <v>1158.8899308372831</v>
      </c>
      <c r="S637" s="1">
        <f t="shared" si="186"/>
        <v>3000</v>
      </c>
      <c r="T637" s="1">
        <f t="shared" si="187"/>
        <v>5851.6984897453285</v>
      </c>
      <c r="V637" s="1">
        <f t="shared" si="199"/>
        <v>5851.6984897453285</v>
      </c>
      <c r="W637" s="1">
        <f t="shared" si="200"/>
        <v>3000</v>
      </c>
    </row>
    <row r="638" spans="1:23" x14ac:dyDescent="0.25">
      <c r="A638" s="2">
        <f t="shared" si="201"/>
        <v>62.60000000000062</v>
      </c>
      <c r="B638" s="7">
        <f t="shared" si="204"/>
        <v>21.20192812479328</v>
      </c>
      <c r="C638" s="7">
        <f t="shared" si="188"/>
        <v>1.9347913574043276</v>
      </c>
      <c r="D638" s="7">
        <f t="shared" si="189"/>
        <v>16.63091211165543</v>
      </c>
      <c r="E638" s="7">
        <f t="shared" si="190"/>
        <v>1</v>
      </c>
      <c r="G638" s="4">
        <f t="shared" si="191"/>
        <v>6260.0000000000618</v>
      </c>
      <c r="H638" s="1">
        <f t="shared" si="202"/>
        <v>1.7215415402393213</v>
      </c>
      <c r="I638" s="1">
        <f t="shared" si="203"/>
        <v>1023.2105844554607</v>
      </c>
      <c r="J638" s="1">
        <f t="shared" si="192"/>
        <v>34.107019481848688</v>
      </c>
      <c r="K638" s="7">
        <f t="shared" si="193"/>
        <v>2.8033166697409881</v>
      </c>
      <c r="L638" s="4">
        <f t="shared" si="194"/>
        <v>5808.7474314502124</v>
      </c>
      <c r="M638" s="1">
        <f t="shared" si="195"/>
        <v>967.39567870216376</v>
      </c>
      <c r="N638" s="7">
        <f t="shared" si="196"/>
        <v>16.63091211165543</v>
      </c>
      <c r="O638" s="1">
        <f t="shared" si="197"/>
        <v>3000</v>
      </c>
      <c r="P638" s="2">
        <f t="shared" si="198"/>
        <v>5.6193571638572291</v>
      </c>
      <c r="Q638" s="2">
        <f t="shared" si="205"/>
        <v>1158.7600447378595</v>
      </c>
      <c r="S638" s="1">
        <f t="shared" si="186"/>
        <v>3000</v>
      </c>
      <c r="T638" s="1">
        <f t="shared" si="187"/>
        <v>5808.7474314502124</v>
      </c>
      <c r="V638" s="1">
        <f t="shared" si="199"/>
        <v>5808.7474314502124</v>
      </c>
      <c r="W638" s="1">
        <f t="shared" si="200"/>
        <v>3000</v>
      </c>
    </row>
    <row r="639" spans="1:23" x14ac:dyDescent="0.25">
      <c r="A639" s="2">
        <f t="shared" si="201"/>
        <v>62.700000000000621</v>
      </c>
      <c r="B639" s="7">
        <f t="shared" si="204"/>
        <v>21.046307452871666</v>
      </c>
      <c r="C639" s="7">
        <f t="shared" si="188"/>
        <v>1.93565446680882</v>
      </c>
      <c r="D639" s="7">
        <f t="shared" si="189"/>
        <v>16.731867574848156</v>
      </c>
      <c r="E639" s="7">
        <f t="shared" si="190"/>
        <v>1</v>
      </c>
      <c r="G639" s="4">
        <f t="shared" si="191"/>
        <v>6270.0000000000618</v>
      </c>
      <c r="H639" s="1">
        <f t="shared" si="202"/>
        <v>1.7342709680419381</v>
      </c>
      <c r="I639" s="1">
        <f t="shared" si="203"/>
        <v>1024.9448554235025</v>
      </c>
      <c r="J639" s="1">
        <f t="shared" si="192"/>
        <v>34.164828514116749</v>
      </c>
      <c r="K639" s="7">
        <f t="shared" si="193"/>
        <v>2.8080680970506919</v>
      </c>
      <c r="L639" s="4">
        <f t="shared" si="194"/>
        <v>5766.1116309237441</v>
      </c>
      <c r="M639" s="1">
        <f t="shared" si="195"/>
        <v>967.82723340440998</v>
      </c>
      <c r="N639" s="7">
        <f t="shared" si="196"/>
        <v>16.731867574848156</v>
      </c>
      <c r="O639" s="1">
        <f t="shared" si="197"/>
        <v>3000</v>
      </c>
      <c r="P639" s="2">
        <f t="shared" si="198"/>
        <v>5.5805998672579173</v>
      </c>
      <c r="Q639" s="2">
        <f t="shared" si="205"/>
        <v>1158.640327584264</v>
      </c>
      <c r="S639" s="1">
        <f t="shared" si="186"/>
        <v>3000</v>
      </c>
      <c r="T639" s="1">
        <f t="shared" si="187"/>
        <v>5766.1116309237441</v>
      </c>
      <c r="V639" s="1">
        <f t="shared" si="199"/>
        <v>5766.1116309237441</v>
      </c>
      <c r="W639" s="1">
        <f t="shared" si="200"/>
        <v>3000</v>
      </c>
    </row>
    <row r="640" spans="1:23" x14ac:dyDescent="0.25">
      <c r="A640" s="2">
        <f t="shared" si="201"/>
        <v>62.800000000000622</v>
      </c>
      <c r="B640" s="7">
        <f t="shared" si="204"/>
        <v>20.891829025815106</v>
      </c>
      <c r="C640" s="7">
        <f t="shared" si="188"/>
        <v>1.9365179612459629</v>
      </c>
      <c r="D640" s="7">
        <f t="shared" si="189"/>
        <v>16.833435873072418</v>
      </c>
      <c r="E640" s="7">
        <f t="shared" si="190"/>
        <v>1</v>
      </c>
      <c r="G640" s="4">
        <f t="shared" si="191"/>
        <v>6280.0000000000628</v>
      </c>
      <c r="H640" s="1">
        <f t="shared" si="202"/>
        <v>1.7470945198192986</v>
      </c>
      <c r="I640" s="1">
        <f t="shared" si="203"/>
        <v>1026.6919499433218</v>
      </c>
      <c r="J640" s="1">
        <f t="shared" si="192"/>
        <v>34.223064998110729</v>
      </c>
      <c r="K640" s="7">
        <f t="shared" si="193"/>
        <v>2.8128546573789639</v>
      </c>
      <c r="L640" s="4">
        <f t="shared" si="194"/>
        <v>5723.7887741959184</v>
      </c>
      <c r="M640" s="1">
        <f t="shared" si="195"/>
        <v>968.25898062298143</v>
      </c>
      <c r="N640" s="7">
        <f t="shared" si="196"/>
        <v>16.833435873072418</v>
      </c>
      <c r="O640" s="1">
        <f t="shared" si="197"/>
        <v>3000</v>
      </c>
      <c r="P640" s="2">
        <f t="shared" si="198"/>
        <v>5.5421098838042049</v>
      </c>
      <c r="Q640" s="2">
        <f t="shared" si="205"/>
        <v>1158.5308626479898</v>
      </c>
      <c r="S640" s="1">
        <f t="shared" si="186"/>
        <v>3000</v>
      </c>
      <c r="T640" s="1">
        <f t="shared" si="187"/>
        <v>5723.7887741959184</v>
      </c>
      <c r="V640" s="1">
        <f t="shared" si="199"/>
        <v>5723.7887741959184</v>
      </c>
      <c r="W640" s="1">
        <f t="shared" si="200"/>
        <v>3000</v>
      </c>
    </row>
    <row r="641" spans="1:23" x14ac:dyDescent="0.25">
      <c r="A641" s="2">
        <f t="shared" si="201"/>
        <v>62.900000000000624</v>
      </c>
      <c r="B641" s="7">
        <f t="shared" si="204"/>
        <v>20.738484459626012</v>
      </c>
      <c r="C641" s="7">
        <f t="shared" si="188"/>
        <v>1.9373818408875187</v>
      </c>
      <c r="D641" s="7">
        <f t="shared" si="189"/>
        <v>16.935620726451575</v>
      </c>
      <c r="E641" s="7">
        <f t="shared" si="190"/>
        <v>1</v>
      </c>
      <c r="G641" s="4">
        <f t="shared" si="191"/>
        <v>6290.0000000000618</v>
      </c>
      <c r="H641" s="1">
        <f t="shared" si="202"/>
        <v>1.7600128915425535</v>
      </c>
      <c r="I641" s="1">
        <f t="shared" si="203"/>
        <v>1028.4519628348644</v>
      </c>
      <c r="J641" s="1">
        <f t="shared" si="192"/>
        <v>34.281732094495482</v>
      </c>
      <c r="K641" s="7">
        <f t="shared" si="193"/>
        <v>2.8176766105064779</v>
      </c>
      <c r="L641" s="4">
        <f t="shared" si="194"/>
        <v>5681.7765642810982</v>
      </c>
      <c r="M641" s="1">
        <f t="shared" si="195"/>
        <v>968.69092044375941</v>
      </c>
      <c r="N641" s="7">
        <f t="shared" si="196"/>
        <v>16.935620726451575</v>
      </c>
      <c r="O641" s="1">
        <f t="shared" si="197"/>
        <v>3000</v>
      </c>
      <c r="P641" s="2">
        <f t="shared" si="198"/>
        <v>5.5038853698092378</v>
      </c>
      <c r="Q641" s="2">
        <f t="shared" si="205"/>
        <v>1158.4317343565358</v>
      </c>
      <c r="S641" s="1">
        <f t="shared" si="186"/>
        <v>3000</v>
      </c>
      <c r="T641" s="1">
        <f t="shared" si="187"/>
        <v>5681.7765642810991</v>
      </c>
      <c r="V641" s="1">
        <f t="shared" si="199"/>
        <v>5681.7765642810991</v>
      </c>
      <c r="W641" s="1">
        <f t="shared" si="200"/>
        <v>3000</v>
      </c>
    </row>
    <row r="642" spans="1:23" x14ac:dyDescent="0.25">
      <c r="A642" s="2">
        <f t="shared" si="201"/>
        <v>63.000000000000625</v>
      </c>
      <c r="B642" s="7">
        <f t="shared" si="204"/>
        <v>20.586265431844812</v>
      </c>
      <c r="C642" s="7">
        <f t="shared" si="188"/>
        <v>1.9382461059053273</v>
      </c>
      <c r="D642" s="7">
        <f t="shared" si="189"/>
        <v>17.038425877691417</v>
      </c>
      <c r="E642" s="7">
        <f t="shared" si="190"/>
        <v>1</v>
      </c>
      <c r="G642" s="4">
        <f t="shared" si="191"/>
        <v>6300.0000000000618</v>
      </c>
      <c r="H642" s="1">
        <f t="shared" si="202"/>
        <v>1.7730267843306</v>
      </c>
      <c r="I642" s="1">
        <f t="shared" si="203"/>
        <v>1030.224989619195</v>
      </c>
      <c r="J642" s="1">
        <f t="shared" si="192"/>
        <v>34.340832987306499</v>
      </c>
      <c r="K642" s="7">
        <f t="shared" si="193"/>
        <v>2.8225342181347806</v>
      </c>
      <c r="L642" s="4">
        <f t="shared" si="194"/>
        <v>5640.0727210533732</v>
      </c>
      <c r="M642" s="1">
        <f t="shared" si="195"/>
        <v>969.12305295266367</v>
      </c>
      <c r="N642" s="7">
        <f t="shared" si="196"/>
        <v>17.038425877691417</v>
      </c>
      <c r="O642" s="1">
        <f t="shared" si="197"/>
        <v>3000</v>
      </c>
      <c r="P642" s="2">
        <f t="shared" si="198"/>
        <v>5.465924494302282</v>
      </c>
      <c r="Q642" s="2">
        <f t="shared" si="205"/>
        <v>1158.3430283131072</v>
      </c>
      <c r="S642" s="1">
        <f t="shared" si="186"/>
        <v>3000</v>
      </c>
      <c r="T642" s="1">
        <f t="shared" si="187"/>
        <v>5640.0727210533732</v>
      </c>
      <c r="V642" s="1">
        <f t="shared" si="199"/>
        <v>5640.0727210533732</v>
      </c>
      <c r="W642" s="1">
        <f t="shared" si="200"/>
        <v>3000</v>
      </c>
    </row>
    <row r="643" spans="1:23" x14ac:dyDescent="0.25">
      <c r="A643" s="2">
        <f t="shared" si="201"/>
        <v>63.100000000000627</v>
      </c>
      <c r="B643" s="7">
        <f t="shared" si="204"/>
        <v>20.435163681098206</v>
      </c>
      <c r="C643" s="7">
        <f t="shared" si="188"/>
        <v>1.9391107564713046</v>
      </c>
      <c r="D643" s="7">
        <f t="shared" si="189"/>
        <v>17.141855092217284</v>
      </c>
      <c r="E643" s="7">
        <f t="shared" si="190"/>
        <v>1</v>
      </c>
      <c r="G643" s="4">
        <f t="shared" si="191"/>
        <v>6310.0000000000628</v>
      </c>
      <c r="H643" s="1">
        <f t="shared" si="202"/>
        <v>1.7861369044851112</v>
      </c>
      <c r="I643" s="1">
        <f t="shared" si="203"/>
        <v>1032.0111265236801</v>
      </c>
      <c r="J643" s="1">
        <f t="shared" si="192"/>
        <v>34.400370884122673</v>
      </c>
      <c r="K643" s="7">
        <f t="shared" si="193"/>
        <v>2.8274277439004933</v>
      </c>
      <c r="L643" s="4">
        <f t="shared" si="194"/>
        <v>5598.6749811227965</v>
      </c>
      <c r="M643" s="1">
        <f t="shared" si="195"/>
        <v>969.55537823565226</v>
      </c>
      <c r="N643" s="7">
        <f t="shared" si="196"/>
        <v>17.141855092217284</v>
      </c>
      <c r="O643" s="1">
        <f t="shared" si="197"/>
        <v>3000</v>
      </c>
      <c r="P643" s="2">
        <f t="shared" si="198"/>
        <v>5.4282254389409967</v>
      </c>
      <c r="Q643" s="2">
        <f t="shared" si="205"/>
        <v>1158.2648313167203</v>
      </c>
      <c r="S643" s="1">
        <f t="shared" si="186"/>
        <v>3000</v>
      </c>
      <c r="T643" s="1">
        <f t="shared" si="187"/>
        <v>5598.6749811227965</v>
      </c>
      <c r="V643" s="1">
        <f t="shared" si="199"/>
        <v>5598.6749811227965</v>
      </c>
      <c r="W643" s="1">
        <f t="shared" si="200"/>
        <v>3000</v>
      </c>
    </row>
    <row r="644" spans="1:23" x14ac:dyDescent="0.25">
      <c r="A644" s="2">
        <f t="shared" si="201"/>
        <v>63.200000000000628</v>
      </c>
      <c r="B644" s="7">
        <f t="shared" si="204"/>
        <v>20.285171006650742</v>
      </c>
      <c r="C644" s="7">
        <f t="shared" si="188"/>
        <v>1.9399757927574435</v>
      </c>
      <c r="D644" s="7">
        <f t="shared" si="189"/>
        <v>17.245912158311974</v>
      </c>
      <c r="E644" s="7">
        <f t="shared" si="190"/>
        <v>1</v>
      </c>
      <c r="G644" s="4">
        <f t="shared" si="191"/>
        <v>6320.0000000000637</v>
      </c>
      <c r="H644" s="1">
        <f t="shared" si="202"/>
        <v>1.7993439635306179</v>
      </c>
      <c r="I644" s="1">
        <f t="shared" si="203"/>
        <v>1033.8104704872108</v>
      </c>
      <c r="J644" s="1">
        <f t="shared" si="192"/>
        <v>34.460349016240357</v>
      </c>
      <c r="K644" s="7">
        <f t="shared" si="193"/>
        <v>2.8323574533896183</v>
      </c>
      <c r="L644" s="4">
        <f t="shared" si="194"/>
        <v>5557.581097712532</v>
      </c>
      <c r="M644" s="1">
        <f t="shared" si="195"/>
        <v>969.98789637872176</v>
      </c>
      <c r="N644" s="7">
        <f t="shared" si="196"/>
        <v>17.245912158311974</v>
      </c>
      <c r="O644" s="1">
        <f t="shared" si="197"/>
        <v>3000</v>
      </c>
      <c r="P644" s="2">
        <f t="shared" si="198"/>
        <v>5.3907863979243267</v>
      </c>
      <c r="Q644" s="2">
        <f t="shared" si="205"/>
        <v>1158.1972313827184</v>
      </c>
      <c r="S644" s="1">
        <f t="shared" si="186"/>
        <v>3000</v>
      </c>
      <c r="T644" s="1">
        <f t="shared" si="187"/>
        <v>5557.581097712532</v>
      </c>
      <c r="V644" s="1">
        <f t="shared" si="199"/>
        <v>5557.581097712532</v>
      </c>
      <c r="W644" s="1">
        <f t="shared" si="200"/>
        <v>3000</v>
      </c>
    </row>
    <row r="645" spans="1:23" x14ac:dyDescent="0.25">
      <c r="A645" s="2">
        <f t="shared" si="201"/>
        <v>63.30000000000063</v>
      </c>
      <c r="B645" s="7">
        <f t="shared" si="204"/>
        <v>20.136279267959853</v>
      </c>
      <c r="C645" s="7">
        <f t="shared" si="188"/>
        <v>1.9408412149358134</v>
      </c>
      <c r="D645" s="7">
        <f t="shared" si="189"/>
        <v>17.350600887254458</v>
      </c>
      <c r="E645" s="7">
        <f t="shared" si="190"/>
        <v>1</v>
      </c>
      <c r="G645" s="4">
        <f t="shared" si="191"/>
        <v>6330.0000000000628</v>
      </c>
      <c r="H645" s="1">
        <f t="shared" si="202"/>
        <v>1.8126486782527995</v>
      </c>
      <c r="I645" s="1">
        <f t="shared" si="203"/>
        <v>1035.6231191654635</v>
      </c>
      <c r="J645" s="1">
        <f t="shared" si="192"/>
        <v>34.520770638848788</v>
      </c>
      <c r="K645" s="7">
        <f t="shared" si="193"/>
        <v>2.8373236141519551</v>
      </c>
      <c r="L645" s="4">
        <f t="shared" si="194"/>
        <v>5516.7888405369467</v>
      </c>
      <c r="M645" s="1">
        <f t="shared" si="195"/>
        <v>970.42060746790673</v>
      </c>
      <c r="N645" s="7">
        <f t="shared" si="196"/>
        <v>17.350600887254458</v>
      </c>
      <c r="O645" s="1">
        <f t="shared" si="197"/>
        <v>3000</v>
      </c>
      <c r="P645" s="2">
        <f t="shared" si="198"/>
        <v>5.3536055779060332</v>
      </c>
      <c r="Q645" s="2">
        <f t="shared" si="205"/>
        <v>1158.1403177637226</v>
      </c>
      <c r="S645" s="1">
        <f t="shared" si="186"/>
        <v>3000</v>
      </c>
      <c r="T645" s="1">
        <f t="shared" si="187"/>
        <v>5516.7888405369467</v>
      </c>
      <c r="V645" s="1">
        <f t="shared" si="199"/>
        <v>5516.7888405369467</v>
      </c>
      <c r="W645" s="1">
        <f t="shared" si="200"/>
        <v>3000</v>
      </c>
    </row>
    <row r="646" spans="1:23" x14ac:dyDescent="0.25">
      <c r="A646" s="2">
        <f t="shared" si="201"/>
        <v>63.400000000000631</v>
      </c>
      <c r="B646" s="7">
        <f t="shared" si="204"/>
        <v>19.988480384233956</v>
      </c>
      <c r="C646" s="7">
        <f t="shared" si="188"/>
        <v>1.9417070231785611</v>
      </c>
      <c r="D646" s="7">
        <f t="shared" si="189"/>
        <v>17.455925113459543</v>
      </c>
      <c r="E646" s="7">
        <f t="shared" si="190"/>
        <v>1</v>
      </c>
      <c r="G646" s="4">
        <f t="shared" si="191"/>
        <v>6340.0000000000637</v>
      </c>
      <c r="H646" s="1">
        <f t="shared" si="202"/>
        <v>1.8260517707385568</v>
      </c>
      <c r="I646" s="1">
        <f t="shared" si="203"/>
        <v>1037.4491709362021</v>
      </c>
      <c r="J646" s="1">
        <f t="shared" si="192"/>
        <v>34.581639031206734</v>
      </c>
      <c r="K646" s="7">
        <f t="shared" si="193"/>
        <v>2.8423264957156222</v>
      </c>
      <c r="L646" s="4">
        <f t="shared" si="194"/>
        <v>5476.2959956805353</v>
      </c>
      <c r="M646" s="1">
        <f t="shared" si="195"/>
        <v>970.85351158928052</v>
      </c>
      <c r="N646" s="7">
        <f t="shared" si="196"/>
        <v>17.455925113459543</v>
      </c>
      <c r="O646" s="1">
        <f t="shared" si="197"/>
        <v>3000</v>
      </c>
      <c r="P646" s="2">
        <f t="shared" si="198"/>
        <v>5.3166811979087631</v>
      </c>
      <c r="Q646" s="2">
        <f t="shared" si="205"/>
        <v>1158.09418097101</v>
      </c>
      <c r="S646" s="1">
        <f t="shared" si="186"/>
        <v>3000</v>
      </c>
      <c r="T646" s="1">
        <f t="shared" si="187"/>
        <v>5476.2959956805353</v>
      </c>
      <c r="V646" s="1">
        <f t="shared" si="199"/>
        <v>5476.2959956805353</v>
      </c>
      <c r="W646" s="1">
        <f t="shared" si="200"/>
        <v>3000</v>
      </c>
    </row>
    <row r="647" spans="1:23" x14ac:dyDescent="0.25">
      <c r="A647" s="2">
        <f t="shared" si="201"/>
        <v>63.500000000000632</v>
      </c>
      <c r="B647" s="7">
        <f t="shared" si="204"/>
        <v>19.841766333993942</v>
      </c>
      <c r="C647" s="7">
        <f t="shared" si="188"/>
        <v>1.9425732176579091</v>
      </c>
      <c r="D647" s="7">
        <f t="shared" si="189"/>
        <v>17.561888694618265</v>
      </c>
      <c r="E647" s="7">
        <f t="shared" si="190"/>
        <v>1</v>
      </c>
      <c r="G647" s="4">
        <f t="shared" si="191"/>
        <v>6350.0000000000637</v>
      </c>
      <c r="H647" s="1">
        <f t="shared" si="202"/>
        <v>1.8395539684118907</v>
      </c>
      <c r="I647" s="1">
        <f t="shared" si="203"/>
        <v>1039.2887249046139</v>
      </c>
      <c r="J647" s="1">
        <f t="shared" si="192"/>
        <v>34.642957496820465</v>
      </c>
      <c r="K647" s="7">
        <f t="shared" si="193"/>
        <v>2.8473663696016818</v>
      </c>
      <c r="L647" s="4">
        <f t="shared" si="194"/>
        <v>5436.1003654777915</v>
      </c>
      <c r="M647" s="1">
        <f t="shared" si="195"/>
        <v>971.28660882895451</v>
      </c>
      <c r="N647" s="7">
        <f t="shared" si="196"/>
        <v>17.561888694618265</v>
      </c>
      <c r="O647" s="1">
        <f t="shared" si="197"/>
        <v>3000</v>
      </c>
      <c r="P647" s="2">
        <f t="shared" si="198"/>
        <v>5.2800114892387642</v>
      </c>
      <c r="Q647" s="2">
        <f t="shared" si="205"/>
        <v>1158.0589127963474</v>
      </c>
      <c r="S647" s="1">
        <f t="shared" si="186"/>
        <v>3000</v>
      </c>
      <c r="T647" s="1">
        <f t="shared" si="187"/>
        <v>5436.1003654777915</v>
      </c>
      <c r="V647" s="1">
        <f t="shared" si="199"/>
        <v>5436.1003654777915</v>
      </c>
      <c r="W647" s="1">
        <f t="shared" si="200"/>
        <v>3000</v>
      </c>
    </row>
    <row r="648" spans="1:23" x14ac:dyDescent="0.25">
      <c r="A648" s="2">
        <f t="shared" si="201"/>
        <v>63.600000000000634</v>
      </c>
      <c r="B648" s="7">
        <f t="shared" si="204"/>
        <v>19.696129154637742</v>
      </c>
      <c r="C648" s="7">
        <f t="shared" si="188"/>
        <v>1.943439798546158</v>
      </c>
      <c r="D648" s="7">
        <f t="shared" si="189"/>
        <v>17.668495511839176</v>
      </c>
      <c r="E648" s="7">
        <f t="shared" si="190"/>
        <v>1</v>
      </c>
      <c r="G648" s="4">
        <f t="shared" si="191"/>
        <v>6360.0000000000637</v>
      </c>
      <c r="H648" s="1">
        <f t="shared" si="202"/>
        <v>1.8531560040773563</v>
      </c>
      <c r="I648" s="1">
        <f t="shared" si="203"/>
        <v>1041.1418809086913</v>
      </c>
      <c r="J648" s="1">
        <f t="shared" si="192"/>
        <v>34.704729363623045</v>
      </c>
      <c r="K648" s="7">
        <f t="shared" si="193"/>
        <v>2.8524435093388805</v>
      </c>
      <c r="L648" s="4">
        <f t="shared" si="194"/>
        <v>5396.1997683939026</v>
      </c>
      <c r="M648" s="1">
        <f t="shared" si="195"/>
        <v>971.71989927307902</v>
      </c>
      <c r="N648" s="7">
        <f t="shared" si="196"/>
        <v>17.668495511839176</v>
      </c>
      <c r="O648" s="1">
        <f t="shared" si="197"/>
        <v>3000</v>
      </c>
      <c r="P648" s="2">
        <f t="shared" si="198"/>
        <v>5.2435946954011348</v>
      </c>
      <c r="Q648" s="2">
        <f t="shared" si="205"/>
        <v>1158.034606334267</v>
      </c>
      <c r="S648" s="1">
        <f t="shared" si="186"/>
        <v>3000</v>
      </c>
      <c r="T648" s="1">
        <f t="shared" si="187"/>
        <v>5396.1997683939026</v>
      </c>
      <c r="V648" s="1">
        <f t="shared" si="199"/>
        <v>5396.1997683939026</v>
      </c>
      <c r="W648" s="1">
        <f t="shared" si="200"/>
        <v>3000</v>
      </c>
    </row>
    <row r="649" spans="1:23" x14ac:dyDescent="0.25">
      <c r="A649" s="2">
        <f t="shared" si="201"/>
        <v>63.700000000000635</v>
      </c>
      <c r="B649" s="7">
        <f t="shared" si="204"/>
        <v>19.551560942008283</v>
      </c>
      <c r="C649" s="7">
        <f t="shared" si="188"/>
        <v>1.9443067660156843</v>
      </c>
      <c r="D649" s="7">
        <f t="shared" si="189"/>
        <v>17.775749469790536</v>
      </c>
      <c r="E649" s="7">
        <f t="shared" si="190"/>
        <v>1</v>
      </c>
      <c r="G649" s="4">
        <f t="shared" si="191"/>
        <v>6370.0000000000628</v>
      </c>
      <c r="H649" s="1">
        <f t="shared" si="202"/>
        <v>1.866858615957008</v>
      </c>
      <c r="I649" s="1">
        <f t="shared" si="203"/>
        <v>1043.0087395246483</v>
      </c>
      <c r="J649" s="1">
        <f t="shared" si="192"/>
        <v>34.766957984154942</v>
      </c>
      <c r="K649" s="7">
        <f t="shared" si="193"/>
        <v>2.8575581904784886</v>
      </c>
      <c r="L649" s="4">
        <f t="shared" si="194"/>
        <v>5356.5920389063795</v>
      </c>
      <c r="M649" s="1">
        <f t="shared" si="195"/>
        <v>972.15338300784219</v>
      </c>
      <c r="N649" s="7">
        <f t="shared" si="196"/>
        <v>17.775749469790536</v>
      </c>
      <c r="O649" s="1">
        <f t="shared" si="197"/>
        <v>3000</v>
      </c>
      <c r="P649" s="2">
        <f t="shared" si="198"/>
        <v>5.2074290720157119</v>
      </c>
      <c r="Q649" s="2">
        <f t="shared" si="205"/>
        <v>1158.021356004833</v>
      </c>
      <c r="S649" s="1">
        <f t="shared" si="186"/>
        <v>3000</v>
      </c>
      <c r="T649" s="1">
        <f t="shared" si="187"/>
        <v>5356.5920389063795</v>
      </c>
      <c r="V649" s="1">
        <f t="shared" si="199"/>
        <v>5356.5920389063795</v>
      </c>
      <c r="W649" s="1">
        <f t="shared" si="200"/>
        <v>3000</v>
      </c>
    </row>
    <row r="650" spans="1:23" x14ac:dyDescent="0.25">
      <c r="A650" s="2">
        <f t="shared" si="201"/>
        <v>63.800000000000637</v>
      </c>
      <c r="B650" s="7">
        <f t="shared" si="204"/>
        <v>19.408053849964443</v>
      </c>
      <c r="C650" s="7">
        <f t="shared" si="188"/>
        <v>1.9451741202389412</v>
      </c>
      <c r="D650" s="7">
        <f t="shared" si="189"/>
        <v>17.88365449684332</v>
      </c>
      <c r="E650" s="7">
        <f t="shared" si="190"/>
        <v>1</v>
      </c>
      <c r="G650" s="4">
        <f t="shared" si="191"/>
        <v>6380.0000000000628</v>
      </c>
      <c r="H650" s="1">
        <f t="shared" si="202"/>
        <v>1.88066254773231</v>
      </c>
      <c r="I650" s="1">
        <f t="shared" si="203"/>
        <v>1044.8894020723806</v>
      </c>
      <c r="J650" s="1">
        <f t="shared" si="192"/>
        <v>34.829646735746017</v>
      </c>
      <c r="K650" s="7">
        <f t="shared" si="193"/>
        <v>2.8627106906092616</v>
      </c>
      <c r="L650" s="4">
        <f t="shared" si="194"/>
        <v>5317.275027387519</v>
      </c>
      <c r="M650" s="1">
        <f t="shared" si="195"/>
        <v>972.58706011947061</v>
      </c>
      <c r="N650" s="7">
        <f t="shared" si="196"/>
        <v>17.88365449684332</v>
      </c>
      <c r="O650" s="1">
        <f t="shared" si="197"/>
        <v>3000</v>
      </c>
      <c r="P650" s="2">
        <f t="shared" si="198"/>
        <v>5.1715128867335052</v>
      </c>
      <c r="Q650" s="2">
        <f t="shared" si="205"/>
        <v>1158.0192575768731</v>
      </c>
      <c r="S650" s="1">
        <f t="shared" si="186"/>
        <v>3000</v>
      </c>
      <c r="T650" s="1">
        <f t="shared" si="187"/>
        <v>5317.275027387519</v>
      </c>
      <c r="V650" s="1">
        <f t="shared" si="199"/>
        <v>5317.275027387519</v>
      </c>
      <c r="W650" s="1">
        <f t="shared" si="200"/>
        <v>3000</v>
      </c>
    </row>
    <row r="651" spans="1:23" x14ac:dyDescent="0.25">
      <c r="A651" s="2">
        <f t="shared" si="201"/>
        <v>63.900000000000638</v>
      </c>
      <c r="B651" s="7">
        <f t="shared" si="204"/>
        <v>19.265600089955225</v>
      </c>
      <c r="C651" s="7">
        <f t="shared" si="188"/>
        <v>1.9460418613884605</v>
      </c>
      <c r="D651" s="7">
        <f t="shared" si="189"/>
        <v>17.992214545215063</v>
      </c>
      <c r="E651" s="7">
        <f t="shared" si="190"/>
        <v>1</v>
      </c>
      <c r="G651" s="4">
        <f t="shared" si="191"/>
        <v>6390.0000000000637</v>
      </c>
      <c r="H651" s="1">
        <f t="shared" si="202"/>
        <v>1.8945685485828094</v>
      </c>
      <c r="I651" s="1">
        <f t="shared" si="203"/>
        <v>1046.7839706209634</v>
      </c>
      <c r="J651" s="1">
        <f t="shared" si="192"/>
        <v>34.892799020698781</v>
      </c>
      <c r="K651" s="7">
        <f t="shared" si="193"/>
        <v>2.8679012893725022</v>
      </c>
      <c r="L651" s="4">
        <f t="shared" si="194"/>
        <v>5278.246599987734</v>
      </c>
      <c r="M651" s="1">
        <f t="shared" si="195"/>
        <v>973.02093069423029</v>
      </c>
      <c r="N651" s="7">
        <f t="shared" si="196"/>
        <v>17.992214545215063</v>
      </c>
      <c r="O651" s="1">
        <f t="shared" si="197"/>
        <v>3000</v>
      </c>
      <c r="P651" s="2">
        <f t="shared" si="198"/>
        <v>5.135844419153722</v>
      </c>
      <c r="Q651" s="2">
        <f t="shared" si="205"/>
        <v>1158.0284081917027</v>
      </c>
      <c r="S651" s="1">
        <f t="shared" si="186"/>
        <v>3000</v>
      </c>
      <c r="T651" s="1">
        <f t="shared" si="187"/>
        <v>5278.2465999877331</v>
      </c>
      <c r="V651" s="1">
        <f t="shared" si="199"/>
        <v>5278.2465999877331</v>
      </c>
      <c r="W651" s="1">
        <f t="shared" si="200"/>
        <v>3000</v>
      </c>
    </row>
    <row r="652" spans="1:23" x14ac:dyDescent="0.25">
      <c r="A652" s="2">
        <f t="shared" si="201"/>
        <v>64.000000000000639</v>
      </c>
      <c r="B652" s="7">
        <f t="shared" si="204"/>
        <v>19.124191930597025</v>
      </c>
      <c r="C652" s="7">
        <f t="shared" si="188"/>
        <v>1.9469099896368487</v>
      </c>
      <c r="D652" s="7">
        <f t="shared" si="189"/>
        <v>18.10143359111466</v>
      </c>
      <c r="E652" s="7">
        <f t="shared" si="190"/>
        <v>1</v>
      </c>
      <c r="G652" s="4">
        <f t="shared" si="191"/>
        <v>6400.0000000000637</v>
      </c>
      <c r="H652" s="1">
        <f t="shared" si="202"/>
        <v>1.9085773732276348</v>
      </c>
      <c r="I652" s="1">
        <f t="shared" si="203"/>
        <v>1048.692547994191</v>
      </c>
      <c r="J652" s="1">
        <f t="shared" si="192"/>
        <v>34.956418266473037</v>
      </c>
      <c r="K652" s="7">
        <f t="shared" si="193"/>
        <v>2.8731302684772357</v>
      </c>
      <c r="L652" s="4">
        <f t="shared" si="194"/>
        <v>5239.5046385197329</v>
      </c>
      <c r="M652" s="1">
        <f t="shared" si="195"/>
        <v>973.45499481842432</v>
      </c>
      <c r="N652" s="7">
        <f t="shared" si="196"/>
        <v>18.10143359111466</v>
      </c>
      <c r="O652" s="1">
        <f t="shared" si="197"/>
        <v>3000</v>
      </c>
      <c r="P652" s="2">
        <f t="shared" si="198"/>
        <v>5.1004219607413361</v>
      </c>
      <c r="Q652" s="2">
        <f t="shared" si="205"/>
        <v>1158.048906387359</v>
      </c>
      <c r="S652" s="1">
        <f t="shared" ref="S652:S715" si="206">E652*$H$3</f>
        <v>3000</v>
      </c>
      <c r="T652" s="1">
        <f t="shared" ref="T652:T715" si="207">B652/100*$H$2/365*1000000</f>
        <v>5239.5046385197329</v>
      </c>
      <c r="V652" s="1">
        <f t="shared" si="199"/>
        <v>5239.5046385197329</v>
      </c>
      <c r="W652" s="1">
        <f t="shared" si="200"/>
        <v>3000</v>
      </c>
    </row>
    <row r="653" spans="1:23" x14ac:dyDescent="0.25">
      <c r="A653" s="2">
        <f t="shared" si="201"/>
        <v>64.100000000000634</v>
      </c>
      <c r="B653" s="7">
        <f t="shared" si="204"/>
        <v>18.983821697254108</v>
      </c>
      <c r="C653" s="7">
        <f t="shared" ref="C653:C716" si="208">IF($C$5&lt;$C$7,IF(A653&lt;=$C$2,$C$3*EXP(A653*$C$4),IF(A653&lt;=$C$7,$C$6,IF($C$8*EXP(A653*$C$9)&gt;$C$6,$C$6,$C$8*EXP(A653*$C$9)))),IF(A653&lt;=$C$2,$C$3*EXP(A653*$C$4),IF(A653&lt;=$C$5,$C$6,IF($C$8*EXP(A653*$C$9)&gt;$C$6,$C$6,$C$8*EXP(A653*$C$9)))))</f>
        <v>1.9477785051567909</v>
      </c>
      <c r="D653" s="7">
        <f t="shared" ref="D653:D716" si="209">IF(IF($D$5&lt;$D$7,IF(A653&lt;=$D$2,$D$3*EXP(A653*$D$4),IF(A653&lt;=$D$7,$D$6,IF($D$8*EXP(A653*$D$9)&gt;$D$6,$D$6,$D$8*EXP(A653*$D$9)))),IF(A653&lt;=$D$2,$D$3*EXP(A653*$D$4),IF(A653&lt;=$D$5,$D$6,IF($D$8*EXP(A653*$D$9)&gt;$D$6,$D$6,$D$8*EXP(A653*$D$9)))))&lt;=100,IF($D$5&lt;$D$7,IF(A653&lt;=$D$2,$D$3*EXP(A653*$D$4),IF(A653&lt;=$D$7,$D$6,IF($D$8*EXP(A653*$D$9)&gt;$D$6,$D$6,$D$8*EXP(A653*$D$9)))),IF(A653&lt;=$D$2,$D$3*EXP(A653*$D$4),IF(A653&lt;=$D$5,$D$6,IF($D$8*EXP(A653*$D$9)&gt;$D$6,$D$6,$D$8*EXP(A653*$D$9))))),100)</f>
        <v>18.211315634887981</v>
      </c>
      <c r="E653" s="7">
        <f t="shared" ref="E653:E716" si="210">IF($E$5&lt;$E$7,IF(A653&lt;=$E$2,$E$3*EXP(A653*$E$4),IF(A653&lt;=$E$7,$E$6,IF($E$8*EXP(A653*$E$9)&gt;$E$6,$E$6,$E$8*EXP(A653*$E$9)))),IF(A653&lt;=$E$2,$E$3*EXP(A653*$E$4),IF(A653&lt;=$E$5,$E$6,IF($E$8*EXP(A653*$E$9)&gt;$E$6,$E$6,$E$8*EXP(A653*$E$9)))))</f>
        <v>1</v>
      </c>
      <c r="G653" s="4">
        <f t="shared" ref="G653:G716" si="211">A653/100*$H$2*1000</f>
        <v>6410.0000000000628</v>
      </c>
      <c r="H653" s="1">
        <f t="shared" si="202"/>
        <v>1.922689781967146</v>
      </c>
      <c r="I653" s="1">
        <f t="shared" si="203"/>
        <v>1050.6152377761582</v>
      </c>
      <c r="J653" s="1">
        <f t="shared" ref="J653:J716" si="212">I653/30</f>
        <v>35.020507925871939</v>
      </c>
      <c r="K653" s="7">
        <f t="shared" ref="K653:K716" si="213">I653/365</f>
        <v>2.8783979117155019</v>
      </c>
      <c r="L653" s="4">
        <f t="shared" ref="L653:L716" si="214">IF(A653&gt;$B$2,IF(AND(B653/100*$H$2/365*1000000&gt;=$H$5,O653&gt;=$H$6,M653&lt;=$L$4,N653&lt;=$L$5),B653/100*$H$2/365*1000000*$L$6/100,#N/A),B653/100*$H$2/365*1000000*$L$6/100)</f>
        <v>5201.047040343592</v>
      </c>
      <c r="M653" s="1">
        <f t="shared" ref="M653:M716" si="215">C653*$H$4</f>
        <v>973.88925257839537</v>
      </c>
      <c r="N653" s="7">
        <f t="shared" ref="N653:N716" si="216">D653</f>
        <v>18.211315634887981</v>
      </c>
      <c r="O653" s="1">
        <f t="shared" ref="O653:O716" si="217">E653*$H$3</f>
        <v>3000</v>
      </c>
      <c r="P653" s="2">
        <f t="shared" ref="P653:P716" si="218">L653*M653/1000000</f>
        <v>5.0652438147452958</v>
      </c>
      <c r="Q653" s="2">
        <f t="shared" si="205"/>
        <v>1158.080852123356</v>
      </c>
      <c r="S653" s="1">
        <f t="shared" si="206"/>
        <v>3000</v>
      </c>
      <c r="T653" s="1">
        <f t="shared" si="207"/>
        <v>5201.047040343592</v>
      </c>
      <c r="V653" s="1">
        <f t="shared" ref="V653:V716" si="219">T653</f>
        <v>5201.047040343592</v>
      </c>
      <c r="W653" s="1">
        <f t="shared" ref="W653:W716" si="220">S653</f>
        <v>3000</v>
      </c>
    </row>
    <row r="654" spans="1:23" x14ac:dyDescent="0.25">
      <c r="A654" s="2">
        <f t="shared" ref="A654:A717" si="221">A653+0.1</f>
        <v>64.200000000000628</v>
      </c>
      <c r="B654" s="7">
        <f t="shared" si="204"/>
        <v>18.844481771621979</v>
      </c>
      <c r="C654" s="7">
        <f t="shared" si="208"/>
        <v>1.9486474081210483</v>
      </c>
      <c r="D654" s="7">
        <f t="shared" si="209"/>
        <v>18.321864701164419</v>
      </c>
      <c r="E654" s="7">
        <f t="shared" si="210"/>
        <v>1</v>
      </c>
      <c r="G654" s="4">
        <f t="shared" si="211"/>
        <v>6420.0000000000618</v>
      </c>
      <c r="H654" s="1">
        <f t="shared" ref="H654:H717" si="222">(G654-G653)*1000/L654</f>
        <v>1.9369065407233568</v>
      </c>
      <c r="I654" s="1">
        <f t="shared" ref="I654:I717" si="223">H654+I653</f>
        <v>1052.5521443168816</v>
      </c>
      <c r="J654" s="1">
        <f t="shared" si="212"/>
        <v>35.085071477229384</v>
      </c>
      <c r="K654" s="7">
        <f t="shared" si="213"/>
        <v>2.8837045049777577</v>
      </c>
      <c r="L654" s="4">
        <f t="shared" si="214"/>
        <v>5162.871718252597</v>
      </c>
      <c r="M654" s="1">
        <f t="shared" si="215"/>
        <v>974.32370406052416</v>
      </c>
      <c r="N654" s="7">
        <f t="shared" si="216"/>
        <v>18.321864701164419</v>
      </c>
      <c r="O654" s="1">
        <f t="shared" si="217"/>
        <v>3000</v>
      </c>
      <c r="P654" s="2">
        <f t="shared" si="218"/>
        <v>5.0303082961171928</v>
      </c>
      <c r="Q654" s="2">
        <f t="shared" si="205"/>
        <v>1158.1243468059547</v>
      </c>
      <c r="S654" s="1">
        <f t="shared" si="206"/>
        <v>3000</v>
      </c>
      <c r="T654" s="1">
        <f t="shared" si="207"/>
        <v>5162.871718252597</v>
      </c>
      <c r="V654" s="1">
        <f t="shared" si="219"/>
        <v>5162.871718252597</v>
      </c>
      <c r="W654" s="1">
        <f t="shared" si="220"/>
        <v>3000</v>
      </c>
    </row>
    <row r="655" spans="1:23" x14ac:dyDescent="0.25">
      <c r="A655" s="2">
        <f t="shared" si="221"/>
        <v>64.300000000000622</v>
      </c>
      <c r="B655" s="7">
        <f t="shared" si="204"/>
        <v>18.706164591313993</v>
      </c>
      <c r="C655" s="7">
        <f t="shared" si="208"/>
        <v>1.9495166987024604</v>
      </c>
      <c r="D655" s="7">
        <f t="shared" si="209"/>
        <v>18.433084839004245</v>
      </c>
      <c r="E655" s="7">
        <f t="shared" si="210"/>
        <v>1</v>
      </c>
      <c r="G655" s="4">
        <f t="shared" si="211"/>
        <v>6430.0000000000618</v>
      </c>
      <c r="H655" s="1">
        <f t="shared" si="222"/>
        <v>1.9512284210814859</v>
      </c>
      <c r="I655" s="1">
        <f t="shared" si="223"/>
        <v>1054.503372737963</v>
      </c>
      <c r="J655" s="1">
        <f t="shared" si="212"/>
        <v>35.150112424598767</v>
      </c>
      <c r="K655" s="7">
        <f t="shared" si="213"/>
        <v>2.8890503362683919</v>
      </c>
      <c r="L655" s="4">
        <f t="shared" si="214"/>
        <v>5124.976600359998</v>
      </c>
      <c r="M655" s="1">
        <f t="shared" si="215"/>
        <v>974.75834935123021</v>
      </c>
      <c r="N655" s="7">
        <f t="shared" si="216"/>
        <v>18.433084839004245</v>
      </c>
      <c r="O655" s="1">
        <f t="shared" si="217"/>
        <v>3000</v>
      </c>
      <c r="P655" s="2">
        <f t="shared" si="218"/>
        <v>4.9956137314305913</v>
      </c>
      <c r="Q655" s="2">
        <f t="shared" si="205"/>
        <v>1158.1794933139915</v>
      </c>
      <c r="S655" s="1">
        <f t="shared" si="206"/>
        <v>3000</v>
      </c>
      <c r="T655" s="1">
        <f t="shared" si="207"/>
        <v>5124.976600359998</v>
      </c>
      <c r="V655" s="1">
        <f t="shared" si="219"/>
        <v>5124.976600359998</v>
      </c>
      <c r="W655" s="1">
        <f t="shared" si="220"/>
        <v>3000</v>
      </c>
    </row>
    <row r="656" spans="1:23" x14ac:dyDescent="0.25">
      <c r="A656" s="2">
        <f t="shared" si="221"/>
        <v>64.400000000000617</v>
      </c>
      <c r="B656" s="7">
        <f t="shared" si="204"/>
        <v>18.568862649450868</v>
      </c>
      <c r="C656" s="7">
        <f t="shared" si="208"/>
        <v>1.9503863770739425</v>
      </c>
      <c r="D656" s="7">
        <f t="shared" si="209"/>
        <v>18.544980122046979</v>
      </c>
      <c r="E656" s="7">
        <f t="shared" si="210"/>
        <v>1</v>
      </c>
      <c r="G656" s="4">
        <f t="shared" si="211"/>
        <v>6440.0000000000618</v>
      </c>
      <c r="H656" s="1">
        <f t="shared" si="222"/>
        <v>1.965656200331656</v>
      </c>
      <c r="I656" s="1">
        <f t="shared" si="223"/>
        <v>1056.4690289382947</v>
      </c>
      <c r="J656" s="1">
        <f t="shared" si="212"/>
        <v>35.215634297943161</v>
      </c>
      <c r="K656" s="7">
        <f t="shared" si="213"/>
        <v>2.8944356957213553</v>
      </c>
      <c r="L656" s="4">
        <f t="shared" si="214"/>
        <v>5087.3596299865394</v>
      </c>
      <c r="M656" s="1">
        <f t="shared" si="215"/>
        <v>975.19318853697121</v>
      </c>
      <c r="N656" s="7">
        <f t="shared" si="216"/>
        <v>18.544980122046979</v>
      </c>
      <c r="O656" s="1">
        <f t="shared" si="217"/>
        <v>3000</v>
      </c>
      <c r="P656" s="2">
        <f t="shared" si="218"/>
        <v>4.9611584588008393</v>
      </c>
      <c r="Q656" s="2">
        <f t="shared" si="205"/>
        <v>1158.2463960252558</v>
      </c>
      <c r="S656" s="1">
        <f t="shared" si="206"/>
        <v>3000</v>
      </c>
      <c r="T656" s="1">
        <f t="shared" si="207"/>
        <v>5087.3596299865394</v>
      </c>
      <c r="V656" s="1">
        <f t="shared" si="219"/>
        <v>5087.3596299865394</v>
      </c>
      <c r="W656" s="1">
        <f t="shared" si="220"/>
        <v>3000</v>
      </c>
    </row>
    <row r="657" spans="1:23" x14ac:dyDescent="0.25">
      <c r="A657" s="2">
        <f t="shared" si="221"/>
        <v>64.500000000000611</v>
      </c>
      <c r="B657" s="7">
        <f t="shared" si="204"/>
        <v>18.432568494253342</v>
      </c>
      <c r="C657" s="7">
        <f t="shared" si="208"/>
        <v>1.9512564434084874</v>
      </c>
      <c r="D657" s="7">
        <f t="shared" si="209"/>
        <v>18.657554648660518</v>
      </c>
      <c r="E657" s="7">
        <f t="shared" si="210"/>
        <v>1</v>
      </c>
      <c r="G657" s="4">
        <f t="shared" si="211"/>
        <v>6450.0000000000618</v>
      </c>
      <c r="H657" s="1">
        <f t="shared" si="222"/>
        <v>1.980190661511958</v>
      </c>
      <c r="I657" s="1">
        <f t="shared" si="223"/>
        <v>1058.4492195998066</v>
      </c>
      <c r="J657" s="1">
        <f t="shared" si="212"/>
        <v>35.281640653326889</v>
      </c>
      <c r="K657" s="7">
        <f t="shared" si="213"/>
        <v>2.8998608756159086</v>
      </c>
      <c r="L657" s="4">
        <f t="shared" si="214"/>
        <v>5050.0187655488608</v>
      </c>
      <c r="M657" s="1">
        <f t="shared" si="215"/>
        <v>975.62822170424363</v>
      </c>
      <c r="N657" s="7">
        <f t="shared" si="216"/>
        <v>18.657554648660518</v>
      </c>
      <c r="O657" s="1">
        <f t="shared" si="217"/>
        <v>3000</v>
      </c>
      <c r="P657" s="2">
        <f t="shared" si="218"/>
        <v>4.9269408278054945</v>
      </c>
      <c r="Q657" s="2">
        <f t="shared" si="205"/>
        <v>1158.3251608434398</v>
      </c>
      <c r="S657" s="1">
        <f t="shared" si="206"/>
        <v>3000</v>
      </c>
      <c r="T657" s="1">
        <f t="shared" si="207"/>
        <v>5050.0187655488608</v>
      </c>
      <c r="V657" s="1">
        <f t="shared" si="219"/>
        <v>5050.0187655488608</v>
      </c>
      <c r="W657" s="1">
        <f t="shared" si="220"/>
        <v>3000</v>
      </c>
    </row>
    <row r="658" spans="1:23" x14ac:dyDescent="0.25">
      <c r="A658" s="2">
        <f t="shared" si="221"/>
        <v>64.600000000000605</v>
      </c>
      <c r="B658" s="7">
        <f t="shared" si="204"/>
        <v>18.297274728637653</v>
      </c>
      <c r="C658" s="7">
        <f t="shared" si="208"/>
        <v>1.9521268978791655</v>
      </c>
      <c r="D658" s="7">
        <f t="shared" si="209"/>
        <v>18.770812542091321</v>
      </c>
      <c r="E658" s="7">
        <f t="shared" si="210"/>
        <v>1</v>
      </c>
      <c r="G658" s="4">
        <f t="shared" si="211"/>
        <v>6460.00000000006</v>
      </c>
      <c r="H658" s="1">
        <f t="shared" si="222"/>
        <v>1.9948325934498889</v>
      </c>
      <c r="I658" s="1">
        <f t="shared" si="223"/>
        <v>1060.4440521932565</v>
      </c>
      <c r="J658" s="1">
        <f t="shared" si="212"/>
        <v>35.348135073108551</v>
      </c>
      <c r="K658" s="7">
        <f t="shared" si="213"/>
        <v>2.9053261703924838</v>
      </c>
      <c r="L658" s="4">
        <f t="shared" si="214"/>
        <v>5012.9519804486717</v>
      </c>
      <c r="M658" s="1">
        <f t="shared" si="215"/>
        <v>976.06344893958271</v>
      </c>
      <c r="N658" s="7">
        <f t="shared" si="216"/>
        <v>18.770812542091321</v>
      </c>
      <c r="O658" s="1">
        <f t="shared" si="217"/>
        <v>3000</v>
      </c>
      <c r="P658" s="2">
        <f t="shared" si="218"/>
        <v>4.8929591994052419</v>
      </c>
      <c r="Q658" s="2">
        <f t="shared" si="205"/>
        <v>1158.4158952256748</v>
      </c>
      <c r="S658" s="1">
        <f t="shared" si="206"/>
        <v>3000</v>
      </c>
      <c r="T658" s="1">
        <f t="shared" si="207"/>
        <v>5012.9519804486717</v>
      </c>
      <c r="V658" s="1">
        <f t="shared" si="219"/>
        <v>5012.9519804486717</v>
      </c>
      <c r="W658" s="1">
        <f t="shared" si="220"/>
        <v>3000</v>
      </c>
    </row>
    <row r="659" spans="1:23" x14ac:dyDescent="0.25">
      <c r="A659" s="2">
        <f t="shared" si="221"/>
        <v>64.7000000000006</v>
      </c>
      <c r="B659" s="7">
        <f t="shared" si="204"/>
        <v>18.162974009814121</v>
      </c>
      <c r="C659" s="7">
        <f t="shared" si="208"/>
        <v>1.9529977406591243</v>
      </c>
      <c r="D659" s="7">
        <f t="shared" si="209"/>
        <v>18.884757950615398</v>
      </c>
      <c r="E659" s="7">
        <f t="shared" si="210"/>
        <v>1</v>
      </c>
      <c r="G659" s="4">
        <f t="shared" si="211"/>
        <v>6470.00000000006</v>
      </c>
      <c r="H659" s="1">
        <f t="shared" si="222"/>
        <v>2.00958279080715</v>
      </c>
      <c r="I659" s="1">
        <f t="shared" si="223"/>
        <v>1062.4536349840637</v>
      </c>
      <c r="J659" s="1">
        <f t="shared" si="212"/>
        <v>35.415121166135457</v>
      </c>
      <c r="K659" s="7">
        <f t="shared" si="213"/>
        <v>2.9108318766686678</v>
      </c>
      <c r="L659" s="4">
        <f t="shared" si="214"/>
        <v>4976.1572629627735</v>
      </c>
      <c r="M659" s="1">
        <f t="shared" si="215"/>
        <v>976.49887032956212</v>
      </c>
      <c r="N659" s="7">
        <f t="shared" si="216"/>
        <v>18.884757950615398</v>
      </c>
      <c r="O659" s="1">
        <f t="shared" si="217"/>
        <v>3000</v>
      </c>
      <c r="P659" s="2">
        <f t="shared" si="218"/>
        <v>4.8592119458653942</v>
      </c>
      <c r="Q659" s="2">
        <f t="shared" si="205"/>
        <v>1158.518708210669</v>
      </c>
      <c r="S659" s="1">
        <f t="shared" si="206"/>
        <v>3000</v>
      </c>
      <c r="T659" s="1">
        <f t="shared" si="207"/>
        <v>4976.1572629627735</v>
      </c>
      <c r="V659" s="1">
        <f t="shared" si="219"/>
        <v>4976.1572629627735</v>
      </c>
      <c r="W659" s="1">
        <f t="shared" si="220"/>
        <v>3000</v>
      </c>
    </row>
    <row r="660" spans="1:23" x14ac:dyDescent="0.25">
      <c r="A660" s="2">
        <f t="shared" si="221"/>
        <v>64.800000000000594</v>
      </c>
      <c r="B660" s="7">
        <f t="shared" si="204"/>
        <v>18.029659048888639</v>
      </c>
      <c r="C660" s="7">
        <f t="shared" si="208"/>
        <v>1.9538689719215878</v>
      </c>
      <c r="D660" s="7">
        <f t="shared" si="209"/>
        <v>18.999395047690228</v>
      </c>
      <c r="E660" s="7">
        <f t="shared" si="210"/>
        <v>1</v>
      </c>
      <c r="G660" s="4">
        <f t="shared" si="211"/>
        <v>6480.0000000000591</v>
      </c>
      <c r="H660" s="1">
        <f t="shared" si="222"/>
        <v>2.0244420541189641</v>
      </c>
      <c r="I660" s="1">
        <f t="shared" si="223"/>
        <v>1064.4780770381826</v>
      </c>
      <c r="J660" s="1">
        <f t="shared" si="212"/>
        <v>35.482602567939423</v>
      </c>
      <c r="K660" s="7">
        <f t="shared" si="213"/>
        <v>2.9163782932552946</v>
      </c>
      <c r="L660" s="4">
        <f t="shared" si="214"/>
        <v>4939.6326161338729</v>
      </c>
      <c r="M660" s="1">
        <f t="shared" si="215"/>
        <v>976.93448596079395</v>
      </c>
      <c r="N660" s="7">
        <f t="shared" si="216"/>
        <v>18.999395047690228</v>
      </c>
      <c r="O660" s="1">
        <f t="shared" si="217"/>
        <v>3000</v>
      </c>
      <c r="P660" s="2">
        <f t="shared" si="218"/>
        <v>4.8256974506779171</v>
      </c>
      <c r="Q660" s="2">
        <f t="shared" si="205"/>
        <v>1158.6337104474533</v>
      </c>
      <c r="S660" s="1">
        <f t="shared" si="206"/>
        <v>3000</v>
      </c>
      <c r="T660" s="1">
        <f t="shared" si="207"/>
        <v>4939.6326161338729</v>
      </c>
      <c r="V660" s="1">
        <f t="shared" si="219"/>
        <v>4939.6326161338729</v>
      </c>
      <c r="W660" s="1">
        <f t="shared" si="220"/>
        <v>3000</v>
      </c>
    </row>
    <row r="661" spans="1:23" x14ac:dyDescent="0.25">
      <c r="A661" s="2">
        <f t="shared" si="221"/>
        <v>64.900000000000588</v>
      </c>
      <c r="B661" s="7">
        <f t="shared" si="204"/>
        <v>17.897322610467064</v>
      </c>
      <c r="C661" s="7">
        <f t="shared" si="208"/>
        <v>1.9547405918398582</v>
      </c>
      <c r="D661" s="7">
        <f t="shared" si="209"/>
        <v>19.114728032107642</v>
      </c>
      <c r="E661" s="7">
        <f t="shared" si="210"/>
        <v>1</v>
      </c>
      <c r="G661" s="4">
        <f t="shared" si="211"/>
        <v>6490.0000000000591</v>
      </c>
      <c r="H661" s="1">
        <f t="shared" si="222"/>
        <v>2.039411189842069</v>
      </c>
      <c r="I661" s="1">
        <f t="shared" si="223"/>
        <v>1066.5174882280246</v>
      </c>
      <c r="J661" s="1">
        <f t="shared" si="212"/>
        <v>35.550582940934156</v>
      </c>
      <c r="K661" s="7">
        <f t="shared" si="213"/>
        <v>2.9219657211726702</v>
      </c>
      <c r="L661" s="4">
        <f t="shared" si="214"/>
        <v>4903.376057662209</v>
      </c>
      <c r="M661" s="1">
        <f t="shared" si="215"/>
        <v>977.37029591992905</v>
      </c>
      <c r="N661" s="7">
        <f t="shared" si="216"/>
        <v>19.114728032107642</v>
      </c>
      <c r="O661" s="1">
        <f t="shared" si="217"/>
        <v>3000</v>
      </c>
      <c r="P661" s="2">
        <f t="shared" si="218"/>
        <v>4.7924141084840084</v>
      </c>
      <c r="Q661" s="2">
        <f t="shared" si="205"/>
        <v>1158.7610142247697</v>
      </c>
      <c r="S661" s="1">
        <f t="shared" si="206"/>
        <v>3000</v>
      </c>
      <c r="T661" s="1">
        <f t="shared" si="207"/>
        <v>4903.376057662209</v>
      </c>
      <c r="V661" s="1">
        <f t="shared" si="219"/>
        <v>4903.376057662209</v>
      </c>
      <c r="W661" s="1">
        <f t="shared" si="220"/>
        <v>3000</v>
      </c>
    </row>
    <row r="662" spans="1:23" x14ac:dyDescent="0.25">
      <c r="A662" s="2">
        <f t="shared" si="221"/>
        <v>65.000000000000583</v>
      </c>
      <c r="B662" s="7">
        <f t="shared" si="204"/>
        <v>17.765957512262556</v>
      </c>
      <c r="C662" s="7">
        <f t="shared" si="208"/>
        <v>1.9556126005873147</v>
      </c>
      <c r="D662" s="7">
        <f t="shared" si="209"/>
        <v>19.230761128147634</v>
      </c>
      <c r="E662" s="7">
        <f t="shared" si="210"/>
        <v>1</v>
      </c>
      <c r="G662" s="4">
        <f t="shared" si="211"/>
        <v>6500.0000000000573</v>
      </c>
      <c r="H662" s="1">
        <f t="shared" si="222"/>
        <v>2.0544910103944609</v>
      </c>
      <c r="I662" s="1">
        <f t="shared" si="223"/>
        <v>1068.5719792384191</v>
      </c>
      <c r="J662" s="1">
        <f t="shared" si="212"/>
        <v>35.619065974613967</v>
      </c>
      <c r="K662" s="7">
        <f t="shared" si="213"/>
        <v>2.9275944636669018</v>
      </c>
      <c r="L662" s="4">
        <f t="shared" si="214"/>
        <v>4867.3856197979603</v>
      </c>
      <c r="M662" s="1">
        <f t="shared" si="215"/>
        <v>977.80630029365739</v>
      </c>
      <c r="N662" s="7">
        <f t="shared" si="216"/>
        <v>19.230761128147634</v>
      </c>
      <c r="O662" s="1">
        <f t="shared" si="217"/>
        <v>3000</v>
      </c>
      <c r="P662" s="2">
        <f t="shared" si="218"/>
        <v>4.7593603249971945</v>
      </c>
      <c r="Q662" s="2">
        <f t="shared" si="205"/>
        <v>1158.9007335011015</v>
      </c>
      <c r="S662" s="1">
        <f t="shared" si="206"/>
        <v>3000</v>
      </c>
      <c r="T662" s="1">
        <f t="shared" si="207"/>
        <v>4867.3856197979603</v>
      </c>
      <c r="V662" s="1">
        <f t="shared" si="219"/>
        <v>4867.3856197979603</v>
      </c>
      <c r="W662" s="1">
        <f t="shared" si="220"/>
        <v>3000</v>
      </c>
    </row>
    <row r="663" spans="1:23" x14ac:dyDescent="0.25">
      <c r="A663" s="2">
        <f t="shared" si="221"/>
        <v>65.100000000000577</v>
      </c>
      <c r="B663" s="7">
        <f t="shared" si="204"/>
        <v>17.635556624705732</v>
      </c>
      <c r="C663" s="7">
        <f t="shared" si="208"/>
        <v>1.956484998337414</v>
      </c>
      <c r="D663" s="7">
        <f t="shared" si="209"/>
        <v>19.347498585733021</v>
      </c>
      <c r="E663" s="7">
        <f t="shared" si="210"/>
        <v>1</v>
      </c>
      <c r="G663" s="4">
        <f t="shared" si="211"/>
        <v>6510.0000000000582</v>
      </c>
      <c r="H663" s="1">
        <f t="shared" si="222"/>
        <v>2.0696823342037476</v>
      </c>
      <c r="I663" s="1">
        <f t="shared" si="223"/>
        <v>1070.6416615726228</v>
      </c>
      <c r="J663" s="1">
        <f t="shared" si="212"/>
        <v>35.68805538575409</v>
      </c>
      <c r="K663" s="7">
        <f t="shared" si="213"/>
        <v>2.9332648262263636</v>
      </c>
      <c r="L663" s="4">
        <f t="shared" si="214"/>
        <v>4831.6593492344464</v>
      </c>
      <c r="M663" s="1">
        <f t="shared" si="215"/>
        <v>978.24249916870701</v>
      </c>
      <c r="N663" s="7">
        <f t="shared" si="216"/>
        <v>19.347498585733021</v>
      </c>
      <c r="O663" s="1">
        <f t="shared" si="217"/>
        <v>3000</v>
      </c>
      <c r="P663" s="2">
        <f t="shared" si="218"/>
        <v>4.7265345169269537</v>
      </c>
      <c r="Q663" s="2">
        <f t="shared" si="205"/>
        <v>1159.0529839353626</v>
      </c>
      <c r="S663" s="1">
        <f t="shared" si="206"/>
        <v>3000</v>
      </c>
      <c r="T663" s="1">
        <f t="shared" si="207"/>
        <v>4831.6593492344464</v>
      </c>
      <c r="V663" s="1">
        <f t="shared" si="219"/>
        <v>4831.6593492344464</v>
      </c>
      <c r="W663" s="1">
        <f t="shared" si="220"/>
        <v>3000</v>
      </c>
    </row>
    <row r="664" spans="1:23" x14ac:dyDescent="0.25">
      <c r="A664" s="2">
        <f t="shared" si="221"/>
        <v>65.200000000000571</v>
      </c>
      <c r="B664" s="7">
        <f t="shared" si="204"/>
        <v>17.506112870557793</v>
      </c>
      <c r="C664" s="7">
        <f t="shared" si="208"/>
        <v>1.9573577852636892</v>
      </c>
      <c r="D664" s="7">
        <f t="shared" si="209"/>
        <v>19.464944680585162</v>
      </c>
      <c r="E664" s="7">
        <f t="shared" si="210"/>
        <v>1</v>
      </c>
      <c r="G664" s="4">
        <f t="shared" si="211"/>
        <v>6520.0000000000564</v>
      </c>
      <c r="H664" s="1">
        <f t="shared" si="222"/>
        <v>2.0849859857455817</v>
      </c>
      <c r="I664" s="1">
        <f t="shared" si="223"/>
        <v>1072.7266475583683</v>
      </c>
      <c r="J664" s="1">
        <f t="shared" si="212"/>
        <v>35.757554918612279</v>
      </c>
      <c r="K664" s="7">
        <f t="shared" si="213"/>
        <v>2.9389771165982692</v>
      </c>
      <c r="L664" s="4">
        <f t="shared" si="214"/>
        <v>4796.1953070021355</v>
      </c>
      <c r="M664" s="1">
        <f t="shared" si="215"/>
        <v>978.67889263184463</v>
      </c>
      <c r="N664" s="7">
        <f t="shared" si="216"/>
        <v>19.464944680585162</v>
      </c>
      <c r="O664" s="1">
        <f t="shared" si="217"/>
        <v>3000</v>
      </c>
      <c r="P664" s="2">
        <f t="shared" si="218"/>
        <v>4.6939351119029</v>
      </c>
      <c r="Q664" s="2">
        <f t="shared" si="205"/>
        <v>1159.2178829182812</v>
      </c>
      <c r="S664" s="1">
        <f t="shared" si="206"/>
        <v>3000</v>
      </c>
      <c r="T664" s="1">
        <f t="shared" si="207"/>
        <v>4796.1953070021355</v>
      </c>
      <c r="V664" s="1">
        <f t="shared" si="219"/>
        <v>4796.1953070021355</v>
      </c>
      <c r="W664" s="1">
        <f t="shared" si="220"/>
        <v>3000</v>
      </c>
    </row>
    <row r="665" spans="1:23" x14ac:dyDescent="0.25">
      <c r="A665" s="2">
        <f t="shared" si="221"/>
        <v>65.300000000000566</v>
      </c>
      <c r="B665" s="7">
        <f t="shared" si="204"/>
        <v>17.377619224526338</v>
      </c>
      <c r="C665" s="7">
        <f t="shared" si="208"/>
        <v>1.9582309615397522</v>
      </c>
      <c r="D665" s="7">
        <f t="shared" si="209"/>
        <v>19.583103714380552</v>
      </c>
      <c r="E665" s="7">
        <f t="shared" si="210"/>
        <v>1</v>
      </c>
      <c r="G665" s="4">
        <f t="shared" si="211"/>
        <v>6530.0000000000573</v>
      </c>
      <c r="H665" s="1">
        <f t="shared" si="222"/>
        <v>2.1004027955963109</v>
      </c>
      <c r="I665" s="1">
        <f t="shared" si="223"/>
        <v>1074.8270503539645</v>
      </c>
      <c r="J665" s="1">
        <f t="shared" si="212"/>
        <v>35.82756834513215</v>
      </c>
      <c r="K665" s="7">
        <f t="shared" si="213"/>
        <v>2.9447316448053824</v>
      </c>
      <c r="L665" s="4">
        <f t="shared" si="214"/>
        <v>4760.9915683633808</v>
      </c>
      <c r="M665" s="1">
        <f t="shared" si="215"/>
        <v>979.11548076987606</v>
      </c>
      <c r="N665" s="7">
        <f t="shared" si="216"/>
        <v>19.583103714380552</v>
      </c>
      <c r="O665" s="1">
        <f t="shared" si="217"/>
        <v>3000</v>
      </c>
      <c r="P665" s="2">
        <f t="shared" si="218"/>
        <v>4.6615605483994385</v>
      </c>
      <c r="Q665" s="2">
        <f t="shared" si="205"/>
        <v>1159.39554960447</v>
      </c>
      <c r="S665" s="1">
        <f t="shared" si="206"/>
        <v>3000</v>
      </c>
      <c r="T665" s="1">
        <f t="shared" si="207"/>
        <v>4760.9915683633808</v>
      </c>
      <c r="V665" s="1">
        <f t="shared" si="219"/>
        <v>4760.9915683633808</v>
      </c>
      <c r="W665" s="1">
        <f t="shared" si="220"/>
        <v>3000</v>
      </c>
    </row>
    <row r="666" spans="1:23" x14ac:dyDescent="0.25">
      <c r="A666" s="2">
        <f t="shared" si="221"/>
        <v>65.40000000000056</v>
      </c>
      <c r="B666" s="7">
        <f t="shared" si="204"/>
        <v>17.250068712884147</v>
      </c>
      <c r="C666" s="7">
        <f t="shared" si="208"/>
        <v>1.9591045273392917</v>
      </c>
      <c r="D666" s="7">
        <f t="shared" si="209"/>
        <v>19.701980014908337</v>
      </c>
      <c r="E666" s="7">
        <f t="shared" si="210"/>
        <v>1</v>
      </c>
      <c r="G666" s="4">
        <f t="shared" si="211"/>
        <v>6540.0000000000564</v>
      </c>
      <c r="H666" s="1">
        <f t="shared" si="222"/>
        <v>2.1159336004693521</v>
      </c>
      <c r="I666" s="1">
        <f t="shared" si="223"/>
        <v>1076.9429839544339</v>
      </c>
      <c r="J666" s="1">
        <f t="shared" si="212"/>
        <v>35.898099465147794</v>
      </c>
      <c r="K666" s="7">
        <f t="shared" si="213"/>
        <v>2.9505287231628325</v>
      </c>
      <c r="L666" s="4">
        <f t="shared" si="214"/>
        <v>4726.0462227079861</v>
      </c>
      <c r="M666" s="1">
        <f t="shared" si="215"/>
        <v>979.55226366964587</v>
      </c>
      <c r="N666" s="7">
        <f t="shared" si="216"/>
        <v>19.701980014908337</v>
      </c>
      <c r="O666" s="1">
        <f t="shared" si="217"/>
        <v>3000</v>
      </c>
      <c r="P666" s="2">
        <f t="shared" si="218"/>
        <v>4.6294092756609873</v>
      </c>
      <c r="Q666" s="2">
        <f t="shared" si="205"/>
        <v>1159.5861049452189</v>
      </c>
      <c r="S666" s="1">
        <f t="shared" si="206"/>
        <v>3000</v>
      </c>
      <c r="T666" s="1">
        <f t="shared" si="207"/>
        <v>4726.0462227079861</v>
      </c>
      <c r="V666" s="1">
        <f t="shared" si="219"/>
        <v>4726.0462227079861</v>
      </c>
      <c r="W666" s="1">
        <f t="shared" si="220"/>
        <v>3000</v>
      </c>
    </row>
    <row r="667" spans="1:23" x14ac:dyDescent="0.25">
      <c r="A667" s="2">
        <f t="shared" si="221"/>
        <v>65.500000000000554</v>
      </c>
      <c r="B667" s="7">
        <f t="shared" si="204"/>
        <v>17.123454413090652</v>
      </c>
      <c r="C667" s="7">
        <f t="shared" si="208"/>
        <v>1.959978482836074</v>
      </c>
      <c r="D667" s="7">
        <f t="shared" si="209"/>
        <v>19.821577936228884</v>
      </c>
      <c r="E667" s="7">
        <f t="shared" si="210"/>
        <v>1</v>
      </c>
      <c r="G667" s="4">
        <f t="shared" si="211"/>
        <v>6550.0000000000555</v>
      </c>
      <c r="H667" s="1">
        <f t="shared" si="222"/>
        <v>2.1315792432683978</v>
      </c>
      <c r="I667" s="1">
        <f t="shared" si="223"/>
        <v>1079.0745631977022</v>
      </c>
      <c r="J667" s="1">
        <f t="shared" si="212"/>
        <v>35.969152106590073</v>
      </c>
      <c r="K667" s="7">
        <f t="shared" si="213"/>
        <v>2.9563686662950746</v>
      </c>
      <c r="L667" s="4">
        <f t="shared" si="214"/>
        <v>4691.3573734494939</v>
      </c>
      <c r="M667" s="1">
        <f t="shared" si="215"/>
        <v>979.98924141803695</v>
      </c>
      <c r="N667" s="7">
        <f t="shared" si="216"/>
        <v>19.821577936228884</v>
      </c>
      <c r="O667" s="1">
        <f t="shared" si="217"/>
        <v>3000</v>
      </c>
      <c r="P667" s="2">
        <f t="shared" si="218"/>
        <v>4.5974797536276837</v>
      </c>
      <c r="Q667" s="2">
        <f t="shared" si="205"/>
        <v>1159.7896717220265</v>
      </c>
      <c r="S667" s="1">
        <f t="shared" si="206"/>
        <v>3000</v>
      </c>
      <c r="T667" s="1">
        <f t="shared" si="207"/>
        <v>4691.3573734494939</v>
      </c>
      <c r="V667" s="1">
        <f t="shared" si="219"/>
        <v>4691.3573734494939</v>
      </c>
      <c r="W667" s="1">
        <f t="shared" si="220"/>
        <v>3000</v>
      </c>
    </row>
    <row r="668" spans="1:23" x14ac:dyDescent="0.25">
      <c r="A668" s="2">
        <f t="shared" si="221"/>
        <v>65.600000000000549</v>
      </c>
      <c r="B668" s="7">
        <f t="shared" si="204"/>
        <v>16.997769453416261</v>
      </c>
      <c r="C668" s="7">
        <f t="shared" si="208"/>
        <v>1.9608528282039421</v>
      </c>
      <c r="D668" s="7">
        <f t="shared" si="209"/>
        <v>19.941901858833241</v>
      </c>
      <c r="E668" s="7">
        <f t="shared" si="210"/>
        <v>1</v>
      </c>
      <c r="G668" s="4">
        <f t="shared" si="211"/>
        <v>6560.0000000000546</v>
      </c>
      <c r="H668" s="1">
        <f t="shared" si="222"/>
        <v>2.1473405731280111</v>
      </c>
      <c r="I668" s="1">
        <f t="shared" si="223"/>
        <v>1081.2219037708303</v>
      </c>
      <c r="J668" s="1">
        <f t="shared" si="212"/>
        <v>36.040730125694346</v>
      </c>
      <c r="K668" s="7">
        <f t="shared" si="213"/>
        <v>2.9622517911529598</v>
      </c>
      <c r="L668" s="4">
        <f t="shared" si="214"/>
        <v>4656.9231379222638</v>
      </c>
      <c r="M668" s="1">
        <f t="shared" si="215"/>
        <v>980.42641410197109</v>
      </c>
      <c r="N668" s="7">
        <f t="shared" si="216"/>
        <v>19.941901858833241</v>
      </c>
      <c r="O668" s="1">
        <f t="shared" si="217"/>
        <v>3000</v>
      </c>
      <c r="P668" s="2">
        <f t="shared" si="218"/>
        <v>4.5657704528616234</v>
      </c>
      <c r="Q668" s="2">
        <f t="shared" si="205"/>
        <v>1160.0063745808848</v>
      </c>
      <c r="S668" s="1">
        <f t="shared" si="206"/>
        <v>3000</v>
      </c>
      <c r="T668" s="1">
        <f t="shared" si="207"/>
        <v>4656.9231379222638</v>
      </c>
      <c r="V668" s="1">
        <f t="shared" si="219"/>
        <v>4656.9231379222638</v>
      </c>
      <c r="W668" s="1">
        <f t="shared" si="220"/>
        <v>3000</v>
      </c>
    </row>
    <row r="669" spans="1:23" x14ac:dyDescent="0.25">
      <c r="A669" s="2">
        <f t="shared" si="221"/>
        <v>65.700000000000543</v>
      </c>
      <c r="B669" s="7">
        <f t="shared" si="204"/>
        <v>16.873007012569403</v>
      </c>
      <c r="C669" s="7">
        <f t="shared" si="208"/>
        <v>1.9617275636168183</v>
      </c>
      <c r="D669" s="7">
        <f t="shared" si="209"/>
        <v>20.062956189803536</v>
      </c>
      <c r="E669" s="7">
        <f t="shared" si="210"/>
        <v>1</v>
      </c>
      <c r="G669" s="4">
        <f t="shared" si="211"/>
        <v>6570.0000000000546</v>
      </c>
      <c r="H669" s="1">
        <f t="shared" si="222"/>
        <v>2.1632184454620114</v>
      </c>
      <c r="I669" s="1">
        <f t="shared" si="223"/>
        <v>1083.3851222162923</v>
      </c>
      <c r="J669" s="1">
        <f t="shared" si="212"/>
        <v>36.112837407209746</v>
      </c>
      <c r="K669" s="7">
        <f t="shared" si="213"/>
        <v>2.9681784170309378</v>
      </c>
      <c r="L669" s="4">
        <f t="shared" si="214"/>
        <v>4622.7416472792884</v>
      </c>
      <c r="M669" s="1">
        <f t="shared" si="215"/>
        <v>980.86378180840916</v>
      </c>
      <c r="N669" s="7">
        <f t="shared" si="216"/>
        <v>20.062956189803536</v>
      </c>
      <c r="O669" s="1">
        <f t="shared" si="217"/>
        <v>3000</v>
      </c>
      <c r="P669" s="2">
        <f t="shared" si="218"/>
        <v>4.5342798544735983</v>
      </c>
      <c r="Q669" s="2">
        <f t="shared" si="205"/>
        <v>1160.2363400673353</v>
      </c>
      <c r="S669" s="1">
        <f t="shared" si="206"/>
        <v>3000</v>
      </c>
      <c r="T669" s="1">
        <f t="shared" si="207"/>
        <v>4622.7416472792884</v>
      </c>
      <c r="V669" s="1">
        <f t="shared" si="219"/>
        <v>4622.7416472792884</v>
      </c>
      <c r="W669" s="1">
        <f t="shared" si="220"/>
        <v>3000</v>
      </c>
    </row>
    <row r="670" spans="1:23" x14ac:dyDescent="0.25">
      <c r="A670" s="2">
        <f t="shared" si="221"/>
        <v>65.800000000000537</v>
      </c>
      <c r="B670" s="7">
        <f t="shared" si="204"/>
        <v>16.749160319326272</v>
      </c>
      <c r="C670" s="7">
        <f t="shared" si="208"/>
        <v>1.962602689248701</v>
      </c>
      <c r="D670" s="7">
        <f t="shared" si="209"/>
        <v>20.184745362974461</v>
      </c>
      <c r="E670" s="7">
        <f t="shared" si="210"/>
        <v>1</v>
      </c>
      <c r="G670" s="4">
        <f t="shared" si="211"/>
        <v>6580.0000000000537</v>
      </c>
      <c r="H670" s="1">
        <f t="shared" si="222"/>
        <v>2.1792137220085355</v>
      </c>
      <c r="I670" s="1">
        <f t="shared" si="223"/>
        <v>1085.5643359383009</v>
      </c>
      <c r="J670" s="1">
        <f t="shared" si="212"/>
        <v>36.185477864610029</v>
      </c>
      <c r="K670" s="7">
        <f t="shared" si="213"/>
        <v>2.974148865584386</v>
      </c>
      <c r="L670" s="4">
        <f t="shared" si="214"/>
        <v>4588.8110463907597</v>
      </c>
      <c r="M670" s="1">
        <f t="shared" si="215"/>
        <v>981.30134462435046</v>
      </c>
      <c r="N670" s="7">
        <f t="shared" si="216"/>
        <v>20.184745362974461</v>
      </c>
      <c r="O670" s="1">
        <f t="shared" si="217"/>
        <v>3000</v>
      </c>
      <c r="P670" s="2">
        <f t="shared" si="218"/>
        <v>4.5030064500503251</v>
      </c>
      <c r="Q670" s="2">
        <f t="shared" si="205"/>
        <v>1160.4796966623278</v>
      </c>
      <c r="S670" s="1">
        <f t="shared" si="206"/>
        <v>3000</v>
      </c>
      <c r="T670" s="1">
        <f t="shared" si="207"/>
        <v>4588.8110463907597</v>
      </c>
      <c r="V670" s="1">
        <f t="shared" si="219"/>
        <v>4588.8110463907597</v>
      </c>
      <c r="W670" s="1">
        <f t="shared" si="220"/>
        <v>3000</v>
      </c>
    </row>
    <row r="671" spans="1:23" x14ac:dyDescent="0.25">
      <c r="A671" s="2">
        <f t="shared" si="221"/>
        <v>65.900000000000531</v>
      </c>
      <c r="B671" s="7">
        <f t="shared" si="204"/>
        <v>16.626222652163442</v>
      </c>
      <c r="C671" s="7">
        <f t="shared" si="208"/>
        <v>1.9634782052736666</v>
      </c>
      <c r="D671" s="7">
        <f t="shared" si="209"/>
        <v>20.307273839095632</v>
      </c>
      <c r="E671" s="7">
        <f t="shared" si="210"/>
        <v>1</v>
      </c>
      <c r="G671" s="4">
        <f t="shared" si="211"/>
        <v>6590.0000000000528</v>
      </c>
      <c r="H671" s="1">
        <f t="shared" si="222"/>
        <v>2.1953272708787654</v>
      </c>
      <c r="I671" s="1">
        <f t="shared" si="223"/>
        <v>1087.7596632091797</v>
      </c>
      <c r="J671" s="1">
        <f t="shared" si="212"/>
        <v>36.258655440305994</v>
      </c>
      <c r="K671" s="7">
        <f t="shared" si="213"/>
        <v>2.9801634608470677</v>
      </c>
      <c r="L671" s="4">
        <f t="shared" si="214"/>
        <v>4555.1294937434086</v>
      </c>
      <c r="M671" s="1">
        <f t="shared" si="215"/>
        <v>981.73910263683331</v>
      </c>
      <c r="N671" s="7">
        <f t="shared" si="216"/>
        <v>20.307273839095632</v>
      </c>
      <c r="O671" s="1">
        <f t="shared" si="217"/>
        <v>3000</v>
      </c>
      <c r="P671" s="2">
        <f t="shared" si="218"/>
        <v>4.471948741582227</v>
      </c>
      <c r="Q671" s="2">
        <f t="shared" si="205"/>
        <v>1160.7365748188972</v>
      </c>
      <c r="S671" s="1">
        <f t="shared" si="206"/>
        <v>3000</v>
      </c>
      <c r="T671" s="1">
        <f t="shared" si="207"/>
        <v>4555.1294937434086</v>
      </c>
      <c r="V671" s="1">
        <f t="shared" si="219"/>
        <v>4555.1294937434086</v>
      </c>
      <c r="W671" s="1">
        <f t="shared" si="220"/>
        <v>3000</v>
      </c>
    </row>
    <row r="672" spans="1:23" x14ac:dyDescent="0.25">
      <c r="A672" s="2">
        <f t="shared" si="221"/>
        <v>66.000000000000526</v>
      </c>
      <c r="B672" s="7">
        <f t="shared" si="204"/>
        <v>16.504187338892947</v>
      </c>
      <c r="C672" s="7">
        <f t="shared" si="208"/>
        <v>1.9643541118658694</v>
      </c>
      <c r="D672" s="7">
        <f t="shared" si="209"/>
        <v>20.43054610599496</v>
      </c>
      <c r="E672" s="7">
        <f t="shared" si="210"/>
        <v>1</v>
      </c>
      <c r="G672" s="4">
        <f t="shared" si="211"/>
        <v>6600.0000000000528</v>
      </c>
      <c r="H672" s="1">
        <f t="shared" si="222"/>
        <v>2.2115599666022887</v>
      </c>
      <c r="I672" s="1">
        <f t="shared" si="223"/>
        <v>1089.9712231757819</v>
      </c>
      <c r="J672" s="1">
        <f t="shared" si="212"/>
        <v>36.332374105859394</v>
      </c>
      <c r="K672" s="7">
        <f t="shared" si="213"/>
        <v>2.9862225292487174</v>
      </c>
      <c r="L672" s="4">
        <f t="shared" si="214"/>
        <v>4521.6951613405336</v>
      </c>
      <c r="M672" s="1">
        <f t="shared" si="215"/>
        <v>982.17705593293465</v>
      </c>
      <c r="N672" s="7">
        <f t="shared" si="216"/>
        <v>20.43054610599496</v>
      </c>
      <c r="O672" s="1">
        <f t="shared" si="217"/>
        <v>3000</v>
      </c>
      <c r="P672" s="2">
        <f t="shared" si="218"/>
        <v>4.4411052413916412</v>
      </c>
      <c r="Q672" s="2">
        <f t="shared" si="205"/>
        <v>1161.0071069996659</v>
      </c>
      <c r="S672" s="1">
        <f t="shared" si="206"/>
        <v>3000</v>
      </c>
      <c r="T672" s="1">
        <f t="shared" si="207"/>
        <v>4521.6951613405336</v>
      </c>
      <c r="V672" s="1">
        <f t="shared" si="219"/>
        <v>4521.6951613405336</v>
      </c>
      <c r="W672" s="1">
        <f t="shared" si="220"/>
        <v>3000</v>
      </c>
    </row>
    <row r="673" spans="1:23" x14ac:dyDescent="0.25">
      <c r="A673" s="2">
        <f t="shared" si="221"/>
        <v>66.10000000000052</v>
      </c>
      <c r="B673" s="7">
        <f t="shared" si="204"/>
        <v>16.383047756300222</v>
      </c>
      <c r="C673" s="7">
        <f t="shared" si="208"/>
        <v>1.965230409199541</v>
      </c>
      <c r="D673" s="7">
        <f t="shared" si="209"/>
        <v>20.554566678743072</v>
      </c>
      <c r="E673" s="7">
        <f t="shared" si="210"/>
        <v>1</v>
      </c>
      <c r="G673" s="4">
        <f t="shared" si="211"/>
        <v>6610.0000000000528</v>
      </c>
      <c r="H673" s="1">
        <f t="shared" si="222"/>
        <v>2.2279126901747359</v>
      </c>
      <c r="I673" s="1">
        <f t="shared" si="223"/>
        <v>1092.1991358659566</v>
      </c>
      <c r="J673" s="1">
        <f t="shared" si="212"/>
        <v>36.406637862198551</v>
      </c>
      <c r="K673" s="7">
        <f t="shared" si="213"/>
        <v>2.9923263996327578</v>
      </c>
      <c r="L673" s="4">
        <f t="shared" si="214"/>
        <v>4488.5062346028008</v>
      </c>
      <c r="M673" s="1">
        <f t="shared" si="215"/>
        <v>982.61520459977044</v>
      </c>
      <c r="N673" s="7">
        <f t="shared" si="216"/>
        <v>20.554566678743072</v>
      </c>
      <c r="O673" s="1">
        <f t="shared" si="217"/>
        <v>3000</v>
      </c>
      <c r="P673" s="2">
        <f t="shared" si="218"/>
        <v>4.4104744720615763</v>
      </c>
      <c r="Q673" s="2">
        <f t="shared" si="205"/>
        <v>1161.2914277152263</v>
      </c>
      <c r="S673" s="1">
        <f t="shared" si="206"/>
        <v>3000</v>
      </c>
      <c r="T673" s="1">
        <f t="shared" si="207"/>
        <v>4488.5062346028008</v>
      </c>
      <c r="V673" s="1">
        <f t="shared" si="219"/>
        <v>4488.5062346028008</v>
      </c>
      <c r="W673" s="1">
        <f t="shared" si="220"/>
        <v>3000</v>
      </c>
    </row>
    <row r="674" spans="1:23" x14ac:dyDescent="0.25">
      <c r="A674" s="2">
        <f t="shared" si="221"/>
        <v>66.200000000000514</v>
      </c>
      <c r="B674" s="7">
        <f t="shared" si="204"/>
        <v>16.262797329784647</v>
      </c>
      <c r="C674" s="7">
        <f t="shared" si="208"/>
        <v>1.9661070974489914</v>
      </c>
      <c r="D674" s="7">
        <f t="shared" si="209"/>
        <v>20.679340099818624</v>
      </c>
      <c r="E674" s="7">
        <f t="shared" si="210"/>
        <v>1</v>
      </c>
      <c r="G674" s="4">
        <f t="shared" si="211"/>
        <v>6620.0000000000518</v>
      </c>
      <c r="H674" s="1">
        <f t="shared" si="222"/>
        <v>2.2443863291063968</v>
      </c>
      <c r="I674" s="1">
        <f t="shared" si="223"/>
        <v>1094.443522195063</v>
      </c>
      <c r="J674" s="1">
        <f t="shared" si="212"/>
        <v>36.481450739835431</v>
      </c>
      <c r="K674" s="7">
        <f t="shared" si="213"/>
        <v>2.9984754032741452</v>
      </c>
      <c r="L674" s="4">
        <f t="shared" si="214"/>
        <v>4455.560912269767</v>
      </c>
      <c r="M674" s="1">
        <f t="shared" si="215"/>
        <v>983.05354872449573</v>
      </c>
      <c r="N674" s="7">
        <f t="shared" si="216"/>
        <v>20.679340099818624</v>
      </c>
      <c r="O674" s="1">
        <f t="shared" si="217"/>
        <v>3000</v>
      </c>
      <c r="P674" s="2">
        <f t="shared" si="218"/>
        <v>4.3800549663649466</v>
      </c>
      <c r="Q674" s="2">
        <f t="shared" si="205"/>
        <v>1161.5896735633935</v>
      </c>
      <c r="S674" s="1">
        <f t="shared" si="206"/>
        <v>3000</v>
      </c>
      <c r="T674" s="1">
        <f t="shared" si="207"/>
        <v>4455.560912269767</v>
      </c>
      <c r="V674" s="1">
        <f t="shared" si="219"/>
        <v>4455.560912269767</v>
      </c>
      <c r="W674" s="1">
        <f t="shared" si="220"/>
        <v>3000</v>
      </c>
    </row>
    <row r="675" spans="1:23" x14ac:dyDescent="0.25">
      <c r="A675" s="2">
        <f t="shared" si="221"/>
        <v>66.300000000000509</v>
      </c>
      <c r="B675" s="7">
        <f t="shared" si="204"/>
        <v>16.143429533002699</v>
      </c>
      <c r="C675" s="7">
        <f t="shared" si="208"/>
        <v>1.9669841767886074</v>
      </c>
      <c r="D675" s="7">
        <f t="shared" si="209"/>
        <v>20.804870939274739</v>
      </c>
      <c r="E675" s="7">
        <f t="shared" si="210"/>
        <v>1</v>
      </c>
      <c r="G675" s="4">
        <f t="shared" si="211"/>
        <v>6630.0000000000518</v>
      </c>
      <c r="H675" s="1">
        <f t="shared" si="222"/>
        <v>2.2609817774706116</v>
      </c>
      <c r="I675" s="1">
        <f t="shared" si="223"/>
        <v>1096.7045039725335</v>
      </c>
      <c r="J675" s="1">
        <f t="shared" si="212"/>
        <v>36.556816799084451</v>
      </c>
      <c r="K675" s="7">
        <f t="shared" si="213"/>
        <v>3.0046698738973521</v>
      </c>
      <c r="L675" s="4">
        <f t="shared" si="214"/>
        <v>4422.8574063021088</v>
      </c>
      <c r="M675" s="1">
        <f t="shared" si="215"/>
        <v>983.49208839430366</v>
      </c>
      <c r="N675" s="7">
        <f t="shared" si="216"/>
        <v>20.804870939274739</v>
      </c>
      <c r="O675" s="1">
        <f t="shared" si="217"/>
        <v>3000</v>
      </c>
      <c r="P675" s="2">
        <f t="shared" si="218"/>
        <v>4.349845267194274</v>
      </c>
      <c r="Q675" s="2">
        <f t="shared" si="205"/>
        <v>1161.901983269375</v>
      </c>
      <c r="S675" s="1">
        <f t="shared" si="206"/>
        <v>3000</v>
      </c>
      <c r="T675" s="1">
        <f t="shared" si="207"/>
        <v>4422.8574063021088</v>
      </c>
      <c r="V675" s="1">
        <f t="shared" si="219"/>
        <v>4422.8574063021088</v>
      </c>
      <c r="W675" s="1">
        <f t="shared" si="220"/>
        <v>3000</v>
      </c>
    </row>
    <row r="676" spans="1:23" x14ac:dyDescent="0.25">
      <c r="A676" s="2">
        <f t="shared" si="221"/>
        <v>66.400000000000503</v>
      </c>
      <c r="B676" s="7">
        <f t="shared" si="204"/>
        <v>16.024937887513769</v>
      </c>
      <c r="C676" s="7">
        <f t="shared" si="208"/>
        <v>1.9678616473928547</v>
      </c>
      <c r="D676" s="7">
        <f t="shared" si="209"/>
        <v>20.931163794906343</v>
      </c>
      <c r="E676" s="7">
        <f t="shared" si="210"/>
        <v>1</v>
      </c>
      <c r="G676" s="4">
        <f t="shared" si="211"/>
        <v>6640.00000000005</v>
      </c>
      <c r="H676" s="1">
        <f t="shared" si="222"/>
        <v>2.2776999359500327</v>
      </c>
      <c r="I676" s="1">
        <f t="shared" si="223"/>
        <v>1098.9822039084836</v>
      </c>
      <c r="J676" s="1">
        <f t="shared" si="212"/>
        <v>36.632740130282784</v>
      </c>
      <c r="K676" s="7">
        <f t="shared" si="213"/>
        <v>3.0109101476944757</v>
      </c>
      <c r="L676" s="4">
        <f t="shared" si="214"/>
        <v>4390.3939417845941</v>
      </c>
      <c r="M676" s="1">
        <f t="shared" si="215"/>
        <v>983.93082369642741</v>
      </c>
      <c r="N676" s="7">
        <f t="shared" si="216"/>
        <v>20.931163794906343</v>
      </c>
      <c r="O676" s="1">
        <f t="shared" si="217"/>
        <v>3000</v>
      </c>
      <c r="P676" s="2">
        <f t="shared" si="218"/>
        <v>4.3198439274919203</v>
      </c>
      <c r="Q676" s="2">
        <f t="shared" si="205"/>
        <v>1162.2284977268687</v>
      </c>
      <c r="S676" s="1">
        <f t="shared" si="206"/>
        <v>3000</v>
      </c>
      <c r="T676" s="1">
        <f t="shared" si="207"/>
        <v>4390.3939417845941</v>
      </c>
      <c r="V676" s="1">
        <f t="shared" si="219"/>
        <v>4390.3939417845941</v>
      </c>
      <c r="W676" s="1">
        <f t="shared" si="220"/>
        <v>3000</v>
      </c>
    </row>
    <row r="677" spans="1:23" x14ac:dyDescent="0.25">
      <c r="A677" s="2">
        <f t="shared" si="221"/>
        <v>66.500000000000497</v>
      </c>
      <c r="B677" s="7">
        <f t="shared" si="204"/>
        <v>15.907315962428534</v>
      </c>
      <c r="C677" s="7">
        <f t="shared" si="208"/>
        <v>1.9687395094362756</v>
      </c>
      <c r="D677" s="7">
        <f t="shared" si="209"/>
        <v>21.058223292418596</v>
      </c>
      <c r="E677" s="7">
        <f t="shared" si="210"/>
        <v>1</v>
      </c>
      <c r="G677" s="4">
        <f t="shared" si="211"/>
        <v>6650.0000000000491</v>
      </c>
      <c r="H677" s="1">
        <f t="shared" si="222"/>
        <v>2.2945417118894214</v>
      </c>
      <c r="I677" s="1">
        <f t="shared" si="223"/>
        <v>1101.276745620373</v>
      </c>
      <c r="J677" s="1">
        <f t="shared" si="212"/>
        <v>36.709224854012433</v>
      </c>
      <c r="K677" s="7">
        <f t="shared" si="213"/>
        <v>3.0171965633434876</v>
      </c>
      <c r="L677" s="4">
        <f t="shared" si="214"/>
        <v>4358.1687568297348</v>
      </c>
      <c r="M677" s="1">
        <f t="shared" si="215"/>
        <v>984.36975471813776</v>
      </c>
      <c r="N677" s="7">
        <f t="shared" si="216"/>
        <v>21.058223292418596</v>
      </c>
      <c r="O677" s="1">
        <f t="shared" si="217"/>
        <v>3000</v>
      </c>
      <c r="P677" s="2">
        <f t="shared" si="218"/>
        <v>4.2900495101807374</v>
      </c>
      <c r="Q677" s="2">
        <f t="shared" si="205"/>
        <v>1162.5693600401194</v>
      </c>
      <c r="S677" s="1">
        <f t="shared" si="206"/>
        <v>3000</v>
      </c>
      <c r="T677" s="1">
        <f t="shared" si="207"/>
        <v>4358.1687568297348</v>
      </c>
      <c r="V677" s="1">
        <f t="shared" si="219"/>
        <v>4358.1687568297348</v>
      </c>
      <c r="W677" s="1">
        <f t="shared" si="220"/>
        <v>3000</v>
      </c>
    </row>
    <row r="678" spans="1:23" x14ac:dyDescent="0.25">
      <c r="A678" s="2">
        <f t="shared" si="221"/>
        <v>66.600000000000492</v>
      </c>
      <c r="B678" s="7">
        <f t="shared" si="204"/>
        <v>15.790557374059988</v>
      </c>
      <c r="C678" s="7">
        <f t="shared" si="208"/>
        <v>1.9696177630934917</v>
      </c>
      <c r="D678" s="7">
        <f t="shared" si="209"/>
        <v>21.186054085596329</v>
      </c>
      <c r="E678" s="7">
        <f t="shared" si="210"/>
        <v>1</v>
      </c>
      <c r="G678" s="4">
        <f t="shared" si="211"/>
        <v>6660.0000000000491</v>
      </c>
      <c r="H678" s="1">
        <f t="shared" si="222"/>
        <v>2.3115080193407582</v>
      </c>
      <c r="I678" s="1">
        <f t="shared" si="223"/>
        <v>1103.5882536397139</v>
      </c>
      <c r="J678" s="1">
        <f t="shared" si="212"/>
        <v>36.786275121323797</v>
      </c>
      <c r="K678" s="7">
        <f t="shared" si="213"/>
        <v>3.0235294620266133</v>
      </c>
      <c r="L678" s="4">
        <f t="shared" si="214"/>
        <v>4326.180102482188</v>
      </c>
      <c r="M678" s="1">
        <f t="shared" si="215"/>
        <v>984.80888154674585</v>
      </c>
      <c r="N678" s="7">
        <f t="shared" si="216"/>
        <v>21.186054085596329</v>
      </c>
      <c r="O678" s="1">
        <f t="shared" si="217"/>
        <v>3000</v>
      </c>
      <c r="P678" s="2">
        <f t="shared" si="218"/>
        <v>4.2604605880952704</v>
      </c>
      <c r="Q678" s="2">
        <f t="shared" si="205"/>
        <v>1162.9247155669682</v>
      </c>
      <c r="S678" s="1">
        <f t="shared" si="206"/>
        <v>3000</v>
      </c>
      <c r="T678" s="1">
        <f t="shared" si="207"/>
        <v>4326.180102482188</v>
      </c>
      <c r="V678" s="1">
        <f t="shared" si="219"/>
        <v>4326.180102482188</v>
      </c>
      <c r="W678" s="1">
        <f t="shared" si="220"/>
        <v>3000</v>
      </c>
    </row>
    <row r="679" spans="1:23" x14ac:dyDescent="0.25">
      <c r="A679" s="2">
        <f t="shared" si="221"/>
        <v>66.700000000000486</v>
      </c>
      <c r="B679" s="7">
        <f t="shared" si="204"/>
        <v>15.674655785576906</v>
      </c>
      <c r="C679" s="7">
        <f t="shared" si="208"/>
        <v>1.9704964085392007</v>
      </c>
      <c r="D679" s="7">
        <f t="shared" si="209"/>
        <v>21.314660856474422</v>
      </c>
      <c r="E679" s="7">
        <f t="shared" si="210"/>
        <v>1</v>
      </c>
      <c r="G679" s="4">
        <f t="shared" si="211"/>
        <v>6670.0000000000482</v>
      </c>
      <c r="H679" s="1">
        <f t="shared" si="222"/>
        <v>2.3285997791149131</v>
      </c>
      <c r="I679" s="1">
        <f t="shared" si="223"/>
        <v>1105.9168534188289</v>
      </c>
      <c r="J679" s="1">
        <f t="shared" si="212"/>
        <v>36.863895113960965</v>
      </c>
      <c r="K679" s="7">
        <f t="shared" si="213"/>
        <v>3.0299091874488462</v>
      </c>
      <c r="L679" s="4">
        <f t="shared" si="214"/>
        <v>4294.4262426238101</v>
      </c>
      <c r="M679" s="1">
        <f t="shared" si="215"/>
        <v>985.24820426960036</v>
      </c>
      <c r="N679" s="7">
        <f t="shared" si="216"/>
        <v>21.314660856474422</v>
      </c>
      <c r="O679" s="1">
        <f t="shared" si="217"/>
        <v>3000</v>
      </c>
      <c r="P679" s="2">
        <f t="shared" si="218"/>
        <v>4.2310757439133564</v>
      </c>
      <c r="Q679" s="2">
        <f t="shared" si="205"/>
        <v>1163.2947119628943</v>
      </c>
      <c r="S679" s="1">
        <f t="shared" si="206"/>
        <v>3000</v>
      </c>
      <c r="T679" s="1">
        <f t="shared" si="207"/>
        <v>4294.4262426238101</v>
      </c>
      <c r="V679" s="1">
        <f t="shared" si="219"/>
        <v>4294.4262426238101</v>
      </c>
      <c r="W679" s="1">
        <f t="shared" si="220"/>
        <v>3000</v>
      </c>
    </row>
    <row r="680" spans="1:23" x14ac:dyDescent="0.25">
      <c r="A680" s="2">
        <f t="shared" si="221"/>
        <v>66.80000000000048</v>
      </c>
      <c r="B680" s="7">
        <f t="shared" si="204"/>
        <v>15.55960490665997</v>
      </c>
      <c r="C680" s="7">
        <f t="shared" si="208"/>
        <v>1.9713754459481803</v>
      </c>
      <c r="D680" s="7">
        <f t="shared" si="209"/>
        <v>21.444048315509395</v>
      </c>
      <c r="E680" s="7">
        <f t="shared" si="210"/>
        <v>1</v>
      </c>
      <c r="G680" s="4">
        <f t="shared" si="211"/>
        <v>6680.0000000000473</v>
      </c>
      <c r="H680" s="1">
        <f t="shared" si="222"/>
        <v>2.3458179188324761</v>
      </c>
      <c r="I680" s="1">
        <f t="shared" si="223"/>
        <v>1108.2626713376612</v>
      </c>
      <c r="J680" s="1">
        <f t="shared" si="212"/>
        <v>36.942089044588705</v>
      </c>
      <c r="K680" s="7">
        <f t="shared" si="213"/>
        <v>3.0363360858566062</v>
      </c>
      <c r="L680" s="4">
        <f t="shared" si="214"/>
        <v>4262.9054538794444</v>
      </c>
      <c r="M680" s="1">
        <f t="shared" si="215"/>
        <v>985.68772297409009</v>
      </c>
      <c r="N680" s="7">
        <f t="shared" si="216"/>
        <v>21.444048315509395</v>
      </c>
      <c r="O680" s="1">
        <f t="shared" si="217"/>
        <v>3000</v>
      </c>
      <c r="P680" s="2">
        <f t="shared" si="218"/>
        <v>4.2018935700882603</v>
      </c>
      <c r="Q680" s="2">
        <f t="shared" si="205"/>
        <v>1163.67949922612</v>
      </c>
      <c r="S680" s="1">
        <f t="shared" si="206"/>
        <v>3000</v>
      </c>
      <c r="T680" s="1">
        <f t="shared" si="207"/>
        <v>4262.9054538794444</v>
      </c>
      <c r="V680" s="1">
        <f t="shared" si="219"/>
        <v>4262.9054538794444</v>
      </c>
      <c r="W680" s="1">
        <f t="shared" si="220"/>
        <v>3000</v>
      </c>
    </row>
    <row r="681" spans="1:23" x14ac:dyDescent="0.25">
      <c r="A681" s="2">
        <f t="shared" si="221"/>
        <v>66.900000000000475</v>
      </c>
      <c r="B681" s="7">
        <f t="shared" si="204"/>
        <v>15.44539849316037</v>
      </c>
      <c r="C681" s="7">
        <f t="shared" si="208"/>
        <v>1.9722548754952847</v>
      </c>
      <c r="D681" s="7">
        <f t="shared" si="209"/>
        <v>21.574221201751879</v>
      </c>
      <c r="E681" s="7">
        <f t="shared" si="210"/>
        <v>1</v>
      </c>
      <c r="G681" s="4">
        <f t="shared" si="211"/>
        <v>6690.0000000000473</v>
      </c>
      <c r="H681" s="1">
        <f t="shared" si="222"/>
        <v>2.3631633729724206</v>
      </c>
      <c r="I681" s="1">
        <f t="shared" si="223"/>
        <v>1110.6258347106336</v>
      </c>
      <c r="J681" s="1">
        <f t="shared" si="212"/>
        <v>37.020861157021123</v>
      </c>
      <c r="K681" s="7">
        <f t="shared" si="213"/>
        <v>3.0428105060565307</v>
      </c>
      <c r="L681" s="4">
        <f t="shared" si="214"/>
        <v>4231.616025523389</v>
      </c>
      <c r="M681" s="1">
        <f t="shared" si="215"/>
        <v>986.12743774764238</v>
      </c>
      <c r="N681" s="7">
        <f t="shared" si="216"/>
        <v>21.574221201751879</v>
      </c>
      <c r="O681" s="1">
        <f t="shared" si="217"/>
        <v>3000</v>
      </c>
      <c r="P681" s="2">
        <f t="shared" si="218"/>
        <v>4.1729126687812412</v>
      </c>
      <c r="Q681" s="2">
        <f t="shared" si="205"/>
        <v>1164.0792297437667</v>
      </c>
      <c r="S681" s="1">
        <f t="shared" si="206"/>
        <v>3000</v>
      </c>
      <c r="T681" s="1">
        <f t="shared" si="207"/>
        <v>4231.616025523389</v>
      </c>
      <c r="V681" s="1">
        <f t="shared" si="219"/>
        <v>4231.616025523389</v>
      </c>
      <c r="W681" s="1">
        <f t="shared" si="220"/>
        <v>3000</v>
      </c>
    </row>
    <row r="682" spans="1:23" x14ac:dyDescent="0.25">
      <c r="A682" s="2">
        <f t="shared" si="221"/>
        <v>67.000000000000469</v>
      </c>
      <c r="B682" s="7">
        <f t="shared" si="204"/>
        <v>15.332030346760911</v>
      </c>
      <c r="C682" s="7">
        <f t="shared" si="208"/>
        <v>1.973134697355446</v>
      </c>
      <c r="D682" s="7">
        <f t="shared" si="209"/>
        <v>21.705184283020195</v>
      </c>
      <c r="E682" s="7">
        <f t="shared" si="210"/>
        <v>1</v>
      </c>
      <c r="G682" s="4">
        <f t="shared" si="211"/>
        <v>6700.0000000000473</v>
      </c>
      <c r="H682" s="1">
        <f t="shared" si="222"/>
        <v>2.3806370829230121</v>
      </c>
      <c r="I682" s="1">
        <f t="shared" si="223"/>
        <v>1113.0064717935566</v>
      </c>
      <c r="J682" s="1">
        <f t="shared" si="212"/>
        <v>37.100215726451886</v>
      </c>
      <c r="K682" s="7">
        <f t="shared" si="213"/>
        <v>3.0493327994344015</v>
      </c>
      <c r="L682" s="4">
        <f t="shared" si="214"/>
        <v>4200.5562593865516</v>
      </c>
      <c r="M682" s="1">
        <f t="shared" si="215"/>
        <v>986.56734867772298</v>
      </c>
      <c r="N682" s="7">
        <f t="shared" si="216"/>
        <v>21.705184283020195</v>
      </c>
      <c r="O682" s="1">
        <f t="shared" si="217"/>
        <v>3000</v>
      </c>
      <c r="P682" s="2">
        <f t="shared" si="218"/>
        <v>4.1441316517946039</v>
      </c>
      <c r="Q682" s="2">
        <f t="shared" si="205"/>
        <v>1164.4940583391167</v>
      </c>
      <c r="S682" s="1">
        <f t="shared" si="206"/>
        <v>3000</v>
      </c>
      <c r="T682" s="1">
        <f t="shared" si="207"/>
        <v>4200.5562593865516</v>
      </c>
      <c r="V682" s="1">
        <f t="shared" si="219"/>
        <v>4200.5562593865516</v>
      </c>
      <c r="W682" s="1">
        <f t="shared" si="220"/>
        <v>3000</v>
      </c>
    </row>
    <row r="683" spans="1:23" x14ac:dyDescent="0.25">
      <c r="A683" s="2">
        <f t="shared" si="221"/>
        <v>67.100000000000463</v>
      </c>
      <c r="B683" s="7">
        <f t="shared" si="204"/>
        <v>15.219494314639613</v>
      </c>
      <c r="C683" s="7">
        <f t="shared" si="208"/>
        <v>1.9740149117036754</v>
      </c>
      <c r="D683" s="7">
        <f t="shared" si="209"/>
        <v>21.836942356075006</v>
      </c>
      <c r="E683" s="7">
        <f t="shared" si="210"/>
        <v>1</v>
      </c>
      <c r="G683" s="4">
        <f t="shared" si="211"/>
        <v>6710.0000000000464</v>
      </c>
      <c r="H683" s="1">
        <f t="shared" si="222"/>
        <v>2.3982399970337629</v>
      </c>
      <c r="I683" s="1">
        <f t="shared" si="223"/>
        <v>1115.4047117905902</v>
      </c>
      <c r="J683" s="1">
        <f t="shared" si="212"/>
        <v>37.180157059686344</v>
      </c>
      <c r="K683" s="7">
        <f t="shared" si="213"/>
        <v>3.0559033199742198</v>
      </c>
      <c r="L683" s="4">
        <f t="shared" si="214"/>
        <v>4169.7244697642782</v>
      </c>
      <c r="M683" s="1">
        <f t="shared" si="215"/>
        <v>987.00745585183768</v>
      </c>
      <c r="N683" s="7">
        <f t="shared" si="216"/>
        <v>21.836942356075006</v>
      </c>
      <c r="O683" s="1">
        <f t="shared" si="217"/>
        <v>3000</v>
      </c>
      <c r="P683" s="2">
        <f t="shared" si="218"/>
        <v>4.1155491405051929</v>
      </c>
      <c r="Q683" s="2">
        <f t="shared" si="205"/>
        <v>1164.924142319999</v>
      </c>
      <c r="S683" s="1">
        <f t="shared" si="206"/>
        <v>3000</v>
      </c>
      <c r="T683" s="1">
        <f t="shared" si="207"/>
        <v>4169.7244697642782</v>
      </c>
      <c r="V683" s="1">
        <f t="shared" si="219"/>
        <v>4169.7244697642782</v>
      </c>
      <c r="W683" s="1">
        <f t="shared" si="220"/>
        <v>3000</v>
      </c>
    </row>
    <row r="684" spans="1:23" x14ac:dyDescent="0.25">
      <c r="A684" s="2">
        <f t="shared" si="221"/>
        <v>67.200000000000458</v>
      </c>
      <c r="B684" s="7">
        <f t="shared" ref="B684:B747" si="224">IF(A684&lt;=$B$2,$B$3*EXP(A684*$B$4),IF(A684&lt;$B$7,$B$6,IF($B$8*EXP(A684*$B$9)&gt;$B$6,$B$6,$B$8*EXP(A684*$B$9))))</f>
        <v>15.107784289135768</v>
      </c>
      <c r="C684" s="7">
        <f t="shared" si="208"/>
        <v>1.9748955187150614</v>
      </c>
      <c r="D684" s="7">
        <f t="shared" si="209"/>
        <v>21.96950024679499</v>
      </c>
      <c r="E684" s="7">
        <f t="shared" si="210"/>
        <v>1</v>
      </c>
      <c r="G684" s="4">
        <f t="shared" si="211"/>
        <v>6720.0000000000464</v>
      </c>
      <c r="H684" s="1">
        <f t="shared" si="222"/>
        <v>2.4159730706671323</v>
      </c>
      <c r="I684" s="1">
        <f t="shared" si="223"/>
        <v>1117.8206848612574</v>
      </c>
      <c r="J684" s="1">
        <f t="shared" si="212"/>
        <v>37.260689495375246</v>
      </c>
      <c r="K684" s="7">
        <f t="shared" si="213"/>
        <v>3.0625224242774176</v>
      </c>
      <c r="L684" s="4">
        <f t="shared" si="214"/>
        <v>4139.1189833248682</v>
      </c>
      <c r="M684" s="1">
        <f t="shared" si="215"/>
        <v>987.44775935753069</v>
      </c>
      <c r="N684" s="7">
        <f t="shared" si="216"/>
        <v>21.96950024679499</v>
      </c>
      <c r="O684" s="1">
        <f t="shared" si="217"/>
        <v>3000</v>
      </c>
      <c r="P684" s="2">
        <f t="shared" si="218"/>
        <v>4.0871637657983619</v>
      </c>
      <c r="Q684" s="2">
        <f t="shared" si="205"/>
        <v>1165.3696415283371</v>
      </c>
      <c r="S684" s="1">
        <f t="shared" si="206"/>
        <v>3000</v>
      </c>
      <c r="T684" s="1">
        <f t="shared" si="207"/>
        <v>4139.1189833248682</v>
      </c>
      <c r="V684" s="1">
        <f t="shared" si="219"/>
        <v>4139.1189833248682</v>
      </c>
      <c r="W684" s="1">
        <f t="shared" si="220"/>
        <v>3000</v>
      </c>
    </row>
    <row r="685" spans="1:23" x14ac:dyDescent="0.25">
      <c r="A685" s="2">
        <f t="shared" si="221"/>
        <v>67.300000000000452</v>
      </c>
      <c r="B685" s="7">
        <f t="shared" si="224"/>
        <v>14.996894207418507</v>
      </c>
      <c r="C685" s="7">
        <f t="shared" si="208"/>
        <v>1.9757765185647711</v>
      </c>
      <c r="D685" s="7">
        <f t="shared" si="209"/>
        <v>22.102862810353567</v>
      </c>
      <c r="E685" s="7">
        <f t="shared" si="210"/>
        <v>1</v>
      </c>
      <c r="G685" s="4">
        <f t="shared" si="211"/>
        <v>6730.0000000000446</v>
      </c>
      <c r="H685" s="1">
        <f t="shared" si="222"/>
        <v>2.4338372662479624</v>
      </c>
      <c r="I685" s="1">
        <f t="shared" si="223"/>
        <v>1120.2545221275054</v>
      </c>
      <c r="J685" s="1">
        <f t="shared" si="212"/>
        <v>37.341817404250179</v>
      </c>
      <c r="K685" s="7">
        <f t="shared" si="213"/>
        <v>3.0691904715822065</v>
      </c>
      <c r="L685" s="4">
        <f t="shared" si="214"/>
        <v>4108.7381390187693</v>
      </c>
      <c r="M685" s="1">
        <f t="shared" si="215"/>
        <v>987.88825928238555</v>
      </c>
      <c r="N685" s="7">
        <f t="shared" si="216"/>
        <v>22.102862810353567</v>
      </c>
      <c r="O685" s="1">
        <f t="shared" si="217"/>
        <v>3000</v>
      </c>
      <c r="P685" s="2">
        <f t="shared" si="218"/>
        <v>4.0589741680024005</v>
      </c>
      <c r="Q685" s="2">
        <f t="shared" si="205"/>
        <v>1165.8307183908908</v>
      </c>
      <c r="S685" s="1">
        <f t="shared" si="206"/>
        <v>3000</v>
      </c>
      <c r="T685" s="1">
        <f t="shared" si="207"/>
        <v>4108.7381390187693</v>
      </c>
      <c r="V685" s="1">
        <f t="shared" si="219"/>
        <v>4108.7381390187693</v>
      </c>
      <c r="W685" s="1">
        <f t="shared" si="220"/>
        <v>3000</v>
      </c>
    </row>
    <row r="686" spans="1:23" x14ac:dyDescent="0.25">
      <c r="A686" s="2">
        <f t="shared" si="221"/>
        <v>67.400000000000446</v>
      </c>
      <c r="B686" s="7">
        <f t="shared" si="224"/>
        <v>14.886818051157682</v>
      </c>
      <c r="C686" s="7">
        <f t="shared" si="208"/>
        <v>1.9766579114280491</v>
      </c>
      <c r="D686" s="7">
        <f t="shared" si="209"/>
        <v>22.237034931396796</v>
      </c>
      <c r="E686" s="7">
        <f t="shared" si="210"/>
        <v>1</v>
      </c>
      <c r="G686" s="4">
        <f t="shared" si="211"/>
        <v>6740.0000000000446</v>
      </c>
      <c r="H686" s="1">
        <f t="shared" si="222"/>
        <v>2.451833553320117</v>
      </c>
      <c r="I686" s="1">
        <f t="shared" si="223"/>
        <v>1122.7063556808255</v>
      </c>
      <c r="J686" s="1">
        <f t="shared" si="212"/>
        <v>37.423545189360851</v>
      </c>
      <c r="K686" s="7">
        <f t="shared" si="213"/>
        <v>3.0759078237830835</v>
      </c>
      <c r="L686" s="4">
        <f t="shared" si="214"/>
        <v>4078.5802879884059</v>
      </c>
      <c r="M686" s="1">
        <f t="shared" si="215"/>
        <v>988.32895571402457</v>
      </c>
      <c r="N686" s="7">
        <f t="shared" si="216"/>
        <v>22.237034931396796</v>
      </c>
      <c r="O686" s="1">
        <f t="shared" si="217"/>
        <v>3000</v>
      </c>
      <c r="P686" s="2">
        <f t="shared" si="218"/>
        <v>4.0309789968233867</v>
      </c>
      <c r="Q686" s="2">
        <f t="shared" si="205"/>
        <v>1166.30753797122</v>
      </c>
      <c r="S686" s="1">
        <f t="shared" si="206"/>
        <v>3000</v>
      </c>
      <c r="T686" s="1">
        <f t="shared" si="207"/>
        <v>4078.5802879884059</v>
      </c>
      <c r="V686" s="1">
        <f t="shared" si="219"/>
        <v>4078.5802879884059</v>
      </c>
      <c r="W686" s="1">
        <f t="shared" si="220"/>
        <v>3000</v>
      </c>
    </row>
    <row r="687" spans="1:23" x14ac:dyDescent="0.25">
      <c r="A687" s="2">
        <f t="shared" si="221"/>
        <v>67.500000000000441</v>
      </c>
      <c r="B687" s="7">
        <f t="shared" si="224"/>
        <v>14.777549846197278</v>
      </c>
      <c r="C687" s="7">
        <f t="shared" si="208"/>
        <v>1.9775396974802188</v>
      </c>
      <c r="D687" s="7">
        <f t="shared" si="209"/>
        <v>22.372021524222241</v>
      </c>
      <c r="E687" s="7">
        <f t="shared" si="210"/>
        <v>1</v>
      </c>
      <c r="G687" s="4">
        <f t="shared" si="211"/>
        <v>6750.0000000000437</v>
      </c>
      <c r="H687" s="1">
        <f t="shared" si="222"/>
        <v>2.4699629085933528</v>
      </c>
      <c r="I687" s="1">
        <f t="shared" si="223"/>
        <v>1125.1763185894188</v>
      </c>
      <c r="J687" s="1">
        <f t="shared" si="212"/>
        <v>37.505877286313961</v>
      </c>
      <c r="K687" s="7">
        <f t="shared" si="213"/>
        <v>3.0826748454504624</v>
      </c>
      <c r="L687" s="4">
        <f t="shared" si="214"/>
        <v>4048.6437934787064</v>
      </c>
      <c r="M687" s="1">
        <f t="shared" si="215"/>
        <v>988.76984874010941</v>
      </c>
      <c r="N687" s="7">
        <f t="shared" si="216"/>
        <v>22.372021524222241</v>
      </c>
      <c r="O687" s="1">
        <f t="shared" si="217"/>
        <v>3000</v>
      </c>
      <c r="P687" s="2">
        <f t="shared" si="218"/>
        <v>4.0031769112805229</v>
      </c>
      <c r="Q687" s="2">
        <f t="shared" si="205"/>
        <v>1166.8002680229129</v>
      </c>
      <c r="S687" s="1">
        <f t="shared" si="206"/>
        <v>3000</v>
      </c>
      <c r="T687" s="1">
        <f t="shared" si="207"/>
        <v>4048.6437934787064</v>
      </c>
      <c r="V687" s="1">
        <f t="shared" si="219"/>
        <v>4048.6437934787064</v>
      </c>
      <c r="W687" s="1">
        <f t="shared" si="220"/>
        <v>3000</v>
      </c>
    </row>
    <row r="688" spans="1:23" x14ac:dyDescent="0.25">
      <c r="A688" s="2">
        <f t="shared" si="221"/>
        <v>67.600000000000435</v>
      </c>
      <c r="B688" s="7">
        <f t="shared" si="224"/>
        <v>14.669083662231168</v>
      </c>
      <c r="C688" s="7">
        <f t="shared" si="208"/>
        <v>1.9784218768966815</v>
      </c>
      <c r="D688" s="7">
        <f t="shared" si="209"/>
        <v>22.507827532958974</v>
      </c>
      <c r="E688" s="7">
        <f t="shared" si="210"/>
        <v>1</v>
      </c>
      <c r="G688" s="4">
        <f t="shared" si="211"/>
        <v>6760.0000000000446</v>
      </c>
      <c r="H688" s="1">
        <f t="shared" si="222"/>
        <v>2.4882263160023226</v>
      </c>
      <c r="I688" s="1">
        <f t="shared" si="223"/>
        <v>1127.6645449054211</v>
      </c>
      <c r="J688" s="1">
        <f t="shared" si="212"/>
        <v>37.588818163514034</v>
      </c>
      <c r="K688" s="7">
        <f t="shared" si="213"/>
        <v>3.0894919038504685</v>
      </c>
      <c r="L688" s="4">
        <f t="shared" si="214"/>
        <v>4018.9270307482652</v>
      </c>
      <c r="M688" s="1">
        <f t="shared" si="215"/>
        <v>989.2109384483407</v>
      </c>
      <c r="N688" s="7">
        <f t="shared" si="216"/>
        <v>22.507827532958974</v>
      </c>
      <c r="O688" s="1">
        <f t="shared" si="217"/>
        <v>3000</v>
      </c>
      <c r="P688" s="2">
        <f t="shared" si="218"/>
        <v>3.9755665796418951</v>
      </c>
      <c r="Q688" s="2">
        <f t="shared" ref="Q688:Q751" si="225">IFERROR(N688/100*L688/(1-N688/100),L688*100)</f>
        <v>1167.3090790441081</v>
      </c>
      <c r="S688" s="1">
        <f t="shared" si="206"/>
        <v>3000</v>
      </c>
      <c r="T688" s="1">
        <f t="shared" si="207"/>
        <v>4018.9270307482652</v>
      </c>
      <c r="V688" s="1">
        <f t="shared" si="219"/>
        <v>4018.9270307482652</v>
      </c>
      <c r="W688" s="1">
        <f t="shared" si="220"/>
        <v>3000</v>
      </c>
    </row>
    <row r="689" spans="1:23" x14ac:dyDescent="0.25">
      <c r="A689" s="2">
        <f t="shared" si="221"/>
        <v>67.700000000000429</v>
      </c>
      <c r="B689" s="7">
        <f t="shared" si="224"/>
        <v>14.561413612481259</v>
      </c>
      <c r="C689" s="7">
        <f t="shared" si="208"/>
        <v>1.9793044498529169</v>
      </c>
      <c r="D689" s="7">
        <f t="shared" si="209"/>
        <v>22.644457931748654</v>
      </c>
      <c r="E689" s="7">
        <f t="shared" si="210"/>
        <v>1</v>
      </c>
      <c r="G689" s="4">
        <f t="shared" si="211"/>
        <v>6770.0000000000418</v>
      </c>
      <c r="H689" s="1">
        <f t="shared" si="222"/>
        <v>2.5066247667537036</v>
      </c>
      <c r="I689" s="1">
        <f t="shared" si="223"/>
        <v>1130.1711696721748</v>
      </c>
      <c r="J689" s="1">
        <f t="shared" si="212"/>
        <v>37.672372322405828</v>
      </c>
      <c r="K689" s="7">
        <f t="shared" si="213"/>
        <v>3.0963593689648623</v>
      </c>
      <c r="L689" s="4">
        <f t="shared" si="214"/>
        <v>3989.4283869811666</v>
      </c>
      <c r="M689" s="1">
        <f t="shared" si="215"/>
        <v>989.65222492645842</v>
      </c>
      <c r="N689" s="7">
        <f t="shared" si="216"/>
        <v>22.644457931748654</v>
      </c>
      <c r="O689" s="1">
        <f t="shared" si="217"/>
        <v>3000</v>
      </c>
      <c r="P689" s="2">
        <f t="shared" si="218"/>
        <v>3.9481466793606836</v>
      </c>
      <c r="Q689" s="2">
        <f t="shared" si="225"/>
        <v>1167.834144333352</v>
      </c>
      <c r="S689" s="1">
        <f t="shared" si="206"/>
        <v>3000</v>
      </c>
      <c r="T689" s="1">
        <f t="shared" si="207"/>
        <v>3989.4283869811666</v>
      </c>
      <c r="V689" s="1">
        <f t="shared" si="219"/>
        <v>3989.4283869811666</v>
      </c>
      <c r="W689" s="1">
        <f t="shared" si="220"/>
        <v>3000</v>
      </c>
    </row>
    <row r="690" spans="1:23" x14ac:dyDescent="0.25">
      <c r="A690" s="2">
        <f t="shared" si="221"/>
        <v>67.800000000000423</v>
      </c>
      <c r="B690" s="7">
        <f t="shared" si="224"/>
        <v>14.454533853377999</v>
      </c>
      <c r="C690" s="7">
        <f t="shared" si="208"/>
        <v>1.9801874165244826</v>
      </c>
      <c r="D690" s="7">
        <f t="shared" si="209"/>
        <v>22.781917724927762</v>
      </c>
      <c r="E690" s="7">
        <f t="shared" si="210"/>
        <v>1</v>
      </c>
      <c r="G690" s="4">
        <f t="shared" si="211"/>
        <v>6780.0000000000427</v>
      </c>
      <c r="H690" s="1">
        <f t="shared" si="222"/>
        <v>2.5251592593885919</v>
      </c>
      <c r="I690" s="1">
        <f t="shared" si="223"/>
        <v>1132.6963289315634</v>
      </c>
      <c r="J690" s="1">
        <f t="shared" si="212"/>
        <v>37.756544297718776</v>
      </c>
      <c r="K690" s="7">
        <f t="shared" si="213"/>
        <v>3.1032776135111324</v>
      </c>
      <c r="L690" s="4">
        <f t="shared" si="214"/>
        <v>3960.1462611994521</v>
      </c>
      <c r="M690" s="1">
        <f t="shared" si="215"/>
        <v>990.09370826224131</v>
      </c>
      <c r="N690" s="7">
        <f t="shared" si="216"/>
        <v>22.781917724927762</v>
      </c>
      <c r="O690" s="1">
        <f t="shared" si="217"/>
        <v>3000</v>
      </c>
      <c r="P690" s="2">
        <f t="shared" si="218"/>
        <v>3.9209158970118159</v>
      </c>
      <c r="Q690" s="2">
        <f t="shared" si="225"/>
        <v>1168.3756400468287</v>
      </c>
      <c r="S690" s="1">
        <f t="shared" si="206"/>
        <v>3000</v>
      </c>
      <c r="T690" s="1">
        <f t="shared" si="207"/>
        <v>3960.1462611994521</v>
      </c>
      <c r="V690" s="1">
        <f t="shared" si="219"/>
        <v>3960.1462611994521</v>
      </c>
      <c r="W690" s="1">
        <f t="shared" si="220"/>
        <v>3000</v>
      </c>
    </row>
    <row r="691" spans="1:23" x14ac:dyDescent="0.25">
      <c r="A691" s="2">
        <f t="shared" si="221"/>
        <v>67.900000000000418</v>
      </c>
      <c r="B691" s="7">
        <f t="shared" si="224"/>
        <v>14.348438584243222</v>
      </c>
      <c r="C691" s="7">
        <f t="shared" si="208"/>
        <v>1.9810707770870151</v>
      </c>
      <c r="D691" s="7">
        <f t="shared" si="209"/>
        <v>22.92021194721077</v>
      </c>
      <c r="E691" s="7">
        <f t="shared" si="210"/>
        <v>1</v>
      </c>
      <c r="G691" s="4">
        <f t="shared" si="211"/>
        <v>6790.0000000000418</v>
      </c>
      <c r="H691" s="1">
        <f t="shared" si="222"/>
        <v>2.5438307998250949</v>
      </c>
      <c r="I691" s="1">
        <f t="shared" si="223"/>
        <v>1135.2401597313885</v>
      </c>
      <c r="J691" s="1">
        <f t="shared" si="212"/>
        <v>37.841338657712953</v>
      </c>
      <c r="K691" s="7">
        <f t="shared" si="213"/>
        <v>3.1102470129627084</v>
      </c>
      <c r="L691" s="4">
        <f t="shared" si="214"/>
        <v>3931.0790641762246</v>
      </c>
      <c r="M691" s="1">
        <f t="shared" si="215"/>
        <v>990.53538854350757</v>
      </c>
      <c r="N691" s="7">
        <f t="shared" si="216"/>
        <v>22.92021194721077</v>
      </c>
      <c r="O691" s="1">
        <f t="shared" si="217"/>
        <v>3000</v>
      </c>
      <c r="P691" s="2">
        <f t="shared" si="218"/>
        <v>3.8938729282290447</v>
      </c>
      <c r="Q691" s="2">
        <f t="shared" si="225"/>
        <v>1168.9337452569916</v>
      </c>
      <c r="S691" s="1">
        <f t="shared" si="206"/>
        <v>3000</v>
      </c>
      <c r="T691" s="1">
        <f t="shared" si="207"/>
        <v>3931.0790641762246</v>
      </c>
      <c r="V691" s="1">
        <f t="shared" si="219"/>
        <v>3931.0790641762246</v>
      </c>
      <c r="W691" s="1">
        <f t="shared" si="220"/>
        <v>3000</v>
      </c>
    </row>
    <row r="692" spans="1:23" x14ac:dyDescent="0.25">
      <c r="A692" s="2">
        <f t="shared" si="221"/>
        <v>68.000000000000412</v>
      </c>
      <c r="B692" s="7">
        <f t="shared" si="224"/>
        <v>14.243122046975333</v>
      </c>
      <c r="C692" s="7">
        <f t="shared" si="208"/>
        <v>1.9819545317162286</v>
      </c>
      <c r="D692" s="7">
        <f t="shared" si="209"/>
        <v>23.059345663874709</v>
      </c>
      <c r="E692" s="7">
        <f t="shared" si="210"/>
        <v>1</v>
      </c>
      <c r="G692" s="4">
        <f t="shared" si="211"/>
        <v>6800.0000000000418</v>
      </c>
      <c r="H692" s="1">
        <f t="shared" si="222"/>
        <v>2.5626404014245692</v>
      </c>
      <c r="I692" s="1">
        <f t="shared" si="223"/>
        <v>1137.802800132813</v>
      </c>
      <c r="J692" s="1">
        <f t="shared" si="212"/>
        <v>37.926760004427102</v>
      </c>
      <c r="K692" s="7">
        <f t="shared" si="213"/>
        <v>3.1172679455693508</v>
      </c>
      <c r="L692" s="4">
        <f t="shared" si="214"/>
        <v>3902.2252183494065</v>
      </c>
      <c r="M692" s="1">
        <f t="shared" si="215"/>
        <v>990.97726585811427</v>
      </c>
      <c r="N692" s="7">
        <f t="shared" si="216"/>
        <v>23.059345663874709</v>
      </c>
      <c r="O692" s="1">
        <f t="shared" si="217"/>
        <v>3000</v>
      </c>
      <c r="P692" s="2">
        <f t="shared" si="218"/>
        <v>3.867016477642478</v>
      </c>
      <c r="Q692" s="2">
        <f t="shared" si="225"/>
        <v>1169.5086420126672</v>
      </c>
      <c r="S692" s="1">
        <f t="shared" si="206"/>
        <v>3000</v>
      </c>
      <c r="T692" s="1">
        <f t="shared" si="207"/>
        <v>3902.2252183494065</v>
      </c>
      <c r="V692" s="1">
        <f t="shared" si="219"/>
        <v>3902.2252183494065</v>
      </c>
      <c r="W692" s="1">
        <f t="shared" si="220"/>
        <v>3000</v>
      </c>
    </row>
    <row r="693" spans="1:23" x14ac:dyDescent="0.25">
      <c r="A693" s="2">
        <f t="shared" si="221"/>
        <v>68.100000000000406</v>
      </c>
      <c r="B693" s="7">
        <f t="shared" si="224"/>
        <v>14.138578525736829</v>
      </c>
      <c r="C693" s="7">
        <f t="shared" si="208"/>
        <v>1.9828386805879166</v>
      </c>
      <c r="D693" s="7">
        <f t="shared" si="209"/>
        <v>23.199323970944587</v>
      </c>
      <c r="E693" s="7">
        <f t="shared" si="210"/>
        <v>1</v>
      </c>
      <c r="G693" s="4">
        <f t="shared" si="211"/>
        <v>6810.00000000004</v>
      </c>
      <c r="H693" s="1">
        <f t="shared" si="222"/>
        <v>2.5815890850378946</v>
      </c>
      <c r="I693" s="1">
        <f t="shared" si="223"/>
        <v>1140.3843892178509</v>
      </c>
      <c r="J693" s="1">
        <f t="shared" si="212"/>
        <v>38.012812973928362</v>
      </c>
      <c r="K693" s="7">
        <f t="shared" si="213"/>
        <v>3.1243407923776738</v>
      </c>
      <c r="L693" s="4">
        <f t="shared" si="214"/>
        <v>3873.5831577361173</v>
      </c>
      <c r="M693" s="1">
        <f t="shared" si="215"/>
        <v>991.41934029395827</v>
      </c>
      <c r="N693" s="7">
        <f t="shared" si="216"/>
        <v>23.199323970944587</v>
      </c>
      <c r="O693" s="1">
        <f t="shared" si="217"/>
        <v>3000</v>
      </c>
      <c r="P693" s="2">
        <f t="shared" si="218"/>
        <v>3.8403452588165292</v>
      </c>
      <c r="Q693" s="2">
        <f t="shared" si="225"/>
        <v>1170.1005154006323</v>
      </c>
      <c r="S693" s="1">
        <f t="shared" si="206"/>
        <v>3000</v>
      </c>
      <c r="T693" s="1">
        <f t="shared" si="207"/>
        <v>3873.5831577361173</v>
      </c>
      <c r="V693" s="1">
        <f t="shared" si="219"/>
        <v>3873.5831577361173</v>
      </c>
      <c r="W693" s="1">
        <f t="shared" si="220"/>
        <v>3000</v>
      </c>
    </row>
    <row r="694" spans="1:23" x14ac:dyDescent="0.25">
      <c r="A694" s="2">
        <f t="shared" si="221"/>
        <v>68.200000000000401</v>
      </c>
      <c r="B694" s="7">
        <f t="shared" si="224"/>
        <v>14.034802346644023</v>
      </c>
      <c r="C694" s="7">
        <f t="shared" si="208"/>
        <v>1.9837232238779499</v>
      </c>
      <c r="D694" s="7">
        <f t="shared" si="209"/>
        <v>23.340151995380072</v>
      </c>
      <c r="E694" s="7">
        <f t="shared" si="210"/>
        <v>1</v>
      </c>
      <c r="G694" s="4">
        <f t="shared" si="211"/>
        <v>6820.00000000004</v>
      </c>
      <c r="H694" s="1">
        <f t="shared" si="222"/>
        <v>2.600677879067375</v>
      </c>
      <c r="I694" s="1">
        <f t="shared" si="223"/>
        <v>1142.9850670969183</v>
      </c>
      <c r="J694" s="1">
        <f t="shared" si="212"/>
        <v>38.099502236563943</v>
      </c>
      <c r="K694" s="7">
        <f t="shared" si="213"/>
        <v>3.1314659372518312</v>
      </c>
      <c r="L694" s="4">
        <f t="shared" si="214"/>
        <v>3845.1513278476782</v>
      </c>
      <c r="M694" s="1">
        <f t="shared" si="215"/>
        <v>991.86161193897487</v>
      </c>
      <c r="N694" s="7">
        <f t="shared" si="216"/>
        <v>23.340151995380072</v>
      </c>
      <c r="O694" s="1">
        <f t="shared" si="217"/>
        <v>3000</v>
      </c>
      <c r="P694" s="2">
        <f t="shared" si="218"/>
        <v>3.8138579941882877</v>
      </c>
      <c r="Q694" s="2">
        <f t="shared" si="225"/>
        <v>1170.7095536087384</v>
      </c>
      <c r="S694" s="1">
        <f t="shared" si="206"/>
        <v>3000</v>
      </c>
      <c r="T694" s="1">
        <f t="shared" si="207"/>
        <v>3845.1513278476782</v>
      </c>
      <c r="V694" s="1">
        <f t="shared" si="219"/>
        <v>3845.1513278476782</v>
      </c>
      <c r="W694" s="1">
        <f t="shared" si="220"/>
        <v>3000</v>
      </c>
    </row>
    <row r="695" spans="1:23" x14ac:dyDescent="0.25">
      <c r="A695" s="2">
        <f t="shared" si="221"/>
        <v>68.300000000000395</v>
      </c>
      <c r="B695" s="7">
        <f t="shared" si="224"/>
        <v>13.931787877459145</v>
      </c>
      <c r="C695" s="7">
        <f t="shared" si="208"/>
        <v>1.9846081617622784</v>
      </c>
      <c r="D695" s="7">
        <f t="shared" si="209"/>
        <v>23.481834895263294</v>
      </c>
      <c r="E695" s="7">
        <f t="shared" si="210"/>
        <v>1</v>
      </c>
      <c r="G695" s="4">
        <f t="shared" si="211"/>
        <v>6830.0000000000391</v>
      </c>
      <c r="H695" s="1">
        <f t="shared" si="222"/>
        <v>2.6199078195162331</v>
      </c>
      <c r="I695" s="1">
        <f t="shared" si="223"/>
        <v>1145.6049749164345</v>
      </c>
      <c r="J695" s="1">
        <f t="shared" si="212"/>
        <v>38.186832497214482</v>
      </c>
      <c r="K695" s="7">
        <f t="shared" si="213"/>
        <v>3.138643766894341</v>
      </c>
      <c r="L695" s="4">
        <f t="shared" si="214"/>
        <v>3816.9281856052457</v>
      </c>
      <c r="M695" s="1">
        <f t="shared" si="215"/>
        <v>992.30408088113916</v>
      </c>
      <c r="N695" s="7">
        <f t="shared" si="216"/>
        <v>23.481834895263294</v>
      </c>
      <c r="O695" s="1">
        <f t="shared" si="217"/>
        <v>3000</v>
      </c>
      <c r="P695" s="2">
        <f t="shared" si="218"/>
        <v>3.7875534150063275</v>
      </c>
      <c r="Q695" s="2">
        <f t="shared" si="225"/>
        <v>1171.3359479906162</v>
      </c>
      <c r="S695" s="1">
        <f t="shared" si="206"/>
        <v>3000</v>
      </c>
      <c r="T695" s="1">
        <f t="shared" si="207"/>
        <v>3816.9281856052453</v>
      </c>
      <c r="V695" s="1">
        <f t="shared" si="219"/>
        <v>3816.9281856052453</v>
      </c>
      <c r="W695" s="1">
        <f t="shared" si="220"/>
        <v>3000</v>
      </c>
    </row>
    <row r="696" spans="1:23" x14ac:dyDescent="0.25">
      <c r="A696" s="2">
        <f t="shared" si="221"/>
        <v>68.400000000000389</v>
      </c>
      <c r="B696" s="7">
        <f t="shared" si="224"/>
        <v>13.829529527284663</v>
      </c>
      <c r="C696" s="7">
        <f t="shared" si="208"/>
        <v>1.9854934944169309</v>
      </c>
      <c r="D696" s="7">
        <f t="shared" si="209"/>
        <v>23.624377859987693</v>
      </c>
      <c r="E696" s="7">
        <f t="shared" si="210"/>
        <v>1</v>
      </c>
      <c r="G696" s="4">
        <f t="shared" si="211"/>
        <v>6840.0000000000391</v>
      </c>
      <c r="H696" s="1">
        <f t="shared" si="222"/>
        <v>2.6392799500509501</v>
      </c>
      <c r="I696" s="1">
        <f t="shared" si="223"/>
        <v>1148.2442548664853</v>
      </c>
      <c r="J696" s="1">
        <f t="shared" si="212"/>
        <v>38.274808495549514</v>
      </c>
      <c r="K696" s="7">
        <f t="shared" si="213"/>
        <v>3.1458746708670833</v>
      </c>
      <c r="L696" s="4">
        <f t="shared" si="214"/>
        <v>3788.9121992560713</v>
      </c>
      <c r="M696" s="1">
        <f t="shared" si="215"/>
        <v>992.74674720846542</v>
      </c>
      <c r="N696" s="7">
        <f t="shared" si="216"/>
        <v>23.624377859987693</v>
      </c>
      <c r="O696" s="1">
        <f t="shared" si="217"/>
        <v>3000</v>
      </c>
      <c r="P696" s="2">
        <f t="shared" si="218"/>
        <v>3.7614302612699375</v>
      </c>
      <c r="Q696" s="2">
        <f t="shared" si="225"/>
        <v>1171.9798931320099</v>
      </c>
      <c r="S696" s="1">
        <f t="shared" si="206"/>
        <v>3000</v>
      </c>
      <c r="T696" s="1">
        <f t="shared" si="207"/>
        <v>3788.9121992560717</v>
      </c>
      <c r="V696" s="1">
        <f t="shared" si="219"/>
        <v>3788.9121992560717</v>
      </c>
      <c r="W696" s="1">
        <f t="shared" si="220"/>
        <v>3000</v>
      </c>
    </row>
    <row r="697" spans="1:23" x14ac:dyDescent="0.25">
      <c r="A697" s="2">
        <f t="shared" si="221"/>
        <v>68.500000000000384</v>
      </c>
      <c r="B697" s="7">
        <f t="shared" si="224"/>
        <v>13.72802174625984</v>
      </c>
      <c r="C697" s="7">
        <f t="shared" si="208"/>
        <v>1.9863792220180136</v>
      </c>
      <c r="D697" s="7">
        <f t="shared" si="209"/>
        <v>23.767786110448188</v>
      </c>
      <c r="E697" s="7">
        <f t="shared" si="210"/>
        <v>1</v>
      </c>
      <c r="G697" s="4">
        <f t="shared" si="211"/>
        <v>6850.0000000000391</v>
      </c>
      <c r="H697" s="1">
        <f t="shared" si="222"/>
        <v>2.658795322053181</v>
      </c>
      <c r="I697" s="1">
        <f t="shared" si="223"/>
        <v>1150.9030501885386</v>
      </c>
      <c r="J697" s="1">
        <f t="shared" si="212"/>
        <v>38.363435006284618</v>
      </c>
      <c r="K697" s="7">
        <f t="shared" si="213"/>
        <v>3.1531590416124344</v>
      </c>
      <c r="L697" s="4">
        <f t="shared" si="214"/>
        <v>3761.1018482903669</v>
      </c>
      <c r="M697" s="1">
        <f t="shared" si="215"/>
        <v>993.18961100900685</v>
      </c>
      <c r="N697" s="7">
        <f t="shared" si="216"/>
        <v>23.767786110448188</v>
      </c>
      <c r="O697" s="1">
        <f t="shared" si="217"/>
        <v>3000</v>
      </c>
      <c r="P697" s="2">
        <f t="shared" si="218"/>
        <v>3.7354872816687665</v>
      </c>
      <c r="Q697" s="2">
        <f t="shared" si="225"/>
        <v>1172.6415869187917</v>
      </c>
      <c r="S697" s="1">
        <f t="shared" si="206"/>
        <v>3000</v>
      </c>
      <c r="T697" s="1">
        <f t="shared" si="207"/>
        <v>3761.1018482903669</v>
      </c>
      <c r="V697" s="1">
        <f t="shared" si="219"/>
        <v>3761.1018482903669</v>
      </c>
      <c r="W697" s="1">
        <f t="shared" si="220"/>
        <v>3000</v>
      </c>
    </row>
    <row r="698" spans="1:23" x14ac:dyDescent="0.25">
      <c r="A698" s="2">
        <f t="shared" si="221"/>
        <v>68.600000000000378</v>
      </c>
      <c r="B698" s="7">
        <f t="shared" si="224"/>
        <v>13.627259025259528</v>
      </c>
      <c r="C698" s="7">
        <f t="shared" si="208"/>
        <v>1.9872653447417123</v>
      </c>
      <c r="D698" s="7">
        <f t="shared" si="209"/>
        <v>23.912064899232366</v>
      </c>
      <c r="E698" s="7">
        <f t="shared" si="210"/>
        <v>1</v>
      </c>
      <c r="G698" s="4">
        <f t="shared" si="211"/>
        <v>6860.0000000000382</v>
      </c>
      <c r="H698" s="1">
        <f t="shared" si="222"/>
        <v>2.6784549946794267</v>
      </c>
      <c r="I698" s="1">
        <f t="shared" si="223"/>
        <v>1153.581505183218</v>
      </c>
      <c r="J698" s="1">
        <f t="shared" si="212"/>
        <v>38.452716839440605</v>
      </c>
      <c r="K698" s="7">
        <f t="shared" si="213"/>
        <v>3.1604972744745701</v>
      </c>
      <c r="L698" s="4">
        <f t="shared" si="214"/>
        <v>3733.495623358775</v>
      </c>
      <c r="M698" s="1">
        <f t="shared" si="215"/>
        <v>993.6326723708562</v>
      </c>
      <c r="N698" s="7">
        <f t="shared" si="216"/>
        <v>23.912064899232366</v>
      </c>
      <c r="O698" s="1">
        <f t="shared" si="217"/>
        <v>3000</v>
      </c>
      <c r="P698" s="2">
        <f t="shared" si="218"/>
        <v>3.7097232335228751</v>
      </c>
      <c r="Q698" s="2">
        <f t="shared" si="225"/>
        <v>1173.3212306066951</v>
      </c>
      <c r="S698" s="1">
        <f t="shared" si="206"/>
        <v>3000</v>
      </c>
      <c r="T698" s="1">
        <f t="shared" si="207"/>
        <v>3733.495623358775</v>
      </c>
      <c r="V698" s="1">
        <f t="shared" si="219"/>
        <v>3733.495623358775</v>
      </c>
      <c r="W698" s="1">
        <f t="shared" si="220"/>
        <v>3000</v>
      </c>
    </row>
    <row r="699" spans="1:23" x14ac:dyDescent="0.25">
      <c r="A699" s="2">
        <f t="shared" si="221"/>
        <v>68.700000000000372</v>
      </c>
      <c r="B699" s="7">
        <f t="shared" si="224"/>
        <v>13.527235895595165</v>
      </c>
      <c r="C699" s="7">
        <f t="shared" si="208"/>
        <v>1.9881518627642911</v>
      </c>
      <c r="D699" s="7">
        <f t="shared" si="209"/>
        <v>24.057219510812839</v>
      </c>
      <c r="E699" s="7">
        <f t="shared" si="210"/>
        <v>1</v>
      </c>
      <c r="G699" s="4">
        <f t="shared" si="211"/>
        <v>6870.0000000000373</v>
      </c>
      <c r="H699" s="1">
        <f t="shared" si="222"/>
        <v>2.6982600349182988</v>
      </c>
      <c r="I699" s="1">
        <f t="shared" si="223"/>
        <v>1156.2797652181364</v>
      </c>
      <c r="J699" s="1">
        <f t="shared" si="212"/>
        <v>38.542658840604545</v>
      </c>
      <c r="K699" s="7">
        <f t="shared" si="213"/>
        <v>3.1678897677209217</v>
      </c>
      <c r="L699" s="4">
        <f t="shared" si="214"/>
        <v>3706.0920261904566</v>
      </c>
      <c r="M699" s="1">
        <f t="shared" si="215"/>
        <v>994.07593138214554</v>
      </c>
      <c r="N699" s="7">
        <f t="shared" si="216"/>
        <v>24.057219510812839</v>
      </c>
      <c r="O699" s="1">
        <f t="shared" si="217"/>
        <v>3000</v>
      </c>
      <c r="P699" s="2">
        <f t="shared" si="218"/>
        <v>3.6841368827232213</v>
      </c>
      <c r="Q699" s="2">
        <f t="shared" si="225"/>
        <v>1174.0190288928309</v>
      </c>
      <c r="S699" s="1">
        <f t="shared" si="206"/>
        <v>3000</v>
      </c>
      <c r="T699" s="1">
        <f t="shared" si="207"/>
        <v>3706.0920261904566</v>
      </c>
      <c r="V699" s="1">
        <f t="shared" si="219"/>
        <v>3706.0920261904566</v>
      </c>
      <c r="W699" s="1">
        <f t="shared" si="220"/>
        <v>3000</v>
      </c>
    </row>
    <row r="700" spans="1:23" x14ac:dyDescent="0.25">
      <c r="A700" s="2">
        <f t="shared" si="221"/>
        <v>68.800000000000367</v>
      </c>
      <c r="B700" s="7">
        <f t="shared" si="224"/>
        <v>13.42794692871801</v>
      </c>
      <c r="C700" s="7">
        <f t="shared" si="208"/>
        <v>1.989038776262092</v>
      </c>
      <c r="D700" s="7">
        <f t="shared" si="209"/>
        <v>24.203255261740825</v>
      </c>
      <c r="E700" s="7">
        <f t="shared" si="210"/>
        <v>1</v>
      </c>
      <c r="G700" s="4">
        <f t="shared" si="211"/>
        <v>6880.0000000000373</v>
      </c>
      <c r="H700" s="1">
        <f t="shared" si="222"/>
        <v>2.7182115176474504</v>
      </c>
      <c r="I700" s="1">
        <f t="shared" si="223"/>
        <v>1158.9979767357838</v>
      </c>
      <c r="J700" s="1">
        <f t="shared" si="212"/>
        <v>38.633265891192792</v>
      </c>
      <c r="K700" s="7">
        <f t="shared" si="213"/>
        <v>3.1753369225637913</v>
      </c>
      <c r="L700" s="4">
        <f t="shared" si="214"/>
        <v>3678.8895695117831</v>
      </c>
      <c r="M700" s="1">
        <f t="shared" si="215"/>
        <v>994.51938813104596</v>
      </c>
      <c r="N700" s="7">
        <f t="shared" si="216"/>
        <v>24.203255261740825</v>
      </c>
      <c r="O700" s="1">
        <f t="shared" si="217"/>
        <v>3000</v>
      </c>
      <c r="P700" s="2">
        <f t="shared" si="218"/>
        <v>3.6587270036725457</v>
      </c>
      <c r="Q700" s="2">
        <f t="shared" si="225"/>
        <v>1174.735189989038</v>
      </c>
      <c r="S700" s="1">
        <f t="shared" si="206"/>
        <v>3000</v>
      </c>
      <c r="T700" s="1">
        <f t="shared" si="207"/>
        <v>3678.8895695117831</v>
      </c>
      <c r="V700" s="1">
        <f t="shared" si="219"/>
        <v>3678.8895695117831</v>
      </c>
      <c r="W700" s="1">
        <f t="shared" si="220"/>
        <v>3000</v>
      </c>
    </row>
    <row r="701" spans="1:23" x14ac:dyDescent="0.25">
      <c r="A701" s="2">
        <f t="shared" si="221"/>
        <v>68.900000000000361</v>
      </c>
      <c r="B701" s="7">
        <f t="shared" si="224"/>
        <v>13.32938673592446</v>
      </c>
      <c r="C701" s="7">
        <f t="shared" si="208"/>
        <v>1.9899260854115368</v>
      </c>
      <c r="D701" s="7">
        <f t="shared" si="209"/>
        <v>24.3501775008409</v>
      </c>
      <c r="E701" s="7">
        <f t="shared" si="210"/>
        <v>1</v>
      </c>
      <c r="G701" s="4">
        <f t="shared" si="211"/>
        <v>6890.0000000000364</v>
      </c>
      <c r="H701" s="1">
        <f t="shared" si="222"/>
        <v>2.7383105256916549</v>
      </c>
      <c r="I701" s="1">
        <f t="shared" si="223"/>
        <v>1161.7362872614756</v>
      </c>
      <c r="J701" s="1">
        <f t="shared" si="212"/>
        <v>38.724542908715854</v>
      </c>
      <c r="K701" s="7">
        <f t="shared" si="213"/>
        <v>3.1828391431821248</v>
      </c>
      <c r="L701" s="4">
        <f t="shared" si="214"/>
        <v>3651.8867769656058</v>
      </c>
      <c r="M701" s="1">
        <f t="shared" si="215"/>
        <v>994.96304270576843</v>
      </c>
      <c r="N701" s="7">
        <f t="shared" si="216"/>
        <v>24.3501775008409</v>
      </c>
      <c r="O701" s="1">
        <f t="shared" si="217"/>
        <v>3000</v>
      </c>
      <c r="P701" s="2">
        <f t="shared" si="218"/>
        <v>3.6334923792266611</v>
      </c>
      <c r="Q701" s="2">
        <f t="shared" si="225"/>
        <v>1175.4699256971123</v>
      </c>
      <c r="S701" s="1">
        <f t="shared" si="206"/>
        <v>3000</v>
      </c>
      <c r="T701" s="1">
        <f t="shared" si="207"/>
        <v>3651.8867769656058</v>
      </c>
      <c r="V701" s="1">
        <f t="shared" si="219"/>
        <v>3651.8867769656058</v>
      </c>
      <c r="W701" s="1">
        <f t="shared" si="220"/>
        <v>3000</v>
      </c>
    </row>
    <row r="702" spans="1:23" x14ac:dyDescent="0.25">
      <c r="A702" s="2">
        <f t="shared" si="221"/>
        <v>69.000000000000355</v>
      </c>
      <c r="B702" s="7">
        <f t="shared" si="224"/>
        <v>13.231549968063634</v>
      </c>
      <c r="C702" s="7">
        <f t="shared" si="208"/>
        <v>1.9908137903891256</v>
      </c>
      <c r="D702" s="7">
        <f t="shared" si="209"/>
        <v>24.49799160940681</v>
      </c>
      <c r="E702" s="7">
        <f t="shared" si="210"/>
        <v>1</v>
      </c>
      <c r="G702" s="4">
        <f t="shared" si="211"/>
        <v>6900.0000000000346</v>
      </c>
      <c r="H702" s="1">
        <f t="shared" si="222"/>
        <v>2.7585581498835494</v>
      </c>
      <c r="I702" s="1">
        <f t="shared" si="223"/>
        <v>1164.4948454113592</v>
      </c>
      <c r="J702" s="1">
        <f t="shared" si="212"/>
        <v>38.816494847045306</v>
      </c>
      <c r="K702" s="7">
        <f t="shared" si="213"/>
        <v>3.1903968367434499</v>
      </c>
      <c r="L702" s="4">
        <f t="shared" si="214"/>
        <v>3625.0821830311329</v>
      </c>
      <c r="M702" s="1">
        <f t="shared" si="215"/>
        <v>995.40689519456282</v>
      </c>
      <c r="N702" s="7">
        <f t="shared" si="216"/>
        <v>24.49799160940681</v>
      </c>
      <c r="O702" s="1">
        <f t="shared" si="217"/>
        <v>3000</v>
      </c>
      <c r="P702" s="2">
        <f t="shared" si="218"/>
        <v>3.608431800636148</v>
      </c>
      <c r="Q702" s="2">
        <f t="shared" si="225"/>
        <v>1176.2234514859783</v>
      </c>
      <c r="S702" s="1">
        <f t="shared" si="206"/>
        <v>3000</v>
      </c>
      <c r="T702" s="1">
        <f t="shared" si="207"/>
        <v>3625.0821830311329</v>
      </c>
      <c r="V702" s="1">
        <f t="shared" si="219"/>
        <v>3625.0821830311329</v>
      </c>
      <c r="W702" s="1">
        <f t="shared" si="220"/>
        <v>3000</v>
      </c>
    </row>
    <row r="703" spans="1:23" x14ac:dyDescent="0.25">
      <c r="A703" s="2">
        <f t="shared" si="221"/>
        <v>69.10000000000035</v>
      </c>
      <c r="B703" s="7">
        <f t="shared" si="224"/>
        <v>13.134431315247038</v>
      </c>
      <c r="C703" s="7">
        <f t="shared" si="208"/>
        <v>1.9917018913714366</v>
      </c>
      <c r="D703" s="7">
        <f t="shared" si="209"/>
        <v>24.646703001398691</v>
      </c>
      <c r="E703" s="7">
        <f t="shared" si="210"/>
        <v>1</v>
      </c>
      <c r="G703" s="4">
        <f t="shared" si="211"/>
        <v>6910.0000000000346</v>
      </c>
      <c r="H703" s="1">
        <f t="shared" si="222"/>
        <v>2.7789554891218744</v>
      </c>
      <c r="I703" s="1">
        <f t="shared" si="223"/>
        <v>1167.2738009004811</v>
      </c>
      <c r="J703" s="1">
        <f t="shared" si="212"/>
        <v>38.909126696682705</v>
      </c>
      <c r="K703" s="7">
        <f t="shared" si="213"/>
        <v>3.1980104134259757</v>
      </c>
      <c r="L703" s="4">
        <f t="shared" si="214"/>
        <v>3598.4743329443941</v>
      </c>
      <c r="M703" s="1">
        <f t="shared" si="215"/>
        <v>995.85094568571833</v>
      </c>
      <c r="N703" s="7">
        <f t="shared" si="216"/>
        <v>24.646703001398691</v>
      </c>
      <c r="O703" s="1">
        <f t="shared" si="217"/>
        <v>3000</v>
      </c>
      <c r="P703" s="2">
        <f t="shared" si="218"/>
        <v>3.5835440674884596</v>
      </c>
      <c r="Q703" s="2">
        <f t="shared" si="225"/>
        <v>1176.9959865708731</v>
      </c>
      <c r="S703" s="1">
        <f t="shared" si="206"/>
        <v>3000</v>
      </c>
      <c r="T703" s="1">
        <f t="shared" si="207"/>
        <v>3598.4743329443941</v>
      </c>
      <c r="V703" s="1">
        <f t="shared" si="219"/>
        <v>3598.4743329443941</v>
      </c>
      <c r="W703" s="1">
        <f t="shared" si="220"/>
        <v>3000</v>
      </c>
    </row>
    <row r="704" spans="1:23" x14ac:dyDescent="0.25">
      <c r="A704" s="2">
        <f t="shared" si="221"/>
        <v>69.200000000000344</v>
      </c>
      <c r="B704" s="7">
        <f t="shared" si="224"/>
        <v>13.038025506560396</v>
      </c>
      <c r="C704" s="7">
        <f t="shared" si="208"/>
        <v>1.9925903885351279</v>
      </c>
      <c r="D704" s="7">
        <f t="shared" si="209"/>
        <v>24.796317123641316</v>
      </c>
      <c r="E704" s="7">
        <f t="shared" si="210"/>
        <v>1</v>
      </c>
      <c r="G704" s="4">
        <f t="shared" si="211"/>
        <v>6920.0000000000337</v>
      </c>
      <c r="H704" s="1">
        <f t="shared" si="222"/>
        <v>2.7995036504285737</v>
      </c>
      <c r="I704" s="1">
        <f t="shared" si="223"/>
        <v>1170.0733045509096</v>
      </c>
      <c r="J704" s="1">
        <f t="shared" si="212"/>
        <v>39.002443485030319</v>
      </c>
      <c r="K704" s="7">
        <f t="shared" si="213"/>
        <v>3.205680286440848</v>
      </c>
      <c r="L704" s="4">
        <f t="shared" si="214"/>
        <v>3572.0617826192861</v>
      </c>
      <c r="M704" s="1">
        <f t="shared" si="215"/>
        <v>996.29519426756394</v>
      </c>
      <c r="N704" s="7">
        <f t="shared" si="216"/>
        <v>24.796317123641316</v>
      </c>
      <c r="O704" s="1">
        <f t="shared" si="217"/>
        <v>3000</v>
      </c>
      <c r="P704" s="2">
        <f t="shared" si="218"/>
        <v>3.5588279876504223</v>
      </c>
      <c r="Q704" s="2">
        <f t="shared" si="225"/>
        <v>1177.7877539945823</v>
      </c>
      <c r="S704" s="1">
        <f t="shared" si="206"/>
        <v>3000</v>
      </c>
      <c r="T704" s="1">
        <f t="shared" si="207"/>
        <v>3572.0617826192861</v>
      </c>
      <c r="V704" s="1">
        <f t="shared" si="219"/>
        <v>3572.0617826192861</v>
      </c>
      <c r="W704" s="1">
        <f t="shared" si="220"/>
        <v>3000</v>
      </c>
    </row>
    <row r="705" spans="1:23" x14ac:dyDescent="0.25">
      <c r="A705" s="2">
        <f t="shared" si="221"/>
        <v>69.300000000000338</v>
      </c>
      <c r="B705" s="7">
        <f t="shared" si="224"/>
        <v>12.942327309777571</v>
      </c>
      <c r="C705" s="7">
        <f t="shared" si="208"/>
        <v>1.9934792820569349</v>
      </c>
      <c r="D705" s="7">
        <f t="shared" si="209"/>
        <v>24.946839456023572</v>
      </c>
      <c r="E705" s="7">
        <f t="shared" si="210"/>
        <v>1</v>
      </c>
      <c r="G705" s="4">
        <f t="shared" si="211"/>
        <v>6930.0000000000337</v>
      </c>
      <c r="H705" s="1">
        <f t="shared" si="222"/>
        <v>2.820203749013924</v>
      </c>
      <c r="I705" s="1">
        <f t="shared" si="223"/>
        <v>1172.8935082999235</v>
      </c>
      <c r="J705" s="1">
        <f t="shared" si="212"/>
        <v>39.096450276664115</v>
      </c>
      <c r="K705" s="7">
        <f t="shared" si="213"/>
        <v>3.213406872054585</v>
      </c>
      <c r="L705" s="4">
        <f t="shared" si="214"/>
        <v>3545.8430985691975</v>
      </c>
      <c r="M705" s="1">
        <f t="shared" si="215"/>
        <v>996.73964102846742</v>
      </c>
      <c r="N705" s="7">
        <f t="shared" si="216"/>
        <v>24.946839456023572</v>
      </c>
      <c r="O705" s="1">
        <f t="shared" si="217"/>
        <v>3000</v>
      </c>
      <c r="P705" s="2">
        <f t="shared" si="218"/>
        <v>3.5342823772111305</v>
      </c>
      <c r="Q705" s="2">
        <f t="shared" si="225"/>
        <v>1178.598980710804</v>
      </c>
      <c r="S705" s="1">
        <f t="shared" si="206"/>
        <v>3000</v>
      </c>
      <c r="T705" s="1">
        <f t="shared" si="207"/>
        <v>3545.8430985691975</v>
      </c>
      <c r="V705" s="1">
        <f t="shared" si="219"/>
        <v>3545.8430985691975</v>
      </c>
      <c r="W705" s="1">
        <f t="shared" si="220"/>
        <v>3000</v>
      </c>
    </row>
    <row r="706" spans="1:23" x14ac:dyDescent="0.25">
      <c r="A706" s="2">
        <f t="shared" si="221"/>
        <v>69.400000000000333</v>
      </c>
      <c r="B706" s="7">
        <f t="shared" si="224"/>
        <v>12.847331531076588</v>
      </c>
      <c r="C706" s="7">
        <f t="shared" si="208"/>
        <v>1.9943685721136739</v>
      </c>
      <c r="D706" s="7">
        <f t="shared" si="209"/>
        <v>25.098275511699207</v>
      </c>
      <c r="E706" s="7">
        <f t="shared" si="210"/>
        <v>1</v>
      </c>
      <c r="G706" s="4">
        <f t="shared" si="211"/>
        <v>6940.0000000000337</v>
      </c>
      <c r="H706" s="1">
        <f t="shared" si="222"/>
        <v>2.8410569083322592</v>
      </c>
      <c r="I706" s="1">
        <f t="shared" si="223"/>
        <v>1175.7345652082558</v>
      </c>
      <c r="J706" s="1">
        <f t="shared" si="212"/>
        <v>39.191152173608529</v>
      </c>
      <c r="K706" s="7">
        <f t="shared" si="213"/>
        <v>3.2211905896116599</v>
      </c>
      <c r="L706" s="4">
        <f t="shared" si="214"/>
        <v>3519.816857829202</v>
      </c>
      <c r="M706" s="1">
        <f t="shared" si="215"/>
        <v>997.18428605683698</v>
      </c>
      <c r="N706" s="7">
        <f t="shared" si="216"/>
        <v>25.098275511699207</v>
      </c>
      <c r="O706" s="1">
        <f t="shared" si="217"/>
        <v>3000</v>
      </c>
      <c r="P706" s="2">
        <f t="shared" si="218"/>
        <v>3.5099060604252323</v>
      </c>
      <c r="Q706" s="2">
        <f t="shared" si="225"/>
        <v>1179.4298976697007</v>
      </c>
      <c r="S706" s="1">
        <f t="shared" si="206"/>
        <v>3000</v>
      </c>
      <c r="T706" s="1">
        <f t="shared" si="207"/>
        <v>3519.8168578292025</v>
      </c>
      <c r="V706" s="1">
        <f t="shared" si="219"/>
        <v>3519.8168578292025</v>
      </c>
      <c r="W706" s="1">
        <f t="shared" si="220"/>
        <v>3000</v>
      </c>
    </row>
    <row r="707" spans="1:23" x14ac:dyDescent="0.25">
      <c r="A707" s="2">
        <f t="shared" si="221"/>
        <v>69.500000000000327</v>
      </c>
      <c r="B707" s="7">
        <f t="shared" si="224"/>
        <v>12.753033014757799</v>
      </c>
      <c r="C707" s="7">
        <f t="shared" si="208"/>
        <v>1.9952582588822381</v>
      </c>
      <c r="D707" s="7">
        <f t="shared" si="209"/>
        <v>25.250630837288757</v>
      </c>
      <c r="E707" s="7">
        <f t="shared" si="210"/>
        <v>1</v>
      </c>
      <c r="G707" s="4">
        <f t="shared" si="211"/>
        <v>6950.0000000000327</v>
      </c>
      <c r="H707" s="1">
        <f t="shared" si="222"/>
        <v>2.8620642601457167</v>
      </c>
      <c r="I707" s="1">
        <f t="shared" si="223"/>
        <v>1178.5966294684015</v>
      </c>
      <c r="J707" s="1">
        <f t="shared" si="212"/>
        <v>39.28655431561338</v>
      </c>
      <c r="K707" s="7">
        <f t="shared" si="213"/>
        <v>3.2290318615572642</v>
      </c>
      <c r="L707" s="4">
        <f t="shared" si="214"/>
        <v>3493.9816478788493</v>
      </c>
      <c r="M707" s="1">
        <f t="shared" si="215"/>
        <v>997.62912944111906</v>
      </c>
      <c r="N707" s="7">
        <f t="shared" si="216"/>
        <v>25.250630837288757</v>
      </c>
      <c r="O707" s="1">
        <f t="shared" si="217"/>
        <v>3000</v>
      </c>
      <c r="P707" s="2">
        <f t="shared" si="218"/>
        <v>3.4856978696566228</v>
      </c>
      <c r="Q707" s="2">
        <f t="shared" si="225"/>
        <v>1180.2807399057203</v>
      </c>
      <c r="S707" s="1">
        <f t="shared" si="206"/>
        <v>3000</v>
      </c>
      <c r="T707" s="1">
        <f t="shared" si="207"/>
        <v>3493.9816478788489</v>
      </c>
      <c r="V707" s="1">
        <f t="shared" si="219"/>
        <v>3493.9816478788489</v>
      </c>
      <c r="W707" s="1">
        <f t="shared" si="220"/>
        <v>3000</v>
      </c>
    </row>
    <row r="708" spans="1:23" x14ac:dyDescent="0.25">
      <c r="A708" s="2">
        <f t="shared" si="221"/>
        <v>69.600000000000321</v>
      </c>
      <c r="B708" s="7">
        <f t="shared" si="224"/>
        <v>12.659426642963997</v>
      </c>
      <c r="C708" s="7">
        <f t="shared" si="208"/>
        <v>1.9961483425396007</v>
      </c>
      <c r="D708" s="7">
        <f t="shared" si="209"/>
        <v>25.403911013082613</v>
      </c>
      <c r="E708" s="7">
        <f t="shared" si="210"/>
        <v>1</v>
      </c>
      <c r="G708" s="4">
        <f t="shared" si="211"/>
        <v>6960.0000000000318</v>
      </c>
      <c r="H708" s="1">
        <f t="shared" si="222"/>
        <v>2.8832269445854459</v>
      </c>
      <c r="I708" s="1">
        <f t="shared" si="223"/>
        <v>1181.4798564129869</v>
      </c>
      <c r="J708" s="1">
        <f t="shared" si="212"/>
        <v>39.382661880432899</v>
      </c>
      <c r="K708" s="7">
        <f t="shared" si="213"/>
        <v>3.2369311134602383</v>
      </c>
      <c r="L708" s="4">
        <f t="shared" si="214"/>
        <v>3468.3360665654791</v>
      </c>
      <c r="M708" s="1">
        <f t="shared" si="215"/>
        <v>998.07417126980033</v>
      </c>
      <c r="N708" s="7">
        <f t="shared" si="216"/>
        <v>25.403911013082613</v>
      </c>
      <c r="O708" s="1">
        <f t="shared" si="217"/>
        <v>3000</v>
      </c>
      <c r="P708" s="2">
        <f t="shared" si="218"/>
        <v>3.4616566453224999</v>
      </c>
      <c r="Q708" s="2">
        <f t="shared" si="225"/>
        <v>1181.1517466277214</v>
      </c>
      <c r="S708" s="1">
        <f t="shared" si="206"/>
        <v>3000</v>
      </c>
      <c r="T708" s="1">
        <f t="shared" si="207"/>
        <v>3468.3360665654791</v>
      </c>
      <c r="V708" s="1">
        <f t="shared" si="219"/>
        <v>3468.3360665654791</v>
      </c>
      <c r="W708" s="1">
        <f t="shared" si="220"/>
        <v>3000</v>
      </c>
    </row>
    <row r="709" spans="1:23" x14ac:dyDescent="0.25">
      <c r="A709" s="2">
        <f t="shared" si="221"/>
        <v>69.700000000000315</v>
      </c>
      <c r="B709" s="7">
        <f t="shared" si="224"/>
        <v>12.566507335402699</v>
      </c>
      <c r="C709" s="7">
        <f t="shared" si="208"/>
        <v>1.9970388232628138</v>
      </c>
      <c r="D709" s="7">
        <f t="shared" si="209"/>
        <v>25.558121653245578</v>
      </c>
      <c r="E709" s="7">
        <f t="shared" si="210"/>
        <v>1</v>
      </c>
      <c r="G709" s="4">
        <f t="shared" si="211"/>
        <v>6970.0000000000318</v>
      </c>
      <c r="H709" s="1">
        <f t="shared" si="222"/>
        <v>2.9045461102124395</v>
      </c>
      <c r="I709" s="1">
        <f t="shared" si="223"/>
        <v>1184.3844025231995</v>
      </c>
      <c r="J709" s="1">
        <f t="shared" si="212"/>
        <v>39.479480084106648</v>
      </c>
      <c r="K709" s="7">
        <f t="shared" si="213"/>
        <v>3.2448887740361627</v>
      </c>
      <c r="L709" s="4">
        <f t="shared" si="214"/>
        <v>3442.878722028137</v>
      </c>
      <c r="M709" s="1">
        <f t="shared" si="215"/>
        <v>998.51941163140691</v>
      </c>
      <c r="N709" s="7">
        <f t="shared" si="216"/>
        <v>25.558121653245578</v>
      </c>
      <c r="O709" s="1">
        <f t="shared" si="217"/>
        <v>3000</v>
      </c>
      <c r="P709" s="2">
        <f t="shared" si="218"/>
        <v>3.4377812358378255</v>
      </c>
      <c r="Q709" s="2">
        <f t="shared" si="225"/>
        <v>1182.0431613115284</v>
      </c>
      <c r="S709" s="1">
        <f t="shared" si="206"/>
        <v>3000</v>
      </c>
      <c r="T709" s="1">
        <f t="shared" si="207"/>
        <v>3442.878722028137</v>
      </c>
      <c r="V709" s="1">
        <f t="shared" si="219"/>
        <v>3442.878722028137</v>
      </c>
      <c r="W709" s="1">
        <f t="shared" si="220"/>
        <v>3000</v>
      </c>
    </row>
    <row r="710" spans="1:23" x14ac:dyDescent="0.25">
      <c r="A710" s="2">
        <f t="shared" si="221"/>
        <v>69.80000000000031</v>
      </c>
      <c r="B710" s="7">
        <f t="shared" si="224"/>
        <v>12.474270049070418</v>
      </c>
      <c r="C710" s="7">
        <f t="shared" si="208"/>
        <v>1.997929701229008</v>
      </c>
      <c r="D710" s="7">
        <f t="shared" si="209"/>
        <v>25.713268406022348</v>
      </c>
      <c r="E710" s="7">
        <f t="shared" si="210"/>
        <v>1</v>
      </c>
      <c r="G710" s="4">
        <f t="shared" si="211"/>
        <v>6980.0000000000309</v>
      </c>
      <c r="H710" s="1">
        <f t="shared" si="222"/>
        <v>2.9260229140795824</v>
      </c>
      <c r="I710" s="1">
        <f t="shared" si="223"/>
        <v>1187.310425437279</v>
      </c>
      <c r="J710" s="1">
        <f t="shared" si="212"/>
        <v>39.577014181242632</v>
      </c>
      <c r="K710" s="7">
        <f t="shared" si="213"/>
        <v>3.2529052751706273</v>
      </c>
      <c r="L710" s="4">
        <f t="shared" si="214"/>
        <v>3417.6082326220326</v>
      </c>
      <c r="M710" s="1">
        <f t="shared" si="215"/>
        <v>998.96485061450403</v>
      </c>
      <c r="N710" s="7">
        <f t="shared" si="216"/>
        <v>25.713268406022348</v>
      </c>
      <c r="O710" s="1">
        <f t="shared" si="217"/>
        <v>3000</v>
      </c>
      <c r="P710" s="2">
        <f t="shared" si="218"/>
        <v>3.4140704975601679</v>
      </c>
      <c r="Q710" s="2">
        <f t="shared" si="225"/>
        <v>1182.9552317949356</v>
      </c>
      <c r="S710" s="1">
        <f t="shared" si="206"/>
        <v>3000</v>
      </c>
      <c r="T710" s="1">
        <f t="shared" si="207"/>
        <v>3417.6082326220326</v>
      </c>
      <c r="V710" s="1">
        <f t="shared" si="219"/>
        <v>3417.6082326220326</v>
      </c>
      <c r="W710" s="1">
        <f t="shared" si="220"/>
        <v>3000</v>
      </c>
    </row>
    <row r="711" spans="1:23" x14ac:dyDescent="0.25">
      <c r="A711" s="2">
        <f t="shared" si="221"/>
        <v>69.900000000000304</v>
      </c>
      <c r="B711" s="7">
        <f t="shared" si="224"/>
        <v>12.382709777978958</v>
      </c>
      <c r="C711" s="7">
        <f t="shared" si="208"/>
        <v>1.998820976615393</v>
      </c>
      <c r="D711" s="7">
        <f t="shared" si="209"/>
        <v>25.869356953944465</v>
      </c>
      <c r="E711" s="7">
        <f t="shared" si="210"/>
        <v>1</v>
      </c>
      <c r="G711" s="4">
        <f t="shared" si="211"/>
        <v>6990.00000000003</v>
      </c>
      <c r="H711" s="1">
        <f t="shared" si="222"/>
        <v>2.9476585217968356</v>
      </c>
      <c r="I711" s="1">
        <f t="shared" si="223"/>
        <v>1190.258083959076</v>
      </c>
      <c r="J711" s="1">
        <f t="shared" si="212"/>
        <v>39.675269465302534</v>
      </c>
      <c r="K711" s="7">
        <f t="shared" si="213"/>
        <v>3.2609810519426738</v>
      </c>
      <c r="L711" s="4">
        <f t="shared" si="214"/>
        <v>3392.5232268435502</v>
      </c>
      <c r="M711" s="1">
        <f t="shared" si="215"/>
        <v>999.41048830769648</v>
      </c>
      <c r="N711" s="7">
        <f t="shared" si="216"/>
        <v>25.869356953944465</v>
      </c>
      <c r="O711" s="1">
        <f t="shared" si="217"/>
        <v>3000</v>
      </c>
      <c r="P711" s="2">
        <f t="shared" si="218"/>
        <v>3.3905232947349146</v>
      </c>
      <c r="Q711" s="2">
        <f t="shared" si="225"/>
        <v>1183.8882103752792</v>
      </c>
      <c r="S711" s="1">
        <f t="shared" si="206"/>
        <v>3000</v>
      </c>
      <c r="T711" s="1">
        <f t="shared" si="207"/>
        <v>3392.5232268435502</v>
      </c>
      <c r="V711" s="1">
        <f t="shared" si="219"/>
        <v>3392.5232268435502</v>
      </c>
      <c r="W711" s="1">
        <f t="shared" si="220"/>
        <v>3000</v>
      </c>
    </row>
    <row r="712" spans="1:23" x14ac:dyDescent="0.25">
      <c r="A712" s="2">
        <f t="shared" si="221"/>
        <v>70.000000000000298</v>
      </c>
      <c r="B712" s="7">
        <f t="shared" si="224"/>
        <v>12.291821552883723</v>
      </c>
      <c r="C712" s="7">
        <f t="shared" si="208"/>
        <v>1.9997126495992583</v>
      </c>
      <c r="D712" s="7">
        <f t="shared" si="209"/>
        <v>26.026393014038423</v>
      </c>
      <c r="E712" s="7">
        <f t="shared" si="210"/>
        <v>1</v>
      </c>
      <c r="G712" s="4">
        <f t="shared" si="211"/>
        <v>7000.0000000000291</v>
      </c>
      <c r="H712" s="1">
        <f t="shared" si="222"/>
        <v>2.9694541075918561</v>
      </c>
      <c r="I712" s="1">
        <f t="shared" si="223"/>
        <v>1193.2275380666679</v>
      </c>
      <c r="J712" s="1">
        <f t="shared" si="212"/>
        <v>39.774251268888932</v>
      </c>
      <c r="K712" s="7">
        <f t="shared" si="213"/>
        <v>3.2691165426484052</v>
      </c>
      <c r="L712" s="4">
        <f t="shared" si="214"/>
        <v>3367.6223432558145</v>
      </c>
      <c r="M712" s="1">
        <f t="shared" si="215"/>
        <v>999.85632479962919</v>
      </c>
      <c r="N712" s="7">
        <f t="shared" si="216"/>
        <v>26.026393014038423</v>
      </c>
      <c r="O712" s="1">
        <f t="shared" si="217"/>
        <v>3000</v>
      </c>
      <c r="P712" s="2">
        <f t="shared" si="218"/>
        <v>3.3671384994408742</v>
      </c>
      <c r="Q712" s="2">
        <f t="shared" si="225"/>
        <v>1184.8423539096336</v>
      </c>
      <c r="S712" s="1">
        <f t="shared" si="206"/>
        <v>3000</v>
      </c>
      <c r="T712" s="1">
        <f t="shared" si="207"/>
        <v>3367.6223432558145</v>
      </c>
      <c r="V712" s="1">
        <f t="shared" si="219"/>
        <v>3367.6223432558145</v>
      </c>
      <c r="W712" s="1">
        <f t="shared" si="220"/>
        <v>3000</v>
      </c>
    </row>
    <row r="713" spans="1:23" x14ac:dyDescent="0.25">
      <c r="A713" s="2">
        <f t="shared" si="221"/>
        <v>70.100000000000293</v>
      </c>
      <c r="B713" s="7">
        <f t="shared" si="224"/>
        <v>12.201600441014023</v>
      </c>
      <c r="C713" s="7">
        <f t="shared" si="208"/>
        <v>2.0006047203579715</v>
      </c>
      <c r="D713" s="7">
        <f t="shared" si="209"/>
        <v>26.184382338035082</v>
      </c>
      <c r="E713" s="7">
        <f t="shared" si="210"/>
        <v>1</v>
      </c>
      <c r="G713" s="4">
        <f t="shared" si="211"/>
        <v>7010.00000000003</v>
      </c>
      <c r="H713" s="1">
        <f t="shared" si="222"/>
        <v>2.9914108543755891</v>
      </c>
      <c r="I713" s="1">
        <f t="shared" si="223"/>
        <v>1196.2189489210434</v>
      </c>
      <c r="J713" s="1">
        <f t="shared" si="212"/>
        <v>39.873964964034784</v>
      </c>
      <c r="K713" s="7">
        <f t="shared" si="213"/>
        <v>3.2773121888247765</v>
      </c>
      <c r="L713" s="4">
        <f t="shared" si="214"/>
        <v>3342.9042304148006</v>
      </c>
      <c r="M713" s="1">
        <f t="shared" si="215"/>
        <v>1000.3023601789857</v>
      </c>
      <c r="N713" s="7">
        <f t="shared" si="216"/>
        <v>26.184382338035082</v>
      </c>
      <c r="O713" s="1">
        <f t="shared" si="217"/>
        <v>3000</v>
      </c>
      <c r="P713" s="2">
        <f t="shared" si="218"/>
        <v>3.3439149915362409</v>
      </c>
      <c r="Q713" s="2">
        <f t="shared" si="225"/>
        <v>1185.8179239177286</v>
      </c>
      <c r="S713" s="1">
        <f t="shared" si="206"/>
        <v>3000</v>
      </c>
      <c r="T713" s="1">
        <f t="shared" si="207"/>
        <v>3342.9042304148006</v>
      </c>
      <c r="V713" s="1">
        <f t="shared" si="219"/>
        <v>3342.9042304148006</v>
      </c>
      <c r="W713" s="1">
        <f t="shared" si="220"/>
        <v>3000</v>
      </c>
    </row>
    <row r="714" spans="1:23" x14ac:dyDescent="0.25">
      <c r="A714" s="2">
        <f t="shared" si="221"/>
        <v>70.200000000000287</v>
      </c>
      <c r="B714" s="7">
        <f t="shared" si="224"/>
        <v>12.112041545805386</v>
      </c>
      <c r="C714" s="7">
        <f t="shared" si="208"/>
        <v>2.0014971890689797</v>
      </c>
      <c r="D714" s="7">
        <f t="shared" si="209"/>
        <v>26.343330712580272</v>
      </c>
      <c r="E714" s="7">
        <f t="shared" si="210"/>
        <v>1</v>
      </c>
      <c r="G714" s="4">
        <f t="shared" si="211"/>
        <v>7020.0000000000282</v>
      </c>
      <c r="H714" s="1">
        <f t="shared" si="222"/>
        <v>3.013529953803201</v>
      </c>
      <c r="I714" s="1">
        <f t="shared" si="223"/>
        <v>1199.2324788748467</v>
      </c>
      <c r="J714" s="1">
        <f t="shared" si="212"/>
        <v>39.974415962494888</v>
      </c>
      <c r="K714" s="7">
        <f t="shared" si="213"/>
        <v>3.2855684352735528</v>
      </c>
      <c r="L714" s="4">
        <f t="shared" si="214"/>
        <v>3318.3675467959965</v>
      </c>
      <c r="M714" s="1">
        <f t="shared" si="215"/>
        <v>1000.7485945344898</v>
      </c>
      <c r="N714" s="7">
        <f t="shared" si="216"/>
        <v>26.343330712580272</v>
      </c>
      <c r="O714" s="1">
        <f t="shared" si="217"/>
        <v>3000</v>
      </c>
      <c r="P714" s="2">
        <f t="shared" si="218"/>
        <v>3.3208516586049561</v>
      </c>
      <c r="Q714" s="2">
        <f t="shared" si="225"/>
        <v>1186.8151866876647</v>
      </c>
      <c r="S714" s="1">
        <f t="shared" si="206"/>
        <v>3000</v>
      </c>
      <c r="T714" s="1">
        <f t="shared" si="207"/>
        <v>3318.3675467959965</v>
      </c>
      <c r="V714" s="1">
        <f t="shared" si="219"/>
        <v>3318.3675467959965</v>
      </c>
      <c r="W714" s="1">
        <f t="shared" si="220"/>
        <v>3000</v>
      </c>
    </row>
    <row r="715" spans="1:23" x14ac:dyDescent="0.25">
      <c r="A715" s="2">
        <f t="shared" si="221"/>
        <v>70.300000000000281</v>
      </c>
      <c r="B715" s="7">
        <f t="shared" si="224"/>
        <v>12.023140006633753</v>
      </c>
      <c r="C715" s="7">
        <f t="shared" si="208"/>
        <v>2.0023900559098093</v>
      </c>
      <c r="D715" s="7">
        <f t="shared" si="209"/>
        <v>26.503243959446845</v>
      </c>
      <c r="E715" s="7">
        <f t="shared" si="210"/>
        <v>1</v>
      </c>
      <c r="G715" s="4">
        <f t="shared" si="211"/>
        <v>7030.0000000000291</v>
      </c>
      <c r="H715" s="1">
        <f t="shared" si="222"/>
        <v>3.0358126063461364</v>
      </c>
      <c r="I715" s="1">
        <f t="shared" si="223"/>
        <v>1202.2682914811928</v>
      </c>
      <c r="J715" s="1">
        <f t="shared" si="212"/>
        <v>40.075609716039757</v>
      </c>
      <c r="K715" s="7">
        <f t="shared" si="213"/>
        <v>3.2938857300854596</v>
      </c>
      <c r="L715" s="4">
        <f t="shared" si="214"/>
        <v>3294.0109607215763</v>
      </c>
      <c r="M715" s="1">
        <f t="shared" si="215"/>
        <v>1001.1950279549046</v>
      </c>
      <c r="N715" s="7">
        <f t="shared" si="216"/>
        <v>26.503243959446845</v>
      </c>
      <c r="O715" s="1">
        <f t="shared" si="217"/>
        <v>3000</v>
      </c>
      <c r="P715" s="2">
        <f t="shared" si="218"/>
        <v>3.2979473959034005</v>
      </c>
      <c r="Q715" s="2">
        <f t="shared" si="225"/>
        <v>1187.8344133845223</v>
      </c>
      <c r="S715" s="1">
        <f t="shared" si="206"/>
        <v>3000</v>
      </c>
      <c r="T715" s="1">
        <f t="shared" si="207"/>
        <v>3294.0109607215763</v>
      </c>
      <c r="V715" s="1">
        <f t="shared" si="219"/>
        <v>3294.0109607215763</v>
      </c>
      <c r="W715" s="1">
        <f t="shared" si="220"/>
        <v>3000</v>
      </c>
    </row>
    <row r="716" spans="1:23" x14ac:dyDescent="0.25">
      <c r="A716" s="2">
        <f t="shared" si="221"/>
        <v>70.400000000000276</v>
      </c>
      <c r="B716" s="7">
        <f t="shared" si="224"/>
        <v>11.93489099855171</v>
      </c>
      <c r="C716" s="7">
        <f t="shared" si="208"/>
        <v>2.0032833210580661</v>
      </c>
      <c r="D716" s="7">
        <f t="shared" si="209"/>
        <v>26.664127935747846</v>
      </c>
      <c r="E716" s="7">
        <f t="shared" si="210"/>
        <v>1</v>
      </c>
      <c r="G716" s="4">
        <f t="shared" si="211"/>
        <v>7040.0000000000273</v>
      </c>
      <c r="H716" s="1">
        <f t="shared" si="222"/>
        <v>3.0582600213460358</v>
      </c>
      <c r="I716" s="1">
        <f t="shared" si="223"/>
        <v>1205.3265515025389</v>
      </c>
      <c r="J716" s="1">
        <f t="shared" si="212"/>
        <v>40.177551716751296</v>
      </c>
      <c r="K716" s="7">
        <f t="shared" si="213"/>
        <v>3.3022645246644902</v>
      </c>
      <c r="L716" s="4">
        <f t="shared" si="214"/>
        <v>3269.8331502881397</v>
      </c>
      <c r="M716" s="1">
        <f t="shared" si="215"/>
        <v>1001.6416605290331</v>
      </c>
      <c r="N716" s="7">
        <f t="shared" si="216"/>
        <v>26.664127935747846</v>
      </c>
      <c r="O716" s="1">
        <f t="shared" si="217"/>
        <v>3000</v>
      </c>
      <c r="P716" s="2">
        <f t="shared" si="218"/>
        <v>3.2752011063074917</v>
      </c>
      <c r="Q716" s="2">
        <f t="shared" si="225"/>
        <v>1188.8758801619558</v>
      </c>
      <c r="S716" s="1">
        <f t="shared" ref="S716:S779" si="226">E716*$H$3</f>
        <v>3000</v>
      </c>
      <c r="T716" s="1">
        <f t="shared" ref="T716:T779" si="227">B716/100*$H$2/365*1000000</f>
        <v>3269.8331502881397</v>
      </c>
      <c r="V716" s="1">
        <f t="shared" si="219"/>
        <v>3269.8331502881397</v>
      </c>
      <c r="W716" s="1">
        <f t="shared" si="220"/>
        <v>3000</v>
      </c>
    </row>
    <row r="717" spans="1:23" x14ac:dyDescent="0.25">
      <c r="A717" s="2">
        <f t="shared" si="221"/>
        <v>70.50000000000027</v>
      </c>
      <c r="B717" s="7">
        <f t="shared" si="224"/>
        <v>11.847289732026631</v>
      </c>
      <c r="C717" s="7">
        <f t="shared" ref="C717:C780" si="228">IF($C$5&lt;$C$7,IF(A717&lt;=$C$2,$C$3*EXP(A717*$C$4),IF(A717&lt;=$C$7,$C$6,IF($C$8*EXP(A717*$C$9)&gt;$C$6,$C$6,$C$8*EXP(A717*$C$9)))),IF(A717&lt;=$C$2,$C$3*EXP(A717*$C$4),IF(A717&lt;=$C$5,$C$6,IF($C$8*EXP(A717*$C$9)&gt;$C$6,$C$6,$C$8*EXP(A717*$C$9)))))</f>
        <v>2.0041769846914348</v>
      </c>
      <c r="D717" s="7">
        <f t="shared" ref="D717:D780" si="229">IF(IF($D$5&lt;$D$7,IF(A717&lt;=$D$2,$D$3*EXP(A717*$D$4),IF(A717&lt;=$D$7,$D$6,IF($D$8*EXP(A717*$D$9)&gt;$D$6,$D$6,$D$8*EXP(A717*$D$9)))),IF(A717&lt;=$D$2,$D$3*EXP(A717*$D$4),IF(A717&lt;=$D$5,$D$6,IF($D$8*EXP(A717*$D$9)&gt;$D$6,$D$6,$D$8*EXP(A717*$D$9)))))&lt;=100,IF($D$5&lt;$D$7,IF(A717&lt;=$D$2,$D$3*EXP(A717*$D$4),IF(A717&lt;=$D$7,$D$6,IF($D$8*EXP(A717*$D$9)&gt;$D$6,$D$6,$D$8*EXP(A717*$D$9)))),IF(A717&lt;=$D$2,$D$3*EXP(A717*$D$4),IF(A717&lt;=$D$5,$D$6,IF($D$8*EXP(A717*$D$9)&gt;$D$6,$D$6,$D$8*EXP(A717*$D$9))))),100)</f>
        <v>26.82598853415103</v>
      </c>
      <c r="E717" s="7">
        <f t="shared" ref="E717:E780" si="230">IF($E$5&lt;$E$7,IF(A717&lt;=$E$2,$E$3*EXP(A717*$E$4),IF(A717&lt;=$E$7,$E$6,IF($E$8*EXP(A717*$E$9)&gt;$E$6,$E$6,$E$8*EXP(A717*$E$9)))),IF(A717&lt;=$E$2,$E$3*EXP(A717*$E$4),IF(A717&lt;=$E$5,$E$6,IF($E$8*EXP(A717*$E$9)&gt;$E$6,$E$6,$E$8*EXP(A717*$E$9)))))</f>
        <v>1</v>
      </c>
      <c r="G717" s="4">
        <f t="shared" ref="G717:G780" si="231">A717/100*$H$2*1000</f>
        <v>7050.0000000000273</v>
      </c>
      <c r="H717" s="1">
        <f t="shared" si="222"/>
        <v>3.0808734170930254</v>
      </c>
      <c r="I717" s="1">
        <f t="shared" si="223"/>
        <v>1208.4074249196319</v>
      </c>
      <c r="J717" s="1">
        <f t="shared" ref="J717:J780" si="232">I717/30</f>
        <v>40.280247497321064</v>
      </c>
      <c r="K717" s="7">
        <f t="shared" ref="K717:K780" si="233">I717/365</f>
        <v>3.3107052737524163</v>
      </c>
      <c r="L717" s="4">
        <f t="shared" ref="L717:L780" si="234">IF(A717&gt;$B$2,IF(AND(B717/100*$H$2/365*1000000&gt;=$H$5,O717&gt;=$H$6,M717&lt;=$L$4,N717&lt;=$L$5),B717/100*$H$2/365*1000000*$L$6/100,#N/A),B717/100*$H$2/365*1000000*$L$6/100)</f>
        <v>3245.8328032949676</v>
      </c>
      <c r="M717" s="1">
        <f t="shared" ref="M717:M780" si="235">C717*$H$4</f>
        <v>1002.0884923457174</v>
      </c>
      <c r="N717" s="7">
        <f t="shared" ref="N717:N780" si="236">D717</f>
        <v>26.82598853415103</v>
      </c>
      <c r="O717" s="1">
        <f t="shared" ref="O717:O780" si="237">E717*$H$3</f>
        <v>3000</v>
      </c>
      <c r="P717" s="2">
        <f t="shared" ref="P717:P780" si="238">L717*M717/1000000</f>
        <v>3.252611700260128</v>
      </c>
      <c r="Q717" s="2">
        <f t="shared" si="225"/>
        <v>1189.9398682768647</v>
      </c>
      <c r="S717" s="1">
        <f t="shared" si="226"/>
        <v>3000</v>
      </c>
      <c r="T717" s="1">
        <f t="shared" si="227"/>
        <v>3245.8328032949676</v>
      </c>
      <c r="V717" s="1">
        <f t="shared" ref="V717:V780" si="239">T717</f>
        <v>3245.8328032949676</v>
      </c>
      <c r="W717" s="1">
        <f t="shared" ref="W717:W780" si="240">S717</f>
        <v>3000</v>
      </c>
    </row>
    <row r="718" spans="1:23" x14ac:dyDescent="0.25">
      <c r="A718" s="2">
        <f t="shared" ref="A718:A781" si="241">A717+0.1</f>
        <v>70.600000000000264</v>
      </c>
      <c r="B718" s="7">
        <f t="shared" si="224"/>
        <v>11.760331452680717</v>
      </c>
      <c r="C718" s="7">
        <f t="shared" si="228"/>
        <v>2.0050710469876791</v>
      </c>
      <c r="D718" s="7">
        <f t="shared" si="229"/>
        <v>26.98883168309472</v>
      </c>
      <c r="E718" s="7">
        <f t="shared" si="230"/>
        <v>1</v>
      </c>
      <c r="G718" s="4">
        <f t="shared" si="231"/>
        <v>7060.0000000000264</v>
      </c>
      <c r="H718" s="1">
        <f t="shared" ref="H718:H781" si="242">(G718-G717)*1000/L718</f>
        <v>3.1036540208802248</v>
      </c>
      <c r="I718" s="1">
        <f t="shared" ref="I718:I781" si="243">H718+I717</f>
        <v>1211.5110789405121</v>
      </c>
      <c r="J718" s="1">
        <f t="shared" si="232"/>
        <v>40.383702631350403</v>
      </c>
      <c r="K718" s="7">
        <f t="shared" si="233"/>
        <v>3.3192084354534579</v>
      </c>
      <c r="L718" s="4">
        <f t="shared" si="234"/>
        <v>3222.0086171727989</v>
      </c>
      <c r="M718" s="1">
        <f t="shared" si="235"/>
        <v>1002.5355234938396</v>
      </c>
      <c r="N718" s="7">
        <f t="shared" si="236"/>
        <v>26.98883168309472</v>
      </c>
      <c r="O718" s="1">
        <f t="shared" si="237"/>
        <v>3000</v>
      </c>
      <c r="P718" s="2">
        <f t="shared" si="238"/>
        <v>3.2301780957189941</v>
      </c>
      <c r="Q718" s="2">
        <f t="shared" si="225"/>
        <v>1191.0266642072459</v>
      </c>
      <c r="S718" s="1">
        <f t="shared" si="226"/>
        <v>3000</v>
      </c>
      <c r="T718" s="1">
        <f t="shared" si="227"/>
        <v>3222.0086171727989</v>
      </c>
      <c r="V718" s="1">
        <f t="shared" si="239"/>
        <v>3222.0086171727989</v>
      </c>
      <c r="W718" s="1">
        <f t="shared" si="240"/>
        <v>3000</v>
      </c>
    </row>
    <row r="719" spans="1:23" x14ac:dyDescent="0.25">
      <c r="A719" s="2">
        <f t="shared" si="241"/>
        <v>70.700000000000259</v>
      </c>
      <c r="B719" s="7">
        <f t="shared" si="224"/>
        <v>11.674011441032972</v>
      </c>
      <c r="C719" s="7">
        <f t="shared" si="228"/>
        <v>2.0059655081246417</v>
      </c>
      <c r="D719" s="7">
        <f t="shared" si="229"/>
        <v>27.152663347004964</v>
      </c>
      <c r="E719" s="7">
        <f t="shared" si="230"/>
        <v>1</v>
      </c>
      <c r="G719" s="4">
        <f t="shared" si="231"/>
        <v>7070.0000000000264</v>
      </c>
      <c r="H719" s="1">
        <f t="shared" si="242"/>
        <v>3.1266030690792528</v>
      </c>
      <c r="I719" s="1">
        <f t="shared" si="243"/>
        <v>1214.6376820095913</v>
      </c>
      <c r="J719" s="1">
        <f t="shared" si="232"/>
        <v>40.487922733653043</v>
      </c>
      <c r="K719" s="7">
        <f t="shared" si="233"/>
        <v>3.3277744712591542</v>
      </c>
      <c r="L719" s="4">
        <f t="shared" si="234"/>
        <v>3198.359298913143</v>
      </c>
      <c r="M719" s="1">
        <f t="shared" si="235"/>
        <v>1002.9827540623209</v>
      </c>
      <c r="N719" s="7">
        <f t="shared" si="236"/>
        <v>27.152663347004964</v>
      </c>
      <c r="O719" s="1">
        <f t="shared" si="237"/>
        <v>3000</v>
      </c>
      <c r="P719" s="2">
        <f t="shared" si="238"/>
        <v>3.2078992181047377</v>
      </c>
      <c r="Q719" s="2">
        <f t="shared" si="225"/>
        <v>1192.1365597733338</v>
      </c>
      <c r="S719" s="1">
        <f t="shared" si="226"/>
        <v>3000</v>
      </c>
      <c r="T719" s="1">
        <f t="shared" si="227"/>
        <v>3198.359298913143</v>
      </c>
      <c r="V719" s="1">
        <f t="shared" si="239"/>
        <v>3198.359298913143</v>
      </c>
      <c r="W719" s="1">
        <f t="shared" si="240"/>
        <v>3000</v>
      </c>
    </row>
    <row r="720" spans="1:23" x14ac:dyDescent="0.25">
      <c r="A720" s="2">
        <f t="shared" si="241"/>
        <v>70.800000000000253</v>
      </c>
      <c r="B720" s="7">
        <f t="shared" si="224"/>
        <v>11.58832501224305</v>
      </c>
      <c r="C720" s="7">
        <f t="shared" si="228"/>
        <v>2.0068603682802468</v>
      </c>
      <c r="D720" s="7">
        <f t="shared" si="229"/>
        <v>27.317489526513882</v>
      </c>
      <c r="E720" s="7">
        <f t="shared" si="230"/>
        <v>1</v>
      </c>
      <c r="G720" s="4">
        <f t="shared" si="231"/>
        <v>7080.0000000000246</v>
      </c>
      <c r="H720" s="1">
        <f t="shared" si="242"/>
        <v>3.1497218072008817</v>
      </c>
      <c r="I720" s="1">
        <f t="shared" si="243"/>
        <v>1217.7874038167922</v>
      </c>
      <c r="J720" s="1">
        <f t="shared" si="232"/>
        <v>40.592913460559743</v>
      </c>
      <c r="K720" s="7">
        <f t="shared" si="233"/>
        <v>3.3364038460734031</v>
      </c>
      <c r="L720" s="4">
        <f t="shared" si="234"/>
        <v>3174.8835649980961</v>
      </c>
      <c r="M720" s="1">
        <f t="shared" si="235"/>
        <v>1003.4301841401234</v>
      </c>
      <c r="N720" s="7">
        <f t="shared" si="236"/>
        <v>27.317489526513882</v>
      </c>
      <c r="O720" s="1">
        <f t="shared" si="237"/>
        <v>3000</v>
      </c>
      <c r="P720" s="2">
        <f t="shared" si="238"/>
        <v>3.185774000249491</v>
      </c>
      <c r="Q720" s="2">
        <f t="shared" si="225"/>
        <v>1193.269852262117</v>
      </c>
      <c r="S720" s="1">
        <f t="shared" si="226"/>
        <v>3000</v>
      </c>
      <c r="T720" s="1">
        <f t="shared" si="227"/>
        <v>3174.8835649980961</v>
      </c>
      <c r="V720" s="1">
        <f t="shared" si="239"/>
        <v>3174.8835649980961</v>
      </c>
      <c r="W720" s="1">
        <f t="shared" si="240"/>
        <v>3000</v>
      </c>
    </row>
    <row r="721" spans="1:23" x14ac:dyDescent="0.25">
      <c r="A721" s="2">
        <f t="shared" si="241"/>
        <v>70.900000000000247</v>
      </c>
      <c r="B721" s="7">
        <f t="shared" si="224"/>
        <v>11.50326751585704</v>
      </c>
      <c r="C721" s="7">
        <f t="shared" si="228"/>
        <v>2.0077556276324953</v>
      </c>
      <c r="D721" s="7">
        <f t="shared" si="229"/>
        <v>27.483316258679618</v>
      </c>
      <c r="E721" s="7">
        <f t="shared" si="230"/>
        <v>1</v>
      </c>
      <c r="G721" s="4">
        <f t="shared" si="231"/>
        <v>7090.0000000000246</v>
      </c>
      <c r="H721" s="1">
        <f t="shared" si="242"/>
        <v>3.1730114899688662</v>
      </c>
      <c r="I721" s="1">
        <f t="shared" si="243"/>
        <v>1220.960415306761</v>
      </c>
      <c r="J721" s="1">
        <f t="shared" si="232"/>
        <v>40.698680510225365</v>
      </c>
      <c r="K721" s="7">
        <f t="shared" si="233"/>
        <v>3.3450970282377015</v>
      </c>
      <c r="L721" s="4">
        <f t="shared" si="234"/>
        <v>3151.5801413306954</v>
      </c>
      <c r="M721" s="1">
        <f t="shared" si="235"/>
        <v>1003.8778138162477</v>
      </c>
      <c r="N721" s="7">
        <f t="shared" si="236"/>
        <v>27.483316258679618</v>
      </c>
      <c r="O721" s="1">
        <f t="shared" si="237"/>
        <v>3000</v>
      </c>
      <c r="P721" s="2">
        <f t="shared" si="238"/>
        <v>3.1638013823457594</v>
      </c>
      <c r="Q721" s="2">
        <f t="shared" si="225"/>
        <v>1194.4268445553796</v>
      </c>
      <c r="S721" s="1">
        <f t="shared" si="226"/>
        <v>3000</v>
      </c>
      <c r="T721" s="1">
        <f t="shared" si="227"/>
        <v>3151.5801413306954</v>
      </c>
      <c r="V721" s="1">
        <f t="shared" si="239"/>
        <v>3151.5801413306954</v>
      </c>
      <c r="W721" s="1">
        <f t="shared" si="240"/>
        <v>3000</v>
      </c>
    </row>
    <row r="722" spans="1:23" x14ac:dyDescent="0.25">
      <c r="A722" s="2">
        <f t="shared" si="241"/>
        <v>71.000000000000242</v>
      </c>
      <c r="B722" s="7">
        <f t="shared" si="224"/>
        <v>11.418834335555003</v>
      </c>
      <c r="C722" s="7">
        <f t="shared" si="228"/>
        <v>2.0086512863594681</v>
      </c>
      <c r="D722" s="7">
        <f t="shared" si="229"/>
        <v>27.650149617207347</v>
      </c>
      <c r="E722" s="7">
        <f t="shared" si="230"/>
        <v>1</v>
      </c>
      <c r="G722" s="4">
        <f t="shared" si="231"/>
        <v>7100.0000000000246</v>
      </c>
      <c r="H722" s="1">
        <f t="shared" si="242"/>
        <v>3.196473381380915</v>
      </c>
      <c r="I722" s="1">
        <f t="shared" si="243"/>
        <v>1224.1568886881419</v>
      </c>
      <c r="J722" s="1">
        <f t="shared" si="232"/>
        <v>40.805229622938064</v>
      </c>
      <c r="K722" s="7">
        <f t="shared" si="233"/>
        <v>3.3538544895565532</v>
      </c>
      <c r="L722" s="4">
        <f t="shared" si="234"/>
        <v>3128.4477631657546</v>
      </c>
      <c r="M722" s="1">
        <f t="shared" si="235"/>
        <v>1004.325643179734</v>
      </c>
      <c r="N722" s="7">
        <f t="shared" si="236"/>
        <v>27.650149617207347</v>
      </c>
      <c r="O722" s="1">
        <f t="shared" si="237"/>
        <v>3000</v>
      </c>
      <c r="P722" s="2">
        <f t="shared" si="238"/>
        <v>3.1419803118956464</v>
      </c>
      <c r="Q722" s="2">
        <f t="shared" si="225"/>
        <v>1195.6078452613363</v>
      </c>
      <c r="S722" s="1">
        <f t="shared" si="226"/>
        <v>3000</v>
      </c>
      <c r="T722" s="1">
        <f t="shared" si="227"/>
        <v>3128.4477631657546</v>
      </c>
      <c r="V722" s="1">
        <f t="shared" si="239"/>
        <v>3128.4477631657546</v>
      </c>
      <c r="W722" s="1">
        <f t="shared" si="240"/>
        <v>3000</v>
      </c>
    </row>
    <row r="723" spans="1:23" x14ac:dyDescent="0.25">
      <c r="A723" s="2">
        <f t="shared" si="241"/>
        <v>71.100000000000236</v>
      </c>
      <c r="B723" s="7">
        <f t="shared" si="224"/>
        <v>11.335020888900477</v>
      </c>
      <c r="C723" s="7">
        <f t="shared" si="228"/>
        <v>2.0095473446393277</v>
      </c>
      <c r="D723" s="7">
        <f t="shared" si="229"/>
        <v>27.81799571267176</v>
      </c>
      <c r="E723" s="7">
        <f t="shared" si="230"/>
        <v>1</v>
      </c>
      <c r="G723" s="4">
        <f t="shared" si="231"/>
        <v>7110.0000000000246</v>
      </c>
      <c r="H723" s="1">
        <f t="shared" si="242"/>
        <v>3.2201087547832992</v>
      </c>
      <c r="I723" s="1">
        <f t="shared" si="243"/>
        <v>1227.3769974429251</v>
      </c>
      <c r="J723" s="1">
        <f t="shared" si="232"/>
        <v>40.912566581430838</v>
      </c>
      <c r="K723" s="7">
        <f t="shared" si="233"/>
        <v>3.3626767053230826</v>
      </c>
      <c r="L723" s="4">
        <f t="shared" si="234"/>
        <v>3105.4851750412267</v>
      </c>
      <c r="M723" s="1">
        <f t="shared" si="235"/>
        <v>1004.7736723196639</v>
      </c>
      <c r="N723" s="7">
        <f t="shared" si="236"/>
        <v>27.81799571267176</v>
      </c>
      <c r="O723" s="1">
        <f t="shared" si="237"/>
        <v>3000</v>
      </c>
      <c r="P723" s="2">
        <f t="shared" si="238"/>
        <v>3.1203097436604477</v>
      </c>
      <c r="Q723" s="2">
        <f t="shared" si="225"/>
        <v>1196.8131688500134</v>
      </c>
      <c r="S723" s="1">
        <f t="shared" si="226"/>
        <v>3000</v>
      </c>
      <c r="T723" s="1">
        <f t="shared" si="227"/>
        <v>3105.4851750412267</v>
      </c>
      <c r="V723" s="1">
        <f t="shared" si="239"/>
        <v>3105.4851750412267</v>
      </c>
      <c r="W723" s="1">
        <f t="shared" si="240"/>
        <v>3000</v>
      </c>
    </row>
    <row r="724" spans="1:23" x14ac:dyDescent="0.25">
      <c r="A724" s="2">
        <f t="shared" si="241"/>
        <v>71.20000000000023</v>
      </c>
      <c r="B724" s="7">
        <f t="shared" si="224"/>
        <v>11.251822627091768</v>
      </c>
      <c r="C724" s="7">
        <f t="shared" si="228"/>
        <v>2.0104438026503133</v>
      </c>
      <c r="D724" s="7">
        <f t="shared" si="229"/>
        <v>27.98686069274089</v>
      </c>
      <c r="E724" s="7">
        <f t="shared" si="230"/>
        <v>1</v>
      </c>
      <c r="G724" s="4">
        <f t="shared" si="231"/>
        <v>7120.0000000000236</v>
      </c>
      <c r="H724" s="1">
        <f t="shared" si="242"/>
        <v>3.2439188929367928</v>
      </c>
      <c r="I724" s="1">
        <f t="shared" si="243"/>
        <v>1230.6209163358619</v>
      </c>
      <c r="J724" s="1">
        <f t="shared" si="232"/>
        <v>41.020697211195397</v>
      </c>
      <c r="K724" s="7">
        <f t="shared" si="233"/>
        <v>3.3715641543448274</v>
      </c>
      <c r="L724" s="4">
        <f t="shared" si="234"/>
        <v>3082.6911307100731</v>
      </c>
      <c r="M724" s="1">
        <f t="shared" si="235"/>
        <v>1005.2219013251566</v>
      </c>
      <c r="N724" s="7">
        <f t="shared" si="236"/>
        <v>27.98686069274089</v>
      </c>
      <c r="O724" s="1">
        <f t="shared" si="237"/>
        <v>3000</v>
      </c>
      <c r="P724" s="2">
        <f t="shared" si="238"/>
        <v>3.0987886396105768</v>
      </c>
      <c r="Q724" s="2">
        <f t="shared" si="225"/>
        <v>1198.0431357924981</v>
      </c>
      <c r="S724" s="1">
        <f t="shared" si="226"/>
        <v>3000</v>
      </c>
      <c r="T724" s="1">
        <f t="shared" si="227"/>
        <v>3082.6911307100731</v>
      </c>
      <c r="V724" s="1">
        <f t="shared" si="239"/>
        <v>3082.6911307100731</v>
      </c>
      <c r="W724" s="1">
        <f t="shared" si="240"/>
        <v>3000</v>
      </c>
    </row>
    <row r="725" spans="1:23" x14ac:dyDescent="0.25">
      <c r="A725" s="2">
        <f t="shared" si="241"/>
        <v>71.300000000000225</v>
      </c>
      <c r="B725" s="7">
        <f t="shared" si="224"/>
        <v>11.169235034715063</v>
      </c>
      <c r="C725" s="7">
        <f t="shared" si="228"/>
        <v>2.0113406605707449</v>
      </c>
      <c r="D725" s="7">
        <f t="shared" si="229"/>
        <v>28.156750742401222</v>
      </c>
      <c r="E725" s="7">
        <f t="shared" si="230"/>
        <v>1</v>
      </c>
      <c r="G725" s="4">
        <f t="shared" si="231"/>
        <v>7130.0000000000227</v>
      </c>
      <c r="H725" s="1">
        <f t="shared" si="242"/>
        <v>3.2679050880880509</v>
      </c>
      <c r="I725" s="1">
        <f t="shared" si="243"/>
        <v>1233.88882142395</v>
      </c>
      <c r="J725" s="1">
        <f t="shared" si="232"/>
        <v>41.129627380798333</v>
      </c>
      <c r="K725" s="7">
        <f t="shared" si="233"/>
        <v>3.380517318969726</v>
      </c>
      <c r="L725" s="4">
        <f t="shared" si="234"/>
        <v>3060.0643930726205</v>
      </c>
      <c r="M725" s="1">
        <f t="shared" si="235"/>
        <v>1005.6703302853724</v>
      </c>
      <c r="N725" s="7">
        <f t="shared" si="236"/>
        <v>28.156750742401222</v>
      </c>
      <c r="O725" s="1">
        <f t="shared" si="237"/>
        <v>3000</v>
      </c>
      <c r="P725" s="2">
        <f t="shared" si="238"/>
        <v>3.07741596887585</v>
      </c>
      <c r="Q725" s="2">
        <f t="shared" si="225"/>
        <v>1199.2980727041636</v>
      </c>
      <c r="S725" s="1">
        <f t="shared" si="226"/>
        <v>3000</v>
      </c>
      <c r="T725" s="1">
        <f t="shared" si="227"/>
        <v>3060.0643930726205</v>
      </c>
      <c r="V725" s="1">
        <f t="shared" si="239"/>
        <v>3060.0643930726205</v>
      </c>
      <c r="W725" s="1">
        <f t="shared" si="240"/>
        <v>3000</v>
      </c>
    </row>
    <row r="726" spans="1:23" x14ac:dyDescent="0.25">
      <c r="A726" s="2">
        <f t="shared" si="241"/>
        <v>71.400000000000219</v>
      </c>
      <c r="B726" s="7">
        <f t="shared" si="224"/>
        <v>11.087253629499376</v>
      </c>
      <c r="C726" s="7">
        <f t="shared" si="228"/>
        <v>2.012237918579022</v>
      </c>
      <c r="D726" s="7">
        <f t="shared" si="229"/>
        <v>28.327672084184321</v>
      </c>
      <c r="E726" s="7">
        <f t="shared" si="230"/>
        <v>1</v>
      </c>
      <c r="G726" s="4">
        <f t="shared" si="231"/>
        <v>7140.0000000000218</v>
      </c>
      <c r="H726" s="1">
        <f t="shared" si="242"/>
        <v>3.2920686420379806</v>
      </c>
      <c r="I726" s="1">
        <f t="shared" si="243"/>
        <v>1237.180890065988</v>
      </c>
      <c r="J726" s="1">
        <f t="shared" si="232"/>
        <v>41.239363002199603</v>
      </c>
      <c r="K726" s="7">
        <f t="shared" si="233"/>
        <v>3.3895366851122959</v>
      </c>
      <c r="L726" s="4">
        <f t="shared" si="234"/>
        <v>3037.6037341094179</v>
      </c>
      <c r="M726" s="1">
        <f t="shared" si="235"/>
        <v>1006.1189592895111</v>
      </c>
      <c r="N726" s="7">
        <f t="shared" si="236"/>
        <v>28.327672084184321</v>
      </c>
      <c r="O726" s="1">
        <f t="shared" si="237"/>
        <v>3000</v>
      </c>
      <c r="P726" s="2">
        <f t="shared" si="238"/>
        <v>3.0561907076961004</v>
      </c>
      <c r="Q726" s="2">
        <f t="shared" si="225"/>
        <v>1200.5783124920299</v>
      </c>
      <c r="S726" s="1">
        <f t="shared" si="226"/>
        <v>3000</v>
      </c>
      <c r="T726" s="1">
        <f t="shared" si="227"/>
        <v>3037.6037341094179</v>
      </c>
      <c r="V726" s="1">
        <f t="shared" si="239"/>
        <v>3037.6037341094179</v>
      </c>
      <c r="W726" s="1">
        <f t="shared" si="240"/>
        <v>3000</v>
      </c>
    </row>
    <row r="727" spans="1:23" x14ac:dyDescent="0.25">
      <c r="A727" s="2">
        <f t="shared" si="241"/>
        <v>71.500000000000213</v>
      </c>
      <c r="B727" s="7">
        <f t="shared" si="224"/>
        <v>11.005873962073263</v>
      </c>
      <c r="C727" s="7">
        <f t="shared" si="228"/>
        <v>2.0131355768536237</v>
      </c>
      <c r="D727" s="7">
        <f t="shared" si="229"/>
        <v>28.499630978394698</v>
      </c>
      <c r="E727" s="7">
        <f t="shared" si="230"/>
        <v>1</v>
      </c>
      <c r="G727" s="4">
        <f t="shared" si="231"/>
        <v>7150.0000000000209</v>
      </c>
      <c r="H727" s="1">
        <f t="shared" si="242"/>
        <v>3.3164108662135625</v>
      </c>
      <c r="I727" s="1">
        <f t="shared" si="243"/>
        <v>1240.4973009322016</v>
      </c>
      <c r="J727" s="1">
        <f t="shared" si="232"/>
        <v>41.349910031073385</v>
      </c>
      <c r="K727" s="7">
        <f t="shared" si="233"/>
        <v>3.3986227422800042</v>
      </c>
      <c r="L727" s="4">
        <f t="shared" si="234"/>
        <v>3015.3079348145925</v>
      </c>
      <c r="M727" s="1">
        <f t="shared" si="235"/>
        <v>1006.5677884268118</v>
      </c>
      <c r="N727" s="7">
        <f t="shared" si="236"/>
        <v>28.499630978394698</v>
      </c>
      <c r="O727" s="1">
        <f t="shared" si="237"/>
        <v>3000</v>
      </c>
      <c r="P727" s="2">
        <f t="shared" si="238"/>
        <v>3.0351118393721417</v>
      </c>
      <c r="Q727" s="2">
        <f t="shared" si="225"/>
        <v>1201.8841945063839</v>
      </c>
      <c r="S727" s="1">
        <f t="shared" si="226"/>
        <v>3000</v>
      </c>
      <c r="T727" s="1">
        <f t="shared" si="227"/>
        <v>3015.3079348145925</v>
      </c>
      <c r="V727" s="1">
        <f t="shared" si="239"/>
        <v>3015.3079348145925</v>
      </c>
      <c r="W727" s="1">
        <f t="shared" si="240"/>
        <v>3000</v>
      </c>
    </row>
    <row r="728" spans="1:23" x14ac:dyDescent="0.25">
      <c r="A728" s="2">
        <f t="shared" si="241"/>
        <v>71.600000000000207</v>
      </c>
      <c r="B728" s="7">
        <f t="shared" si="224"/>
        <v>10.925091615723387</v>
      </c>
      <c r="C728" s="7">
        <f t="shared" si="228"/>
        <v>2.0140336355731083</v>
      </c>
      <c r="D728" s="7">
        <f t="shared" si="229"/>
        <v>28.672633723339096</v>
      </c>
      <c r="E728" s="7">
        <f t="shared" si="230"/>
        <v>1</v>
      </c>
      <c r="G728" s="4">
        <f t="shared" si="231"/>
        <v>7160.0000000000209</v>
      </c>
      <c r="H728" s="1">
        <f t="shared" si="242"/>
        <v>3.3409330817390321</v>
      </c>
      <c r="I728" s="1">
        <f t="shared" si="243"/>
        <v>1243.8382340139406</v>
      </c>
      <c r="J728" s="1">
        <f t="shared" si="232"/>
        <v>41.461274467131354</v>
      </c>
      <c r="K728" s="7">
        <f t="shared" si="233"/>
        <v>3.4077759835998371</v>
      </c>
      <c r="L728" s="4">
        <f t="shared" si="234"/>
        <v>2993.1757851296952</v>
      </c>
      <c r="M728" s="1">
        <f t="shared" si="235"/>
        <v>1007.0168177865542</v>
      </c>
      <c r="N728" s="7">
        <f t="shared" si="236"/>
        <v>28.672633723339096</v>
      </c>
      <c r="O728" s="1">
        <f t="shared" si="237"/>
        <v>3000</v>
      </c>
      <c r="P728" s="2">
        <f t="shared" si="238"/>
        <v>3.0141783542170768</v>
      </c>
      <c r="Q728" s="2">
        <f t="shared" si="225"/>
        <v>1203.2160646968071</v>
      </c>
      <c r="S728" s="1">
        <f t="shared" si="226"/>
        <v>3000</v>
      </c>
      <c r="T728" s="1">
        <f t="shared" si="227"/>
        <v>2993.1757851296957</v>
      </c>
      <c r="V728" s="1">
        <f t="shared" si="239"/>
        <v>2993.1757851296957</v>
      </c>
      <c r="W728" s="1">
        <f t="shared" si="240"/>
        <v>3000</v>
      </c>
    </row>
    <row r="729" spans="1:23" x14ac:dyDescent="0.25">
      <c r="A729" s="2">
        <f t="shared" si="241"/>
        <v>71.700000000000202</v>
      </c>
      <c r="B729" s="7">
        <f t="shared" si="224"/>
        <v>10.844902206154751</v>
      </c>
      <c r="C729" s="7">
        <f t="shared" si="228"/>
        <v>2.014932094916114</v>
      </c>
      <c r="D729" s="7">
        <f t="shared" si="229"/>
        <v>28.846686655557178</v>
      </c>
      <c r="E729" s="7">
        <f t="shared" si="230"/>
        <v>1</v>
      </c>
      <c r="G729" s="4">
        <f t="shared" si="231"/>
        <v>7170.0000000000191</v>
      </c>
      <c r="H729" s="1">
        <f t="shared" si="242"/>
        <v>3.3656366195057714</v>
      </c>
      <c r="I729" s="1">
        <f t="shared" si="243"/>
        <v>1247.2038706334463</v>
      </c>
      <c r="J729" s="1">
        <f t="shared" si="232"/>
        <v>41.57346235444821</v>
      </c>
      <c r="K729" s="7">
        <f t="shared" si="233"/>
        <v>3.4169969058450582</v>
      </c>
      <c r="L729" s="4">
        <f t="shared" si="234"/>
        <v>2971.2060838780139</v>
      </c>
      <c r="M729" s="1">
        <f t="shared" si="235"/>
        <v>1007.466047458057</v>
      </c>
      <c r="N729" s="7">
        <f t="shared" si="236"/>
        <v>28.846686655557178</v>
      </c>
      <c r="O729" s="1">
        <f t="shared" si="237"/>
        <v>3000</v>
      </c>
      <c r="P729" s="2">
        <f t="shared" si="238"/>
        <v>2.9933892495079149</v>
      </c>
      <c r="Q729" s="2">
        <f t="shared" si="225"/>
        <v>1204.5742757727564</v>
      </c>
      <c r="S729" s="1">
        <f t="shared" si="226"/>
        <v>3000</v>
      </c>
      <c r="T729" s="1">
        <f t="shared" si="227"/>
        <v>2971.2060838780139</v>
      </c>
      <c r="V729" s="1">
        <f t="shared" si="239"/>
        <v>2971.2060838780139</v>
      </c>
      <c r="W729" s="1">
        <f t="shared" si="240"/>
        <v>3000</v>
      </c>
    </row>
    <row r="730" spans="1:23" x14ac:dyDescent="0.25">
      <c r="A730" s="2">
        <f t="shared" si="241"/>
        <v>71.800000000000196</v>
      </c>
      <c r="B730" s="7">
        <f t="shared" si="224"/>
        <v>10.765301381252783</v>
      </c>
      <c r="C730" s="7">
        <f t="shared" si="228"/>
        <v>2.0158309550613591</v>
      </c>
      <c r="D730" s="7">
        <f t="shared" si="229"/>
        <v>29.021796150053657</v>
      </c>
      <c r="E730" s="7">
        <f t="shared" si="230"/>
        <v>1</v>
      </c>
      <c r="G730" s="4">
        <f t="shared" si="231"/>
        <v>7180.0000000000191</v>
      </c>
      <c r="H730" s="1">
        <f t="shared" si="242"/>
        <v>3.3905228202494047</v>
      </c>
      <c r="I730" s="1">
        <f t="shared" si="243"/>
        <v>1250.5943934536956</v>
      </c>
      <c r="J730" s="1">
        <f t="shared" si="232"/>
        <v>41.686479781789856</v>
      </c>
      <c r="K730" s="7">
        <f t="shared" si="233"/>
        <v>3.4262860094621796</v>
      </c>
      <c r="L730" s="4">
        <f t="shared" si="234"/>
        <v>2949.3976386993927</v>
      </c>
      <c r="M730" s="1">
        <f t="shared" si="235"/>
        <v>1007.9154775306796</v>
      </c>
      <c r="N730" s="7">
        <f t="shared" si="236"/>
        <v>29.021796150053657</v>
      </c>
      <c r="O730" s="1">
        <f t="shared" si="237"/>
        <v>3000</v>
      </c>
      <c r="P730" s="2">
        <f t="shared" si="238"/>
        <v>2.9727435294375573</v>
      </c>
      <c r="Q730" s="2">
        <f t="shared" si="225"/>
        <v>1205.9591873688714</v>
      </c>
      <c r="S730" s="1">
        <f t="shared" si="226"/>
        <v>3000</v>
      </c>
      <c r="T730" s="1">
        <f t="shared" si="227"/>
        <v>2949.3976386993927</v>
      </c>
      <c r="V730" s="1">
        <f t="shared" si="239"/>
        <v>2949.3976386993927</v>
      </c>
      <c r="W730" s="1">
        <f t="shared" si="240"/>
        <v>3000</v>
      </c>
    </row>
    <row r="731" spans="1:23" x14ac:dyDescent="0.25">
      <c r="A731" s="2">
        <f t="shared" si="241"/>
        <v>71.90000000000019</v>
      </c>
      <c r="B731" s="7">
        <f t="shared" si="224"/>
        <v>10.686284820847131</v>
      </c>
      <c r="C731" s="7">
        <f t="shared" si="228"/>
        <v>2.0167302161876415</v>
      </c>
      <c r="D731" s="7">
        <f t="shared" si="229"/>
        <v>29.197968620531686</v>
      </c>
      <c r="E731" s="7">
        <f t="shared" si="230"/>
        <v>1</v>
      </c>
      <c r="G731" s="4">
        <f t="shared" si="231"/>
        <v>7190.0000000000191</v>
      </c>
      <c r="H731" s="1">
        <f t="shared" si="242"/>
        <v>3.4155930346152386</v>
      </c>
      <c r="I731" s="1">
        <f t="shared" si="243"/>
        <v>1254.0099864883109</v>
      </c>
      <c r="J731" s="1">
        <f t="shared" si="232"/>
        <v>41.8003328829437</v>
      </c>
      <c r="K731" s="7">
        <f t="shared" si="233"/>
        <v>3.4356437985981123</v>
      </c>
      <c r="L731" s="4">
        <f t="shared" si="234"/>
        <v>2927.7492659855143</v>
      </c>
      <c r="M731" s="1">
        <f t="shared" si="235"/>
        <v>1008.3651080938207</v>
      </c>
      <c r="N731" s="7">
        <f t="shared" si="236"/>
        <v>29.197968620531686</v>
      </c>
      <c r="O731" s="1">
        <f t="shared" si="237"/>
        <v>3000</v>
      </c>
      <c r="P731" s="2">
        <f t="shared" si="238"/>
        <v>2.9522402050670875</v>
      </c>
      <c r="Q731" s="2">
        <f t="shared" si="225"/>
        <v>1207.3711662151416</v>
      </c>
      <c r="S731" s="1">
        <f t="shared" si="226"/>
        <v>3000</v>
      </c>
      <c r="T731" s="1">
        <f t="shared" si="227"/>
        <v>2927.7492659855147</v>
      </c>
      <c r="V731" s="1">
        <f t="shared" si="239"/>
        <v>2927.7492659855147</v>
      </c>
      <c r="W731" s="1">
        <f t="shared" si="240"/>
        <v>3000</v>
      </c>
    </row>
    <row r="732" spans="1:23" x14ac:dyDescent="0.25">
      <c r="A732" s="2">
        <f t="shared" si="241"/>
        <v>72.000000000000185</v>
      </c>
      <c r="B732" s="7">
        <f t="shared" si="224"/>
        <v>10.60784823647719</v>
      </c>
      <c r="C732" s="7">
        <f t="shared" si="228"/>
        <v>2.0176298784738376</v>
      </c>
      <c r="D732" s="7">
        <f t="shared" si="229"/>
        <v>29.375210519627906</v>
      </c>
      <c r="E732" s="7">
        <f t="shared" si="230"/>
        <v>1</v>
      </c>
      <c r="G732" s="4">
        <f t="shared" si="231"/>
        <v>7200.0000000000191</v>
      </c>
      <c r="H732" s="1">
        <f t="shared" si="242"/>
        <v>3.4408486232379825</v>
      </c>
      <c r="I732" s="1">
        <f t="shared" si="243"/>
        <v>1257.4508351115489</v>
      </c>
      <c r="J732" s="1">
        <f t="shared" si="232"/>
        <v>41.915027837051632</v>
      </c>
      <c r="K732" s="7">
        <f t="shared" si="233"/>
        <v>3.4450707811275314</v>
      </c>
      <c r="L732" s="4">
        <f t="shared" si="234"/>
        <v>2906.2597908156686</v>
      </c>
      <c r="M732" s="1">
        <f t="shared" si="235"/>
        <v>1008.8149392369188</v>
      </c>
      <c r="N732" s="7">
        <f t="shared" si="236"/>
        <v>29.375210519627906</v>
      </c>
      <c r="O732" s="1">
        <f t="shared" si="237"/>
        <v>3000</v>
      </c>
      <c r="P732" s="2">
        <f t="shared" si="238"/>
        <v>2.931878294278409</v>
      </c>
      <c r="Q732" s="2">
        <f t="shared" si="225"/>
        <v>1208.8105863121395</v>
      </c>
      <c r="S732" s="1">
        <f t="shared" si="226"/>
        <v>3000</v>
      </c>
      <c r="T732" s="1">
        <f t="shared" si="227"/>
        <v>2906.2597908156686</v>
      </c>
      <c r="V732" s="1">
        <f t="shared" si="239"/>
        <v>2906.2597908156686</v>
      </c>
      <c r="W732" s="1">
        <f t="shared" si="240"/>
        <v>3000</v>
      </c>
    </row>
    <row r="733" spans="1:23" x14ac:dyDescent="0.25">
      <c r="A733" s="2">
        <f t="shared" si="241"/>
        <v>72.100000000000179</v>
      </c>
      <c r="B733" s="7">
        <f t="shared" si="224"/>
        <v>10.529987371159361</v>
      </c>
      <c r="C733" s="7">
        <f t="shared" si="228"/>
        <v>2.0185299420989056</v>
      </c>
      <c r="D733" s="7">
        <f t="shared" si="229"/>
        <v>29.553528339148716</v>
      </c>
      <c r="E733" s="7">
        <f t="shared" si="230"/>
        <v>1</v>
      </c>
      <c r="G733" s="4">
        <f t="shared" si="231"/>
        <v>7210.0000000000173</v>
      </c>
      <c r="H733" s="1">
        <f t="shared" si="242"/>
        <v>3.4662909568119149</v>
      </c>
      <c r="I733" s="1">
        <f t="shared" si="243"/>
        <v>1260.9171260683609</v>
      </c>
      <c r="J733" s="1">
        <f t="shared" si="232"/>
        <v>42.030570868945361</v>
      </c>
      <c r="K733" s="7">
        <f t="shared" si="233"/>
        <v>3.4545674686804406</v>
      </c>
      <c r="L733" s="4">
        <f t="shared" si="234"/>
        <v>2884.9280468929755</v>
      </c>
      <c r="M733" s="1">
        <f t="shared" si="235"/>
        <v>1009.2649710494528</v>
      </c>
      <c r="N733" s="7">
        <f t="shared" si="236"/>
        <v>29.553528339148716</v>
      </c>
      <c r="O733" s="1">
        <f t="shared" si="237"/>
        <v>3000</v>
      </c>
      <c r="P733" s="2">
        <f t="shared" si="238"/>
        <v>2.9116568217271936</v>
      </c>
      <c r="Q733" s="2">
        <f t="shared" si="225"/>
        <v>1210.2778291114519</v>
      </c>
      <c r="S733" s="1">
        <f t="shared" si="226"/>
        <v>3000</v>
      </c>
      <c r="T733" s="1">
        <f t="shared" si="227"/>
        <v>2884.9280468929755</v>
      </c>
      <c r="V733" s="1">
        <f t="shared" si="239"/>
        <v>2884.9280468929755</v>
      </c>
      <c r="W733" s="1">
        <f t="shared" si="240"/>
        <v>3000</v>
      </c>
    </row>
    <row r="734" spans="1:23" x14ac:dyDescent="0.25">
      <c r="A734" s="2">
        <f t="shared" si="241"/>
        <v>72.200000000000173</v>
      </c>
      <c r="B734" s="7">
        <f t="shared" si="224"/>
        <v>10.452697999155998</v>
      </c>
      <c r="C734" s="7">
        <f t="shared" si="228"/>
        <v>2.0194304072418818</v>
      </c>
      <c r="D734" s="7">
        <f t="shared" si="229"/>
        <v>29.732928610308036</v>
      </c>
      <c r="E734" s="7">
        <f t="shared" si="230"/>
        <v>1</v>
      </c>
      <c r="G734" s="4">
        <f t="shared" si="231"/>
        <v>7220.0000000000173</v>
      </c>
      <c r="H734" s="1">
        <f t="shared" si="242"/>
        <v>3.49192141616903</v>
      </c>
      <c r="I734" s="1">
        <f t="shared" si="243"/>
        <v>1264.40904748453</v>
      </c>
      <c r="J734" s="1">
        <f t="shared" si="232"/>
        <v>42.146968249484331</v>
      </c>
      <c r="K734" s="7">
        <f t="shared" si="233"/>
        <v>3.4641343766699451</v>
      </c>
      <c r="L734" s="4">
        <f t="shared" si="234"/>
        <v>2863.7528764810954</v>
      </c>
      <c r="M734" s="1">
        <f t="shared" si="235"/>
        <v>1009.7152036209409</v>
      </c>
      <c r="N734" s="7">
        <f t="shared" si="236"/>
        <v>29.732928610308036</v>
      </c>
      <c r="O734" s="1">
        <f t="shared" si="237"/>
        <v>3000</v>
      </c>
      <c r="P734" s="2">
        <f t="shared" si="238"/>
        <v>2.8915748187961645</v>
      </c>
      <c r="Q734" s="2">
        <f t="shared" si="225"/>
        <v>1211.7732837015274</v>
      </c>
      <c r="S734" s="1">
        <f t="shared" si="226"/>
        <v>3000</v>
      </c>
      <c r="T734" s="1">
        <f t="shared" si="227"/>
        <v>2863.7528764810954</v>
      </c>
      <c r="V734" s="1">
        <f t="shared" si="239"/>
        <v>2863.7528764810954</v>
      </c>
      <c r="W734" s="1">
        <f t="shared" si="240"/>
        <v>3000</v>
      </c>
    </row>
    <row r="735" spans="1:23" x14ac:dyDescent="0.25">
      <c r="A735" s="2">
        <f t="shared" si="241"/>
        <v>72.300000000000168</v>
      </c>
      <c r="B735" s="7">
        <f t="shared" si="224"/>
        <v>10.375975925746074</v>
      </c>
      <c r="C735" s="7">
        <f t="shared" si="228"/>
        <v>2.020331274081884</v>
      </c>
      <c r="D735" s="7">
        <f t="shared" si="229"/>
        <v>29.913417903966565</v>
      </c>
      <c r="E735" s="7">
        <f t="shared" si="230"/>
        <v>1</v>
      </c>
      <c r="G735" s="4">
        <f t="shared" si="231"/>
        <v>7230.0000000000164</v>
      </c>
      <c r="H735" s="1">
        <f t="shared" si="242"/>
        <v>3.5177413923473595</v>
      </c>
      <c r="I735" s="1">
        <f t="shared" si="243"/>
        <v>1267.9267888768773</v>
      </c>
      <c r="J735" s="1">
        <f t="shared" si="232"/>
        <v>42.264226295895909</v>
      </c>
      <c r="K735" s="7">
        <f t="shared" si="233"/>
        <v>3.4737720243202115</v>
      </c>
      <c r="L735" s="4">
        <f t="shared" si="234"/>
        <v>2842.7331303413903</v>
      </c>
      <c r="M735" s="1">
        <f t="shared" si="235"/>
        <v>1010.165637040942</v>
      </c>
      <c r="N735" s="7">
        <f t="shared" si="236"/>
        <v>29.913417903966565</v>
      </c>
      <c r="O735" s="1">
        <f t="shared" si="237"/>
        <v>3000</v>
      </c>
      <c r="P735" s="2">
        <f t="shared" si="238"/>
        <v>2.8716313235487014</v>
      </c>
      <c r="Q735" s="2">
        <f t="shared" si="225"/>
        <v>1213.2973469991152</v>
      </c>
      <c r="S735" s="1">
        <f t="shared" si="226"/>
        <v>3000</v>
      </c>
      <c r="T735" s="1">
        <f t="shared" si="227"/>
        <v>2842.7331303413907</v>
      </c>
      <c r="V735" s="1">
        <f t="shared" si="239"/>
        <v>2842.7331303413907</v>
      </c>
      <c r="W735" s="1">
        <f t="shared" si="240"/>
        <v>3000</v>
      </c>
    </row>
    <row r="736" spans="1:23" x14ac:dyDescent="0.25">
      <c r="A736" s="2">
        <f t="shared" si="241"/>
        <v>72.400000000000162</v>
      </c>
      <c r="B736" s="7">
        <f t="shared" si="224"/>
        <v>10.299816986997541</v>
      </c>
      <c r="C736" s="7">
        <f t="shared" si="228"/>
        <v>2.0212325427981086</v>
      </c>
      <c r="D736" s="7">
        <f t="shared" si="229"/>
        <v>30.095002830872421</v>
      </c>
      <c r="E736" s="7">
        <f t="shared" si="230"/>
        <v>1</v>
      </c>
      <c r="G736" s="4">
        <f t="shared" si="231"/>
        <v>7240.0000000000164</v>
      </c>
      <c r="H736" s="1">
        <f t="shared" si="242"/>
        <v>3.5437522866743647</v>
      </c>
      <c r="I736" s="1">
        <f t="shared" si="243"/>
        <v>1271.4705411635516</v>
      </c>
      <c r="J736" s="1">
        <f t="shared" si="232"/>
        <v>42.382351372118386</v>
      </c>
      <c r="K736" s="7">
        <f t="shared" si="233"/>
        <v>3.4834809346946618</v>
      </c>
      <c r="L736" s="4">
        <f t="shared" si="234"/>
        <v>2821.8676676705591</v>
      </c>
      <c r="M736" s="1">
        <f t="shared" si="235"/>
        <v>1010.6162713990543</v>
      </c>
      <c r="N736" s="7">
        <f t="shared" si="236"/>
        <v>30.095002830872421</v>
      </c>
      <c r="O736" s="1">
        <f t="shared" si="237"/>
        <v>3000</v>
      </c>
      <c r="P736" s="2">
        <f t="shared" si="238"/>
        <v>2.851825380682766</v>
      </c>
      <c r="Q736" s="2">
        <f t="shared" si="225"/>
        <v>1214.8504239464901</v>
      </c>
      <c r="S736" s="1">
        <f t="shared" si="226"/>
        <v>3000</v>
      </c>
      <c r="T736" s="1">
        <f t="shared" si="227"/>
        <v>2821.8676676705591</v>
      </c>
      <c r="V736" s="1">
        <f t="shared" si="239"/>
        <v>2821.8676676705591</v>
      </c>
      <c r="W736" s="1">
        <f t="shared" si="240"/>
        <v>3000</v>
      </c>
    </row>
    <row r="737" spans="1:23" x14ac:dyDescent="0.25">
      <c r="A737" s="2">
        <f t="shared" si="241"/>
        <v>72.500000000000156</v>
      </c>
      <c r="B737" s="7">
        <f t="shared" si="224"/>
        <v>10.224217049541306</v>
      </c>
      <c r="C737" s="7">
        <f t="shared" si="228"/>
        <v>2.0221342135698319</v>
      </c>
      <c r="D737" s="7">
        <f t="shared" si="229"/>
        <v>30.277690041903231</v>
      </c>
      <c r="E737" s="7">
        <f t="shared" si="230"/>
        <v>1</v>
      </c>
      <c r="G737" s="4">
        <f t="shared" si="231"/>
        <v>7250.0000000000155</v>
      </c>
      <c r="H737" s="1">
        <f t="shared" si="242"/>
        <v>3.5699555108363241</v>
      </c>
      <c r="I737" s="1">
        <f t="shared" si="243"/>
        <v>1275.0404966743879</v>
      </c>
      <c r="J737" s="1">
        <f t="shared" si="232"/>
        <v>42.501349889146262</v>
      </c>
      <c r="K737" s="7">
        <f t="shared" si="233"/>
        <v>3.4932616347243504</v>
      </c>
      <c r="L737" s="4">
        <f t="shared" si="234"/>
        <v>2801.1553560387133</v>
      </c>
      <c r="M737" s="1">
        <f t="shared" si="235"/>
        <v>1011.0671067849159</v>
      </c>
      <c r="N737" s="7">
        <f t="shared" si="236"/>
        <v>30.277690041903231</v>
      </c>
      <c r="O737" s="1">
        <f t="shared" si="237"/>
        <v>3000</v>
      </c>
      <c r="P737" s="2">
        <f t="shared" si="238"/>
        <v>2.832156041485133</v>
      </c>
      <c r="Q737" s="2">
        <f t="shared" si="225"/>
        <v>1216.4329277146687</v>
      </c>
      <c r="S737" s="1">
        <f t="shared" si="226"/>
        <v>3000</v>
      </c>
      <c r="T737" s="1">
        <f t="shared" si="227"/>
        <v>2801.1553560387133</v>
      </c>
      <c r="V737" s="1">
        <f t="shared" si="239"/>
        <v>2801.1553560387133</v>
      </c>
      <c r="W737" s="1">
        <f t="shared" si="240"/>
        <v>3000</v>
      </c>
    </row>
    <row r="738" spans="1:23" x14ac:dyDescent="0.25">
      <c r="A738" s="2">
        <f t="shared" si="241"/>
        <v>72.600000000000151</v>
      </c>
      <c r="B738" s="7">
        <f t="shared" si="224"/>
        <v>10.149172010346911</v>
      </c>
      <c r="C738" s="7">
        <f t="shared" si="228"/>
        <v>2.0230362865764118</v>
      </c>
      <c r="D738" s="7">
        <f t="shared" si="229"/>
        <v>30.461486228309848</v>
      </c>
      <c r="E738" s="7">
        <f t="shared" si="230"/>
        <v>1</v>
      </c>
      <c r="G738" s="4">
        <f t="shared" si="231"/>
        <v>7260.0000000000155</v>
      </c>
      <c r="H738" s="1">
        <f t="shared" si="242"/>
        <v>3.5963524869604004</v>
      </c>
      <c r="I738" s="1">
        <f t="shared" si="243"/>
        <v>1278.6368491613482</v>
      </c>
      <c r="J738" s="1">
        <f t="shared" si="232"/>
        <v>42.621228305378274</v>
      </c>
      <c r="K738" s="7">
        <f t="shared" si="233"/>
        <v>3.5031146552365704</v>
      </c>
      <c r="L738" s="4">
        <f t="shared" si="234"/>
        <v>2780.5950713279208</v>
      </c>
      <c r="M738" s="1">
        <f t="shared" si="235"/>
        <v>1011.5181432882059</v>
      </c>
      <c r="N738" s="7">
        <f t="shared" si="236"/>
        <v>30.461486228309848</v>
      </c>
      <c r="O738" s="1">
        <f t="shared" si="237"/>
        <v>3000</v>
      </c>
      <c r="P738" s="2">
        <f t="shared" si="238"/>
        <v>2.8126223637859553</v>
      </c>
      <c r="Q738" s="2">
        <f t="shared" si="225"/>
        <v>1218.045279912847</v>
      </c>
      <c r="S738" s="1">
        <f t="shared" si="226"/>
        <v>3000</v>
      </c>
      <c r="T738" s="1">
        <f t="shared" si="227"/>
        <v>2780.5950713279208</v>
      </c>
      <c r="V738" s="1">
        <f t="shared" si="239"/>
        <v>2780.5950713279208</v>
      </c>
      <c r="W738" s="1">
        <f t="shared" si="240"/>
        <v>3000</v>
      </c>
    </row>
    <row r="739" spans="1:23" x14ac:dyDescent="0.25">
      <c r="A739" s="2">
        <f t="shared" si="241"/>
        <v>72.700000000000145</v>
      </c>
      <c r="B739" s="7">
        <f t="shared" si="224"/>
        <v>10.074677796499868</v>
      </c>
      <c r="C739" s="7">
        <f t="shared" si="228"/>
        <v>2.0239387619972837</v>
      </c>
      <c r="D739" s="7">
        <f t="shared" si="229"/>
        <v>30.646398121961333</v>
      </c>
      <c r="E739" s="7">
        <f t="shared" si="230"/>
        <v>1</v>
      </c>
      <c r="G739" s="4">
        <f t="shared" si="231"/>
        <v>7270.0000000000136</v>
      </c>
      <c r="H739" s="1">
        <f t="shared" si="242"/>
        <v>3.6229446476863152</v>
      </c>
      <c r="I739" s="1">
        <f t="shared" si="243"/>
        <v>1282.2597938090346</v>
      </c>
      <c r="J739" s="1">
        <f t="shared" si="232"/>
        <v>42.74199312696782</v>
      </c>
      <c r="K739" s="7">
        <f t="shared" si="233"/>
        <v>3.5130405309836563</v>
      </c>
      <c r="L739" s="4">
        <f t="shared" si="234"/>
        <v>2760.185697671197</v>
      </c>
      <c r="M739" s="1">
        <f t="shared" si="235"/>
        <v>1011.9693809986419</v>
      </c>
      <c r="N739" s="7">
        <f t="shared" si="236"/>
        <v>30.646398121961333</v>
      </c>
      <c r="O739" s="1">
        <f t="shared" si="237"/>
        <v>3000</v>
      </c>
      <c r="P739" s="2">
        <f t="shared" si="238"/>
        <v>2.7932234119136261</v>
      </c>
      <c r="Q739" s="2">
        <f t="shared" si="225"/>
        <v>1219.6879108042558</v>
      </c>
      <c r="S739" s="1">
        <f t="shared" si="226"/>
        <v>3000</v>
      </c>
      <c r="T739" s="1">
        <f t="shared" si="227"/>
        <v>2760.185697671197</v>
      </c>
      <c r="V739" s="1">
        <f t="shared" si="239"/>
        <v>2760.185697671197</v>
      </c>
      <c r="W739" s="1">
        <f t="shared" si="240"/>
        <v>3000</v>
      </c>
    </row>
    <row r="740" spans="1:23" x14ac:dyDescent="0.25">
      <c r="A740" s="2">
        <f t="shared" si="241"/>
        <v>72.800000000000139</v>
      </c>
      <c r="B740" s="7">
        <f t="shared" si="224"/>
        <v>10.000730364980587</v>
      </c>
      <c r="C740" s="7">
        <f t="shared" si="228"/>
        <v>2.0248416400119651</v>
      </c>
      <c r="D740" s="7">
        <f t="shared" si="229"/>
        <v>30.832432495591547</v>
      </c>
      <c r="E740" s="7">
        <f t="shared" si="230"/>
        <v>1</v>
      </c>
      <c r="G740" s="4">
        <f t="shared" si="231"/>
        <v>7280.0000000000146</v>
      </c>
      <c r="H740" s="1">
        <f t="shared" si="242"/>
        <v>3.6497334362512999</v>
      </c>
      <c r="I740" s="1">
        <f t="shared" si="243"/>
        <v>1285.909527245286</v>
      </c>
      <c r="J740" s="1">
        <f t="shared" si="232"/>
        <v>42.863650908176197</v>
      </c>
      <c r="K740" s="7">
        <f t="shared" si="233"/>
        <v>3.5230398006720165</v>
      </c>
      <c r="L740" s="4">
        <f t="shared" si="234"/>
        <v>2739.9261273919419</v>
      </c>
      <c r="M740" s="1">
        <f t="shared" si="235"/>
        <v>1012.4208200059826</v>
      </c>
      <c r="N740" s="7">
        <f t="shared" si="236"/>
        <v>30.832432495591547</v>
      </c>
      <c r="O740" s="1">
        <f t="shared" si="237"/>
        <v>3000</v>
      </c>
      <c r="P740" s="2">
        <f t="shared" si="238"/>
        <v>2.7739582566499665</v>
      </c>
      <c r="Q740" s="2">
        <f t="shared" si="225"/>
        <v>1221.3612595286847</v>
      </c>
      <c r="S740" s="1">
        <f t="shared" si="226"/>
        <v>3000</v>
      </c>
      <c r="T740" s="1">
        <f t="shared" si="227"/>
        <v>2739.9261273919419</v>
      </c>
      <c r="V740" s="1">
        <f t="shared" si="239"/>
        <v>2739.9261273919419</v>
      </c>
      <c r="W740" s="1">
        <f t="shared" si="240"/>
        <v>3000</v>
      </c>
    </row>
    <row r="741" spans="1:23" x14ac:dyDescent="0.25">
      <c r="A741" s="2">
        <f t="shared" si="241"/>
        <v>72.900000000000134</v>
      </c>
      <c r="B741" s="7">
        <f t="shared" si="224"/>
        <v>9.9273257024449659</v>
      </c>
      <c r="C741" s="7">
        <f t="shared" si="228"/>
        <v>2.0257449208000535</v>
      </c>
      <c r="D741" s="7">
        <f t="shared" si="229"/>
        <v>31.019596163047233</v>
      </c>
      <c r="E741" s="7">
        <f t="shared" si="230"/>
        <v>1</v>
      </c>
      <c r="G741" s="4">
        <f t="shared" si="231"/>
        <v>7290.0000000000136</v>
      </c>
      <c r="H741" s="1">
        <f t="shared" si="242"/>
        <v>3.6767203065582117</v>
      </c>
      <c r="I741" s="1">
        <f t="shared" si="243"/>
        <v>1289.5862475518443</v>
      </c>
      <c r="J741" s="1">
        <f t="shared" si="232"/>
        <v>42.986208251728144</v>
      </c>
      <c r="K741" s="7">
        <f t="shared" si="233"/>
        <v>3.5331130069913543</v>
      </c>
      <c r="L741" s="4">
        <f t="shared" si="234"/>
        <v>2719.8152609438271</v>
      </c>
      <c r="M741" s="1">
        <f t="shared" si="235"/>
        <v>1012.8724604000267</v>
      </c>
      <c r="N741" s="7">
        <f t="shared" si="236"/>
        <v>31.019596163047233</v>
      </c>
      <c r="O741" s="1">
        <f t="shared" si="237"/>
        <v>3000</v>
      </c>
      <c r="P741" s="2">
        <f t="shared" si="238"/>
        <v>2.7548259751857147</v>
      </c>
      <c r="Q741" s="2">
        <f t="shared" si="225"/>
        <v>1223.0657743319093</v>
      </c>
      <c r="S741" s="1">
        <f t="shared" si="226"/>
        <v>3000</v>
      </c>
      <c r="T741" s="1">
        <f t="shared" si="227"/>
        <v>2719.8152609438266</v>
      </c>
      <c r="V741" s="1">
        <f t="shared" si="239"/>
        <v>2719.8152609438266</v>
      </c>
      <c r="W741" s="1">
        <f t="shared" si="240"/>
        <v>3000</v>
      </c>
    </row>
    <row r="742" spans="1:23" x14ac:dyDescent="0.25">
      <c r="A742" s="2">
        <f t="shared" si="241"/>
        <v>73.000000000000128</v>
      </c>
      <c r="B742" s="7">
        <f t="shared" si="224"/>
        <v>9.854459825006554</v>
      </c>
      <c r="C742" s="7">
        <f t="shared" si="228"/>
        <v>2.0266486045412244</v>
      </c>
      <c r="D742" s="7">
        <f t="shared" si="229"/>
        <v>31.207895979537589</v>
      </c>
      <c r="E742" s="7">
        <f t="shared" si="230"/>
        <v>1</v>
      </c>
      <c r="G742" s="4">
        <f t="shared" si="231"/>
        <v>7300.0000000000127</v>
      </c>
      <c r="H742" s="1">
        <f t="shared" si="242"/>
        <v>3.7039067232660217</v>
      </c>
      <c r="I742" s="1">
        <f t="shared" si="243"/>
        <v>1293.2901542751104</v>
      </c>
      <c r="J742" s="1">
        <f t="shared" si="232"/>
        <v>43.109671809170344</v>
      </c>
      <c r="K742" s="7">
        <f t="shared" si="233"/>
        <v>3.543260696644138</v>
      </c>
      <c r="L742" s="4">
        <f t="shared" si="234"/>
        <v>2699.8520068511107</v>
      </c>
      <c r="M742" s="1">
        <f t="shared" si="235"/>
        <v>1013.3243022706122</v>
      </c>
      <c r="N742" s="7">
        <f t="shared" si="236"/>
        <v>31.207895979537589</v>
      </c>
      <c r="O742" s="1">
        <f t="shared" si="237"/>
        <v>3000</v>
      </c>
      <c r="P742" s="2">
        <f t="shared" si="238"/>
        <v>2.7358256510763135</v>
      </c>
      <c r="Q742" s="2">
        <f t="shared" si="225"/>
        <v>1224.8019128022729</v>
      </c>
      <c r="S742" s="1">
        <f t="shared" si="226"/>
        <v>3000</v>
      </c>
      <c r="T742" s="1">
        <f t="shared" si="227"/>
        <v>2699.8520068511107</v>
      </c>
      <c r="V742" s="1">
        <f t="shared" si="239"/>
        <v>2699.8520068511107</v>
      </c>
      <c r="W742" s="1">
        <f t="shared" si="240"/>
        <v>3000</v>
      </c>
    </row>
    <row r="743" spans="1:23" x14ac:dyDescent="0.25">
      <c r="A743" s="2">
        <f t="shared" si="241"/>
        <v>73.100000000000122</v>
      </c>
      <c r="B743" s="7">
        <f t="shared" si="224"/>
        <v>9.7821287780203807</v>
      </c>
      <c r="C743" s="7">
        <f t="shared" si="228"/>
        <v>2.0275526914152366</v>
      </c>
      <c r="D743" s="7">
        <f t="shared" si="229"/>
        <v>31.397338841885247</v>
      </c>
      <c r="E743" s="7">
        <f t="shared" si="230"/>
        <v>1</v>
      </c>
      <c r="G743" s="4">
        <f t="shared" si="231"/>
        <v>7310.0000000000118</v>
      </c>
      <c r="H743" s="1">
        <f t="shared" si="242"/>
        <v>3.7312941618606685</v>
      </c>
      <c r="I743" s="1">
        <f t="shared" si="243"/>
        <v>1297.021448436971</v>
      </c>
      <c r="J743" s="1">
        <f t="shared" si="232"/>
        <v>43.234048281232369</v>
      </c>
      <c r="K743" s="7">
        <f t="shared" si="233"/>
        <v>3.553483420375263</v>
      </c>
      <c r="L743" s="4">
        <f t="shared" si="234"/>
        <v>2680.0352816494192</v>
      </c>
      <c r="M743" s="1">
        <f t="shared" si="235"/>
        <v>1013.7763457076184</v>
      </c>
      <c r="N743" s="7">
        <f t="shared" si="236"/>
        <v>31.397338841885247</v>
      </c>
      <c r="O743" s="1">
        <f t="shared" si="237"/>
        <v>3000</v>
      </c>
      <c r="P743" s="2">
        <f t="shared" si="238"/>
        <v>2.7169563741980358</v>
      </c>
      <c r="Q743" s="2">
        <f t="shared" si="225"/>
        <v>1226.5701421146819</v>
      </c>
      <c r="S743" s="1">
        <f t="shared" si="226"/>
        <v>3000</v>
      </c>
      <c r="T743" s="1">
        <f t="shared" si="227"/>
        <v>2680.0352816494192</v>
      </c>
      <c r="V743" s="1">
        <f t="shared" si="239"/>
        <v>2680.0352816494192</v>
      </c>
      <c r="W743" s="1">
        <f t="shared" si="240"/>
        <v>3000</v>
      </c>
    </row>
    <row r="744" spans="1:23" x14ac:dyDescent="0.25">
      <c r="A744" s="2">
        <f t="shared" si="241"/>
        <v>73.200000000000117</v>
      </c>
      <c r="B744" s="7">
        <f t="shared" si="224"/>
        <v>9.710328635868267</v>
      </c>
      <c r="C744" s="7">
        <f t="shared" si="228"/>
        <v>2.0284571816019259</v>
      </c>
      <c r="D744" s="7">
        <f t="shared" si="229"/>
        <v>31.587931688779065</v>
      </c>
      <c r="E744" s="7">
        <f t="shared" si="230"/>
        <v>1</v>
      </c>
      <c r="G744" s="4">
        <f t="shared" si="231"/>
        <v>7320.0000000000118</v>
      </c>
      <c r="H744" s="1">
        <f t="shared" si="242"/>
        <v>3.7588841087391565</v>
      </c>
      <c r="I744" s="1">
        <f t="shared" si="243"/>
        <v>1300.7803325457103</v>
      </c>
      <c r="J744" s="1">
        <f t="shared" si="232"/>
        <v>43.359344418190339</v>
      </c>
      <c r="K744" s="7">
        <f t="shared" si="233"/>
        <v>3.5637817330019459</v>
      </c>
      <c r="L744" s="4">
        <f t="shared" si="234"/>
        <v>2660.3640098269225</v>
      </c>
      <c r="M744" s="1">
        <f t="shared" si="235"/>
        <v>1014.2285908009629</v>
      </c>
      <c r="N744" s="7">
        <f t="shared" si="236"/>
        <v>31.587931688779065</v>
      </c>
      <c r="O744" s="1">
        <f t="shared" si="237"/>
        <v>3000</v>
      </c>
      <c r="P744" s="2">
        <f t="shared" si="238"/>
        <v>2.6982172407043588</v>
      </c>
      <c r="Q744" s="2">
        <f t="shared" si="225"/>
        <v>1228.370939282298</v>
      </c>
      <c r="S744" s="1">
        <f t="shared" si="226"/>
        <v>3000</v>
      </c>
      <c r="T744" s="1">
        <f t="shared" si="227"/>
        <v>2660.3640098269225</v>
      </c>
      <c r="V744" s="1">
        <f t="shared" si="239"/>
        <v>2660.3640098269225</v>
      </c>
      <c r="W744" s="1">
        <f t="shared" si="240"/>
        <v>3000</v>
      </c>
    </row>
    <row r="745" spans="1:23" x14ac:dyDescent="0.25">
      <c r="A745" s="2">
        <f t="shared" si="241"/>
        <v>73.300000000000111</v>
      </c>
      <c r="B745" s="7">
        <f t="shared" si="224"/>
        <v>9.6390555017457995</v>
      </c>
      <c r="C745" s="7">
        <f t="shared" si="228"/>
        <v>2.0293620752812114</v>
      </c>
      <c r="D745" s="7">
        <f t="shared" si="229"/>
        <v>31.779681501028129</v>
      </c>
      <c r="E745" s="7">
        <f t="shared" si="230"/>
        <v>1</v>
      </c>
      <c r="G745" s="4">
        <f t="shared" si="231"/>
        <v>7330.0000000000109</v>
      </c>
      <c r="H745" s="1">
        <f t="shared" si="242"/>
        <v>3.7866780612878412</v>
      </c>
      <c r="I745" s="1">
        <f t="shared" si="243"/>
        <v>1304.5670106069981</v>
      </c>
      <c r="J745" s="1">
        <f t="shared" si="232"/>
        <v>43.485567020233269</v>
      </c>
      <c r="K745" s="7">
        <f t="shared" si="233"/>
        <v>3.5741561934438306</v>
      </c>
      <c r="L745" s="4">
        <f t="shared" si="234"/>
        <v>2640.8371237659721</v>
      </c>
      <c r="M745" s="1">
        <f t="shared" si="235"/>
        <v>1014.6810376406057</v>
      </c>
      <c r="N745" s="7">
        <f t="shared" si="236"/>
        <v>31.779681501028129</v>
      </c>
      <c r="O745" s="1">
        <f t="shared" si="237"/>
        <v>3000</v>
      </c>
      <c r="P745" s="2">
        <f t="shared" si="238"/>
        <v>2.6796073529826892</v>
      </c>
      <c r="Q745" s="2">
        <f t="shared" si="225"/>
        <v>1230.2047914161908</v>
      </c>
      <c r="S745" s="1">
        <f t="shared" si="226"/>
        <v>3000</v>
      </c>
      <c r="T745" s="1">
        <f t="shared" si="227"/>
        <v>2640.8371237659721</v>
      </c>
      <c r="V745" s="1">
        <f t="shared" si="239"/>
        <v>2640.8371237659721</v>
      </c>
      <c r="W745" s="1">
        <f t="shared" si="240"/>
        <v>3000</v>
      </c>
    </row>
    <row r="746" spans="1:23" x14ac:dyDescent="0.25">
      <c r="A746" s="2">
        <f t="shared" si="241"/>
        <v>73.400000000000105</v>
      </c>
      <c r="B746" s="7">
        <f t="shared" si="224"/>
        <v>9.5683055074508427</v>
      </c>
      <c r="C746" s="7">
        <f t="shared" si="228"/>
        <v>2.0302673726330895</v>
      </c>
      <c r="D746" s="7">
        <f t="shared" si="229"/>
        <v>31.972595301817492</v>
      </c>
      <c r="E746" s="7">
        <f t="shared" si="230"/>
        <v>1</v>
      </c>
      <c r="G746" s="4">
        <f t="shared" si="231"/>
        <v>7340.0000000000109</v>
      </c>
      <c r="H746" s="1">
        <f t="shared" si="242"/>
        <v>3.8146775279674587</v>
      </c>
      <c r="I746" s="1">
        <f t="shared" si="243"/>
        <v>1308.3816881349655</v>
      </c>
      <c r="J746" s="1">
        <f t="shared" si="232"/>
        <v>43.612722937832181</v>
      </c>
      <c r="K746" s="7">
        <f t="shared" si="233"/>
        <v>3.5846073647533303</v>
      </c>
      <c r="L746" s="4">
        <f t="shared" si="234"/>
        <v>2621.4535636851624</v>
      </c>
      <c r="M746" s="1">
        <f t="shared" si="235"/>
        <v>1015.1336863165448</v>
      </c>
      <c r="N746" s="7">
        <f t="shared" si="236"/>
        <v>31.972595301817492</v>
      </c>
      <c r="O746" s="1">
        <f t="shared" si="237"/>
        <v>3000</v>
      </c>
      <c r="P746" s="2">
        <f t="shared" si="238"/>
        <v>2.6611258196113621</v>
      </c>
      <c r="Q746" s="2">
        <f t="shared" si="225"/>
        <v>1232.0721959932748</v>
      </c>
      <c r="S746" s="1">
        <f t="shared" si="226"/>
        <v>3000</v>
      </c>
      <c r="T746" s="1">
        <f t="shared" si="227"/>
        <v>2621.4535636851624</v>
      </c>
      <c r="V746" s="1">
        <f t="shared" si="239"/>
        <v>2621.4535636851624</v>
      </c>
      <c r="W746" s="1">
        <f t="shared" si="240"/>
        <v>3000</v>
      </c>
    </row>
    <row r="747" spans="1:23" x14ac:dyDescent="0.25">
      <c r="A747" s="2">
        <f t="shared" si="241"/>
        <v>73.500000000000099</v>
      </c>
      <c r="B747" s="7">
        <f t="shared" si="224"/>
        <v>9.4980748131735933</v>
      </c>
      <c r="C747" s="7">
        <f t="shared" si="228"/>
        <v>2.031173073837639</v>
      </c>
      <c r="D747" s="7">
        <f t="shared" si="229"/>
        <v>32.166680156965406</v>
      </c>
      <c r="E747" s="7">
        <f t="shared" si="230"/>
        <v>1</v>
      </c>
      <c r="G747" s="4">
        <f t="shared" si="231"/>
        <v>7350.00000000001</v>
      </c>
      <c r="H747" s="1">
        <f t="shared" si="242"/>
        <v>3.8428840283898467</v>
      </c>
      <c r="I747" s="1">
        <f t="shared" si="243"/>
        <v>1312.2245721633553</v>
      </c>
      <c r="J747" s="1">
        <f t="shared" si="232"/>
        <v>43.740819072111847</v>
      </c>
      <c r="K747" s="7">
        <f t="shared" si="233"/>
        <v>3.5951358141461789</v>
      </c>
      <c r="L747" s="4">
        <f t="shared" si="234"/>
        <v>2602.2122775818066</v>
      </c>
      <c r="M747" s="1">
        <f t="shared" si="235"/>
        <v>1015.5865369188195</v>
      </c>
      <c r="N747" s="7">
        <f t="shared" si="236"/>
        <v>32.166680156965406</v>
      </c>
      <c r="O747" s="1">
        <f t="shared" si="237"/>
        <v>3000</v>
      </c>
      <c r="P747" s="2">
        <f t="shared" si="238"/>
        <v>2.6427717553169412</v>
      </c>
      <c r="Q747" s="2">
        <f t="shared" si="225"/>
        <v>1233.9736611328124</v>
      </c>
      <c r="S747" s="1">
        <f t="shared" si="226"/>
        <v>3000</v>
      </c>
      <c r="T747" s="1">
        <f t="shared" si="227"/>
        <v>2602.2122775818066</v>
      </c>
      <c r="V747" s="1">
        <f t="shared" si="239"/>
        <v>2602.2122775818066</v>
      </c>
      <c r="W747" s="1">
        <f t="shared" si="240"/>
        <v>3000</v>
      </c>
    </row>
    <row r="748" spans="1:23" x14ac:dyDescent="0.25">
      <c r="A748" s="2">
        <f t="shared" si="241"/>
        <v>73.600000000000094</v>
      </c>
      <c r="B748" s="7">
        <f t="shared" ref="B748:B811" si="244">IF(A748&lt;=$B$2,$B$3*EXP(A748*$B$4),IF(A748&lt;$B$7,$B$6,IF($B$8*EXP(A748*$B$9)&gt;$B$6,$B$6,$B$8*EXP(A748*$B$9))))</f>
        <v>9.4283596072881828</v>
      </c>
      <c r="C748" s="7">
        <f t="shared" si="228"/>
        <v>2.0320791790750188</v>
      </c>
      <c r="D748" s="7">
        <f t="shared" si="229"/>
        <v>32.361943175182127</v>
      </c>
      <c r="E748" s="7">
        <f t="shared" si="230"/>
        <v>1</v>
      </c>
      <c r="G748" s="4">
        <f t="shared" si="231"/>
        <v>7360.00000000001</v>
      </c>
      <c r="H748" s="1">
        <f t="shared" si="242"/>
        <v>3.8712990934059475</v>
      </c>
      <c r="I748" s="1">
        <f t="shared" si="243"/>
        <v>1316.0958712567613</v>
      </c>
      <c r="J748" s="1">
        <f t="shared" si="232"/>
        <v>43.869862375225374</v>
      </c>
      <c r="K748" s="7">
        <f t="shared" si="233"/>
        <v>3.6057421130322225</v>
      </c>
      <c r="L748" s="4">
        <f t="shared" si="234"/>
        <v>2583.1122211748448</v>
      </c>
      <c r="M748" s="1">
        <f t="shared" si="235"/>
        <v>1016.0395895375094</v>
      </c>
      <c r="N748" s="7">
        <f t="shared" si="236"/>
        <v>32.361943175182127</v>
      </c>
      <c r="O748" s="1">
        <f t="shared" si="237"/>
        <v>3000</v>
      </c>
      <c r="P748" s="2">
        <f t="shared" si="238"/>
        <v>2.6245442809318136</v>
      </c>
      <c r="Q748" s="2">
        <f t="shared" si="225"/>
        <v>1235.9097058818249</v>
      </c>
      <c r="S748" s="1">
        <f t="shared" si="226"/>
        <v>3000</v>
      </c>
      <c r="T748" s="1">
        <f t="shared" si="227"/>
        <v>2583.1122211748448</v>
      </c>
      <c r="V748" s="1">
        <f t="shared" si="239"/>
        <v>2583.1122211748448</v>
      </c>
      <c r="W748" s="1">
        <f t="shared" si="240"/>
        <v>3000</v>
      </c>
    </row>
    <row r="749" spans="1:23" x14ac:dyDescent="0.25">
      <c r="A749" s="2">
        <f t="shared" si="241"/>
        <v>73.700000000000088</v>
      </c>
      <c r="B749" s="7">
        <f t="shared" si="244"/>
        <v>9.3591561061458037</v>
      </c>
      <c r="C749" s="7">
        <f t="shared" si="228"/>
        <v>2.0329856885254669</v>
      </c>
      <c r="D749" s="7">
        <f t="shared" si="229"/>
        <v>32.558391508330203</v>
      </c>
      <c r="E749" s="7">
        <f t="shared" si="230"/>
        <v>1</v>
      </c>
      <c r="G749" s="4">
        <f t="shared" si="231"/>
        <v>7370.0000000000091</v>
      </c>
      <c r="H749" s="1">
        <f t="shared" si="242"/>
        <v>3.8999242651833228</v>
      </c>
      <c r="I749" s="1">
        <f t="shared" si="243"/>
        <v>1319.9957955219445</v>
      </c>
      <c r="J749" s="1">
        <f t="shared" si="232"/>
        <v>43.999859850731482</v>
      </c>
      <c r="K749" s="7">
        <f t="shared" si="233"/>
        <v>3.6164268370464234</v>
      </c>
      <c r="L749" s="4">
        <f t="shared" si="234"/>
        <v>2564.1523578481651</v>
      </c>
      <c r="M749" s="1">
        <f t="shared" si="235"/>
        <v>1016.4928442627335</v>
      </c>
      <c r="N749" s="7">
        <f t="shared" si="236"/>
        <v>32.558391508330203</v>
      </c>
      <c r="O749" s="1">
        <f t="shared" si="237"/>
        <v>3000</v>
      </c>
      <c r="P749" s="2">
        <f t="shared" si="238"/>
        <v>2.6064425233520758</v>
      </c>
      <c r="Q749" s="2">
        <f t="shared" si="225"/>
        <v>1237.8808605097306</v>
      </c>
      <c r="S749" s="1">
        <f t="shared" si="226"/>
        <v>3000</v>
      </c>
      <c r="T749" s="1">
        <f t="shared" si="227"/>
        <v>2564.1523578481651</v>
      </c>
      <c r="V749" s="1">
        <f t="shared" si="239"/>
        <v>2564.1523578481651</v>
      </c>
      <c r="W749" s="1">
        <f t="shared" si="240"/>
        <v>3000</v>
      </c>
    </row>
    <row r="750" spans="1:23" x14ac:dyDescent="0.25">
      <c r="A750" s="2">
        <f t="shared" si="241"/>
        <v>73.800000000000082</v>
      </c>
      <c r="B750" s="7">
        <f t="shared" si="244"/>
        <v>9.290460553869389</v>
      </c>
      <c r="C750" s="7">
        <f t="shared" si="228"/>
        <v>2.0338926023693031</v>
      </c>
      <c r="D750" s="7">
        <f t="shared" si="229"/>
        <v>32.756032351686585</v>
      </c>
      <c r="E750" s="7">
        <f t="shared" si="230"/>
        <v>1</v>
      </c>
      <c r="G750" s="4">
        <f t="shared" si="231"/>
        <v>7380.0000000000091</v>
      </c>
      <c r="H750" s="1">
        <f t="shared" si="242"/>
        <v>3.9287610972954505</v>
      </c>
      <c r="I750" s="1">
        <f t="shared" si="243"/>
        <v>1323.9245566192399</v>
      </c>
      <c r="J750" s="1">
        <f t="shared" si="232"/>
        <v>44.130818553974663</v>
      </c>
      <c r="K750" s="7">
        <f t="shared" si="233"/>
        <v>3.6271905660801091</v>
      </c>
      <c r="L750" s="4">
        <f t="shared" si="234"/>
        <v>2545.331658594353</v>
      </c>
      <c r="M750" s="1">
        <f t="shared" si="235"/>
        <v>1016.9463011846516</v>
      </c>
      <c r="N750" s="7">
        <f t="shared" si="236"/>
        <v>32.756032351686585</v>
      </c>
      <c r="O750" s="1">
        <f t="shared" si="237"/>
        <v>3000</v>
      </c>
      <c r="P750" s="2">
        <f t="shared" si="238"/>
        <v>2.5884656154957217</v>
      </c>
      <c r="Q750" s="2">
        <f t="shared" si="225"/>
        <v>1239.8876668125915</v>
      </c>
      <c r="S750" s="1">
        <f t="shared" si="226"/>
        <v>3000</v>
      </c>
      <c r="T750" s="1">
        <f t="shared" si="227"/>
        <v>2545.331658594353</v>
      </c>
      <c r="V750" s="1">
        <f t="shared" si="239"/>
        <v>2545.331658594353</v>
      </c>
      <c r="W750" s="1">
        <f t="shared" si="240"/>
        <v>3000</v>
      </c>
    </row>
    <row r="751" spans="1:23" x14ac:dyDescent="0.25">
      <c r="A751" s="2">
        <f t="shared" si="241"/>
        <v>73.900000000000077</v>
      </c>
      <c r="B751" s="7">
        <f t="shared" si="244"/>
        <v>9.2222692221497269</v>
      </c>
      <c r="C751" s="7">
        <f t="shared" si="228"/>
        <v>2.0347999207869267</v>
      </c>
      <c r="D751" s="7">
        <f t="shared" si="229"/>
        <v>32.954872944206009</v>
      </c>
      <c r="E751" s="7">
        <f t="shared" si="230"/>
        <v>1</v>
      </c>
      <c r="G751" s="4">
        <f t="shared" si="231"/>
        <v>7390.0000000000073</v>
      </c>
      <c r="H751" s="1">
        <f t="shared" si="242"/>
        <v>3.9578111548000492</v>
      </c>
      <c r="I751" s="1">
        <f t="shared" si="243"/>
        <v>1327.8823677740399</v>
      </c>
      <c r="J751" s="1">
        <f t="shared" si="232"/>
        <v>44.262745592468001</v>
      </c>
      <c r="K751" s="7">
        <f t="shared" si="233"/>
        <v>3.638033884312438</v>
      </c>
      <c r="L751" s="4">
        <f t="shared" si="234"/>
        <v>2526.6491019588293</v>
      </c>
      <c r="M751" s="1">
        <f t="shared" si="235"/>
        <v>1017.3999603934634</v>
      </c>
      <c r="N751" s="7">
        <f t="shared" si="236"/>
        <v>32.954872944206009</v>
      </c>
      <c r="O751" s="1">
        <f t="shared" si="237"/>
        <v>3000</v>
      </c>
      <c r="P751" s="2">
        <f t="shared" si="238"/>
        <v>2.5706126962610929</v>
      </c>
      <c r="Q751" s="2">
        <f t="shared" si="225"/>
        <v>1241.9306784272801</v>
      </c>
      <c r="S751" s="1">
        <f t="shared" si="226"/>
        <v>3000</v>
      </c>
      <c r="T751" s="1">
        <f t="shared" si="227"/>
        <v>2526.6491019588293</v>
      </c>
      <c r="V751" s="1">
        <f t="shared" si="239"/>
        <v>2526.6491019588293</v>
      </c>
      <c r="W751" s="1">
        <f t="shared" si="240"/>
        <v>3000</v>
      </c>
    </row>
    <row r="752" spans="1:23" x14ac:dyDescent="0.25">
      <c r="A752" s="2">
        <f t="shared" si="241"/>
        <v>74.000000000000071</v>
      </c>
      <c r="B752" s="7">
        <f t="shared" si="244"/>
        <v>9.1545784100431398</v>
      </c>
      <c r="C752" s="7">
        <f t="shared" si="228"/>
        <v>2.0357076439588186</v>
      </c>
      <c r="D752" s="7">
        <f t="shared" si="229"/>
        <v>33.15492056878626</v>
      </c>
      <c r="E752" s="7">
        <f t="shared" si="230"/>
        <v>1</v>
      </c>
      <c r="G752" s="4">
        <f t="shared" si="231"/>
        <v>7400.0000000000064</v>
      </c>
      <c r="H752" s="1">
        <f t="shared" si="242"/>
        <v>3.9870760143311372</v>
      </c>
      <c r="I752" s="1">
        <f t="shared" si="243"/>
        <v>1331.869443788371</v>
      </c>
      <c r="J752" s="1">
        <f t="shared" si="232"/>
        <v>44.395648126279035</v>
      </c>
      <c r="K752" s="7">
        <f t="shared" si="233"/>
        <v>3.6489573802421122</v>
      </c>
      <c r="L752" s="4">
        <f t="shared" si="234"/>
        <v>2508.1036739844217</v>
      </c>
      <c r="M752" s="1">
        <f t="shared" si="235"/>
        <v>1017.8538219794093</v>
      </c>
      <c r="N752" s="7">
        <f t="shared" si="236"/>
        <v>33.15492056878626</v>
      </c>
      <c r="O752" s="1">
        <f t="shared" si="237"/>
        <v>3000</v>
      </c>
      <c r="P752" s="2">
        <f t="shared" si="238"/>
        <v>2.5528829104856419</v>
      </c>
      <c r="Q752" s="2">
        <f t="shared" ref="Q752:Q815" si="245">IFERROR(N752/100*L752/(1-N752/100),L752*100)</f>
        <v>1244.0104611560125</v>
      </c>
      <c r="S752" s="1">
        <f t="shared" si="226"/>
        <v>3000</v>
      </c>
      <c r="T752" s="1">
        <f t="shared" si="227"/>
        <v>2508.1036739844217</v>
      </c>
      <c r="V752" s="1">
        <f t="shared" si="239"/>
        <v>2508.1036739844217</v>
      </c>
      <c r="W752" s="1">
        <f t="shared" si="240"/>
        <v>3000</v>
      </c>
    </row>
    <row r="753" spans="1:23" x14ac:dyDescent="0.25">
      <c r="A753" s="2">
        <f t="shared" si="241"/>
        <v>74.100000000000065</v>
      </c>
      <c r="B753" s="7">
        <f t="shared" si="244"/>
        <v>9.0873844437706168</v>
      </c>
      <c r="C753" s="7">
        <f t="shared" si="228"/>
        <v>2.0366157720655385</v>
      </c>
      <c r="D753" s="7">
        <f t="shared" si="229"/>
        <v>33.356182552534833</v>
      </c>
      <c r="E753" s="7">
        <f t="shared" si="230"/>
        <v>1</v>
      </c>
      <c r="G753" s="4">
        <f t="shared" si="231"/>
        <v>7410.0000000000064</v>
      </c>
      <c r="H753" s="1">
        <f t="shared" si="242"/>
        <v>4.0165572641774459</v>
      </c>
      <c r="I753" s="1">
        <f t="shared" si="243"/>
        <v>1335.8860010525484</v>
      </c>
      <c r="J753" s="1">
        <f t="shared" si="232"/>
        <v>44.529533368418278</v>
      </c>
      <c r="K753" s="7">
        <f t="shared" si="233"/>
        <v>3.6599616467193106</v>
      </c>
      <c r="L753" s="4">
        <f t="shared" si="234"/>
        <v>2489.6943681563339</v>
      </c>
      <c r="M753" s="1">
        <f t="shared" si="235"/>
        <v>1018.3078860327693</v>
      </c>
      <c r="N753" s="7">
        <f t="shared" si="236"/>
        <v>33.356182552534833</v>
      </c>
      <c r="O753" s="1">
        <f t="shared" si="237"/>
        <v>3000</v>
      </c>
      <c r="P753" s="2">
        <f t="shared" si="238"/>
        <v>2.5352754089049672</v>
      </c>
      <c r="Q753" s="2">
        <f t="shared" si="245"/>
        <v>1246.1275933015936</v>
      </c>
      <c r="S753" s="1">
        <f t="shared" si="226"/>
        <v>3000</v>
      </c>
      <c r="T753" s="1">
        <f t="shared" si="227"/>
        <v>2489.6943681563339</v>
      </c>
      <c r="V753" s="1">
        <f t="shared" si="239"/>
        <v>2489.6943681563339</v>
      </c>
      <c r="W753" s="1">
        <f t="shared" si="240"/>
        <v>3000</v>
      </c>
    </row>
    <row r="754" spans="1:23" x14ac:dyDescent="0.25">
      <c r="A754" s="2">
        <f t="shared" si="241"/>
        <v>74.20000000000006</v>
      </c>
      <c r="B754" s="7">
        <f t="shared" si="244"/>
        <v>9.0206836765184288</v>
      </c>
      <c r="C754" s="7">
        <f t="shared" si="228"/>
        <v>2.0375243052877279</v>
      </c>
      <c r="D754" s="7">
        <f t="shared" si="229"/>
        <v>33.558666267037296</v>
      </c>
      <c r="E754" s="7">
        <f t="shared" si="230"/>
        <v>1</v>
      </c>
      <c r="G754" s="4">
        <f t="shared" si="231"/>
        <v>7420.0000000000055</v>
      </c>
      <c r="H754" s="1">
        <f t="shared" si="242"/>
        <v>4.0462565043721854</v>
      </c>
      <c r="I754" s="1">
        <f t="shared" si="243"/>
        <v>1339.9322575569206</v>
      </c>
      <c r="J754" s="1">
        <f t="shared" si="232"/>
        <v>44.664408585230689</v>
      </c>
      <c r="K754" s="7">
        <f t="shared" si="233"/>
        <v>3.6710472809778647</v>
      </c>
      <c r="L754" s="4">
        <f t="shared" si="234"/>
        <v>2471.4201853475142</v>
      </c>
      <c r="M754" s="1">
        <f t="shared" si="235"/>
        <v>1018.7621526438639</v>
      </c>
      <c r="N754" s="7">
        <f t="shared" si="236"/>
        <v>33.558666267037296</v>
      </c>
      <c r="O754" s="1">
        <f t="shared" si="237"/>
        <v>3000</v>
      </c>
      <c r="P754" s="2">
        <f t="shared" si="238"/>
        <v>2.5177893481121312</v>
      </c>
      <c r="Q754" s="2">
        <f t="shared" si="245"/>
        <v>1248.2826660138207</v>
      </c>
      <c r="S754" s="1">
        <f t="shared" si="226"/>
        <v>3000</v>
      </c>
      <c r="T754" s="1">
        <f t="shared" si="227"/>
        <v>2471.4201853475142</v>
      </c>
      <c r="V754" s="1">
        <f t="shared" si="239"/>
        <v>2471.4201853475142</v>
      </c>
      <c r="W754" s="1">
        <f t="shared" si="240"/>
        <v>3000</v>
      </c>
    </row>
    <row r="755" spans="1:23" x14ac:dyDescent="0.25">
      <c r="A755" s="2">
        <f t="shared" si="241"/>
        <v>74.300000000000054</v>
      </c>
      <c r="B755" s="7">
        <f t="shared" si="244"/>
        <v>8.95447248824021</v>
      </c>
      <c r="C755" s="7">
        <f t="shared" si="228"/>
        <v>2.038433243806109</v>
      </c>
      <c r="D755" s="7">
        <f t="shared" si="229"/>
        <v>33.762379128627387</v>
      </c>
      <c r="E755" s="7">
        <f t="shared" si="230"/>
        <v>1</v>
      </c>
      <c r="G755" s="4">
        <f t="shared" si="231"/>
        <v>7430.0000000000055</v>
      </c>
      <c r="H755" s="1">
        <f t="shared" si="242"/>
        <v>4.0761753467817297</v>
      </c>
      <c r="I755" s="1">
        <f t="shared" si="243"/>
        <v>1344.0084329037024</v>
      </c>
      <c r="J755" s="1">
        <f t="shared" si="232"/>
        <v>44.80028109679008</v>
      </c>
      <c r="K755" s="7">
        <f t="shared" si="233"/>
        <v>3.6822148846676779</v>
      </c>
      <c r="L755" s="4">
        <f t="shared" si="234"/>
        <v>2453.2801337644414</v>
      </c>
      <c r="M755" s="1">
        <f t="shared" si="235"/>
        <v>1019.2166219030545</v>
      </c>
      <c r="N755" s="7">
        <f t="shared" si="236"/>
        <v>33.762379128627387</v>
      </c>
      <c r="O755" s="1">
        <f t="shared" si="237"/>
        <v>3000</v>
      </c>
      <c r="P755" s="2">
        <f t="shared" si="238"/>
        <v>2.5004238905172675</v>
      </c>
      <c r="Q755" s="2">
        <f t="shared" si="245"/>
        <v>1250.4762836474797</v>
      </c>
      <c r="S755" s="1">
        <f t="shared" si="226"/>
        <v>3000</v>
      </c>
      <c r="T755" s="1">
        <f t="shared" si="227"/>
        <v>2453.2801337644414</v>
      </c>
      <c r="V755" s="1">
        <f t="shared" si="239"/>
        <v>2453.2801337644414</v>
      </c>
      <c r="W755" s="1">
        <f t="shared" si="240"/>
        <v>3000</v>
      </c>
    </row>
    <row r="756" spans="1:23" x14ac:dyDescent="0.25">
      <c r="A756" s="2">
        <f t="shared" si="241"/>
        <v>74.400000000000048</v>
      </c>
      <c r="B756" s="7">
        <f t="shared" si="244"/>
        <v>8.8887472854604717</v>
      </c>
      <c r="C756" s="7">
        <f t="shared" si="228"/>
        <v>2.0393425878014839</v>
      </c>
      <c r="D756" s="7">
        <f t="shared" si="229"/>
        <v>33.967328598658554</v>
      </c>
      <c r="E756" s="7">
        <f t="shared" si="230"/>
        <v>1</v>
      </c>
      <c r="G756" s="4">
        <f t="shared" si="231"/>
        <v>7440.0000000000045</v>
      </c>
      <c r="H756" s="1">
        <f t="shared" si="242"/>
        <v>4.106315415187983</v>
      </c>
      <c r="I756" s="1">
        <f t="shared" si="243"/>
        <v>1348.1147483188904</v>
      </c>
      <c r="J756" s="1">
        <f t="shared" si="232"/>
        <v>44.937158277296348</v>
      </c>
      <c r="K756" s="7">
        <f t="shared" si="233"/>
        <v>3.6934650638873712</v>
      </c>
      <c r="L756" s="4">
        <f t="shared" si="234"/>
        <v>2435.2732288932802</v>
      </c>
      <c r="M756" s="1">
        <f t="shared" si="235"/>
        <v>1019.6712939007419</v>
      </c>
      <c r="N756" s="7">
        <f t="shared" si="236"/>
        <v>33.967328598658554</v>
      </c>
      <c r="O756" s="1">
        <f t="shared" si="237"/>
        <v>3000</v>
      </c>
      <c r="P756" s="2">
        <f t="shared" si="238"/>
        <v>2.4831782043074484</v>
      </c>
      <c r="Q756" s="2">
        <f t="shared" si="245"/>
        <v>1252.7090641323625</v>
      </c>
      <c r="S756" s="1">
        <f t="shared" si="226"/>
        <v>3000</v>
      </c>
      <c r="T756" s="1">
        <f t="shared" si="227"/>
        <v>2435.2732288932802</v>
      </c>
      <c r="V756" s="1">
        <f t="shared" si="239"/>
        <v>2435.2732288932802</v>
      </c>
      <c r="W756" s="1">
        <f t="shared" si="240"/>
        <v>3000</v>
      </c>
    </row>
    <row r="757" spans="1:23" x14ac:dyDescent="0.25">
      <c r="A757" s="2">
        <f t="shared" si="241"/>
        <v>74.500000000000043</v>
      </c>
      <c r="B757" s="7">
        <f t="shared" si="244"/>
        <v>8.8235045010795989</v>
      </c>
      <c r="C757" s="7">
        <f t="shared" si="228"/>
        <v>2.0402523374547359</v>
      </c>
      <c r="D757" s="7">
        <f t="shared" si="229"/>
        <v>34.173522183777287</v>
      </c>
      <c r="E757" s="7">
        <f t="shared" si="230"/>
        <v>1</v>
      </c>
      <c r="G757" s="4">
        <f t="shared" si="231"/>
        <v>7450.0000000000045</v>
      </c>
      <c r="H757" s="1">
        <f t="shared" si="242"/>
        <v>4.1366783453823874</v>
      </c>
      <c r="I757" s="1">
        <f t="shared" si="243"/>
        <v>1352.2514266642727</v>
      </c>
      <c r="J757" s="1">
        <f t="shared" si="232"/>
        <v>45.075047555475756</v>
      </c>
      <c r="K757" s="7">
        <f t="shared" si="233"/>
        <v>3.7047984292171856</v>
      </c>
      <c r="L757" s="4">
        <f t="shared" si="234"/>
        <v>2417.3984934464652</v>
      </c>
      <c r="M757" s="1">
        <f t="shared" si="235"/>
        <v>1020.1261687273679</v>
      </c>
      <c r="N757" s="7">
        <f t="shared" si="236"/>
        <v>34.173522183777287</v>
      </c>
      <c r="O757" s="1">
        <f t="shared" si="237"/>
        <v>3000</v>
      </c>
      <c r="P757" s="2">
        <f t="shared" si="238"/>
        <v>2.466051463406854</v>
      </c>
      <c r="Q757" s="2">
        <f t="shared" si="245"/>
        <v>1254.9816393558183</v>
      </c>
      <c r="S757" s="1">
        <f t="shared" si="226"/>
        <v>3000</v>
      </c>
      <c r="T757" s="1">
        <f t="shared" si="227"/>
        <v>2417.3984934464652</v>
      </c>
      <c r="V757" s="1">
        <f t="shared" si="239"/>
        <v>2417.3984934464652</v>
      </c>
      <c r="W757" s="1">
        <f t="shared" si="240"/>
        <v>3000</v>
      </c>
    </row>
    <row r="758" spans="1:23" x14ac:dyDescent="0.25">
      <c r="A758" s="2">
        <f t="shared" si="241"/>
        <v>74.600000000000037</v>
      </c>
      <c r="B758" s="7">
        <f t="shared" si="244"/>
        <v>8.7587405941802317</v>
      </c>
      <c r="C758" s="7">
        <f t="shared" si="228"/>
        <v>2.0411624929468277</v>
      </c>
      <c r="D758" s="7">
        <f t="shared" si="229"/>
        <v>34.380967436198048</v>
      </c>
      <c r="E758" s="7">
        <f t="shared" si="230"/>
        <v>1</v>
      </c>
      <c r="G758" s="4">
        <f t="shared" si="231"/>
        <v>7460.0000000000036</v>
      </c>
      <c r="H758" s="1">
        <f t="shared" si="242"/>
        <v>4.1672657852487616</v>
      </c>
      <c r="I758" s="1">
        <f t="shared" si="243"/>
        <v>1356.4186924495214</v>
      </c>
      <c r="J758" s="1">
        <f t="shared" si="232"/>
        <v>45.213956414984047</v>
      </c>
      <c r="K758" s="7">
        <f t="shared" si="233"/>
        <v>3.7162155957521135</v>
      </c>
      <c r="L758" s="4">
        <f t="shared" si="234"/>
        <v>2399.6549573096522</v>
      </c>
      <c r="M758" s="1">
        <f t="shared" si="235"/>
        <v>1020.5812464734139</v>
      </c>
      <c r="N758" s="7">
        <f t="shared" si="236"/>
        <v>34.380967436198048</v>
      </c>
      <c r="O758" s="1">
        <f t="shared" si="237"/>
        <v>3000</v>
      </c>
      <c r="P758" s="2">
        <f t="shared" si="238"/>
        <v>2.4490428474371919</v>
      </c>
      <c r="Q758" s="2">
        <f t="shared" si="245"/>
        <v>1257.2946555583021</v>
      </c>
      <c r="S758" s="1">
        <f t="shared" si="226"/>
        <v>3000</v>
      </c>
      <c r="T758" s="1">
        <f t="shared" si="227"/>
        <v>2399.6549573096522</v>
      </c>
      <c r="V758" s="1">
        <f t="shared" si="239"/>
        <v>2399.6549573096522</v>
      </c>
      <c r="W758" s="1">
        <f t="shared" si="240"/>
        <v>3000</v>
      </c>
    </row>
    <row r="759" spans="1:23" x14ac:dyDescent="0.25">
      <c r="A759" s="2">
        <f t="shared" si="241"/>
        <v>74.700000000000031</v>
      </c>
      <c r="B759" s="7">
        <f t="shared" si="244"/>
        <v>8.6944520498350908</v>
      </c>
      <c r="C759" s="7">
        <f t="shared" si="228"/>
        <v>2.0420730544588057</v>
      </c>
      <c r="D759" s="7">
        <f t="shared" si="229"/>
        <v>34.589671953979909</v>
      </c>
      <c r="E759" s="7">
        <f t="shared" si="230"/>
        <v>1</v>
      </c>
      <c r="G759" s="4">
        <f t="shared" si="231"/>
        <v>7470.0000000000036</v>
      </c>
      <c r="H759" s="1">
        <f t="shared" si="242"/>
        <v>4.1980793948587367</v>
      </c>
      <c r="I759" s="1">
        <f t="shared" si="243"/>
        <v>1360.6167718443801</v>
      </c>
      <c r="J759" s="1">
        <f t="shared" si="232"/>
        <v>45.353892394812668</v>
      </c>
      <c r="K759" s="7">
        <f t="shared" si="233"/>
        <v>3.727717183135288</v>
      </c>
      <c r="L759" s="4">
        <f t="shared" si="234"/>
        <v>2382.041657489066</v>
      </c>
      <c r="M759" s="1">
        <f t="shared" si="235"/>
        <v>1021.0365272294029</v>
      </c>
      <c r="N759" s="7">
        <f t="shared" si="236"/>
        <v>34.589671953979909</v>
      </c>
      <c r="O759" s="1">
        <f t="shared" si="237"/>
        <v>3000</v>
      </c>
      <c r="P759" s="2">
        <f t="shared" si="238"/>
        <v>2.4321515416784067</v>
      </c>
      <c r="Q759" s="2">
        <f t="shared" si="245"/>
        <v>1259.6487737424618</v>
      </c>
      <c r="S759" s="1">
        <f t="shared" si="226"/>
        <v>3000</v>
      </c>
      <c r="T759" s="1">
        <f t="shared" si="227"/>
        <v>2382.041657489066</v>
      </c>
      <c r="V759" s="1">
        <f t="shared" si="239"/>
        <v>2382.041657489066</v>
      </c>
      <c r="W759" s="1">
        <f t="shared" si="240"/>
        <v>3000</v>
      </c>
    </row>
    <row r="760" spans="1:23" x14ac:dyDescent="0.25">
      <c r="A760" s="2">
        <f t="shared" si="241"/>
        <v>74.800000000000026</v>
      </c>
      <c r="B760" s="7">
        <f t="shared" si="244"/>
        <v>8.6306353789162227</v>
      </c>
      <c r="C760" s="7">
        <f t="shared" si="228"/>
        <v>2.0429840221717939</v>
      </c>
      <c r="D760" s="7">
        <f t="shared" si="229"/>
        <v>34.799643381304747</v>
      </c>
      <c r="E760" s="7">
        <f t="shared" si="230"/>
        <v>1</v>
      </c>
      <c r="G760" s="4">
        <f t="shared" si="231"/>
        <v>7480.0000000000018</v>
      </c>
      <c r="H760" s="1">
        <f t="shared" si="242"/>
        <v>4.229120846555424</v>
      </c>
      <c r="I760" s="1">
        <f t="shared" si="243"/>
        <v>1364.8458926909354</v>
      </c>
      <c r="J760" s="1">
        <f t="shared" si="232"/>
        <v>45.494863089697851</v>
      </c>
      <c r="K760" s="7">
        <f t="shared" si="233"/>
        <v>3.7393038155916041</v>
      </c>
      <c r="L760" s="4">
        <f t="shared" si="234"/>
        <v>2364.5576380592388</v>
      </c>
      <c r="M760" s="1">
        <f t="shared" si="235"/>
        <v>1021.4920110858969</v>
      </c>
      <c r="N760" s="7">
        <f t="shared" si="236"/>
        <v>34.799643381304747</v>
      </c>
      <c r="O760" s="1">
        <f t="shared" si="237"/>
        <v>3000</v>
      </c>
      <c r="P760" s="2">
        <f t="shared" si="238"/>
        <v>2.4153767370296504</v>
      </c>
      <c r="Q760" s="2">
        <f t="shared" si="245"/>
        <v>1262.0446700962909</v>
      </c>
      <c r="S760" s="1">
        <f t="shared" si="226"/>
        <v>3000</v>
      </c>
      <c r="T760" s="1">
        <f t="shared" si="227"/>
        <v>2364.5576380592388</v>
      </c>
      <c r="V760" s="1">
        <f t="shared" si="239"/>
        <v>2364.5576380592388</v>
      </c>
      <c r="W760" s="1">
        <f t="shared" si="240"/>
        <v>3000</v>
      </c>
    </row>
    <row r="761" spans="1:23" x14ac:dyDescent="0.25">
      <c r="A761" s="2">
        <f t="shared" si="241"/>
        <v>74.90000000000002</v>
      </c>
      <c r="B761" s="7">
        <f t="shared" si="244"/>
        <v>8.5672871179056322</v>
      </c>
      <c r="C761" s="7">
        <f t="shared" si="228"/>
        <v>2.0438953962669983</v>
      </c>
      <c r="D761" s="7">
        <f t="shared" si="229"/>
        <v>35.010889408757372</v>
      </c>
      <c r="E761" s="7">
        <f t="shared" si="230"/>
        <v>1</v>
      </c>
      <c r="G761" s="4">
        <f t="shared" si="231"/>
        <v>7490.0000000000018</v>
      </c>
      <c r="H761" s="1">
        <f t="shared" si="242"/>
        <v>4.2603918250521797</v>
      </c>
      <c r="I761" s="1">
        <f t="shared" si="243"/>
        <v>1369.1062845159877</v>
      </c>
      <c r="J761" s="1">
        <f t="shared" si="232"/>
        <v>45.63687615053292</v>
      </c>
      <c r="K761" s="7">
        <f t="shared" si="233"/>
        <v>3.7509761219616102</v>
      </c>
      <c r="L761" s="4">
        <f t="shared" si="234"/>
        <v>2347.2019501111317</v>
      </c>
      <c r="M761" s="1">
        <f t="shared" si="235"/>
        <v>1021.9476981334992</v>
      </c>
      <c r="N761" s="7">
        <f t="shared" si="236"/>
        <v>35.010889408757372</v>
      </c>
      <c r="O761" s="1">
        <f t="shared" si="237"/>
        <v>3000</v>
      </c>
      <c r="P761" s="2">
        <f t="shared" si="238"/>
        <v>2.3987176299705313</v>
      </c>
      <c r="Q761" s="2">
        <f t="shared" si="245"/>
        <v>1264.4830364309375</v>
      </c>
      <c r="S761" s="1">
        <f t="shared" si="226"/>
        <v>3000</v>
      </c>
      <c r="T761" s="1">
        <f t="shared" si="227"/>
        <v>2347.2019501111317</v>
      </c>
      <c r="V761" s="1">
        <f t="shared" si="239"/>
        <v>2347.2019501111317</v>
      </c>
      <c r="W761" s="1">
        <f t="shared" si="240"/>
        <v>3000</v>
      </c>
    </row>
    <row r="762" spans="1:23" x14ac:dyDescent="0.25">
      <c r="A762" s="2">
        <f t="shared" si="241"/>
        <v>75.000000000000014</v>
      </c>
      <c r="B762" s="7">
        <f t="shared" si="244"/>
        <v>8.5044038287072965</v>
      </c>
      <c r="C762" s="7">
        <f t="shared" si="228"/>
        <v>2.0448071769257061</v>
      </c>
      <c r="D762" s="7">
        <f t="shared" si="229"/>
        <v>35.223417773607132</v>
      </c>
      <c r="E762" s="7">
        <f t="shared" si="230"/>
        <v>1</v>
      </c>
      <c r="G762" s="4">
        <f t="shared" si="231"/>
        <v>7500.0000000000009</v>
      </c>
      <c r="H762" s="1">
        <f t="shared" si="242"/>
        <v>4.2918940275140756</v>
      </c>
      <c r="I762" s="1">
        <f t="shared" si="243"/>
        <v>1373.3981785435017</v>
      </c>
      <c r="J762" s="1">
        <f t="shared" si="232"/>
        <v>45.779939284783389</v>
      </c>
      <c r="K762" s="7">
        <f t="shared" si="233"/>
        <v>3.7627347357356209</v>
      </c>
      <c r="L762" s="4">
        <f t="shared" si="234"/>
        <v>2329.973651700629</v>
      </c>
      <c r="M762" s="1">
        <f t="shared" si="235"/>
        <v>1022.403588462853</v>
      </c>
      <c r="N762" s="7">
        <f t="shared" si="236"/>
        <v>35.223417773607132</v>
      </c>
      <c r="O762" s="1">
        <f t="shared" si="237"/>
        <v>3000</v>
      </c>
      <c r="P762" s="2">
        <f t="shared" si="238"/>
        <v>2.3821734225226208</v>
      </c>
      <c r="Q762" s="2">
        <f t="shared" si="245"/>
        <v>1266.9645806337312</v>
      </c>
      <c r="S762" s="1">
        <f t="shared" si="226"/>
        <v>3000</v>
      </c>
      <c r="T762" s="1">
        <f t="shared" si="227"/>
        <v>2329.973651700629</v>
      </c>
      <c r="V762" s="1">
        <f t="shared" si="239"/>
        <v>2329.973651700629</v>
      </c>
      <c r="W762" s="1">
        <f t="shared" si="240"/>
        <v>3000</v>
      </c>
    </row>
    <row r="763" spans="1:23" x14ac:dyDescent="0.25">
      <c r="A763" s="2">
        <f t="shared" si="241"/>
        <v>75.100000000000009</v>
      </c>
      <c r="B763" s="7">
        <f t="shared" si="244"/>
        <v>8.4419820984605778</v>
      </c>
      <c r="C763" s="7">
        <f t="shared" si="228"/>
        <v>2.0457193643292855</v>
      </c>
      <c r="D763" s="7">
        <f t="shared" si="229"/>
        <v>35.437236260091282</v>
      </c>
      <c r="E763" s="7">
        <f t="shared" si="230"/>
        <v>1</v>
      </c>
      <c r="G763" s="4">
        <f t="shared" si="231"/>
        <v>7510.0000000000018</v>
      </c>
      <c r="H763" s="1">
        <f t="shared" si="242"/>
        <v>4.3236291636604172</v>
      </c>
      <c r="I763" s="1">
        <f t="shared" si="243"/>
        <v>1377.721807707162</v>
      </c>
      <c r="J763" s="1">
        <f t="shared" si="232"/>
        <v>45.924060256905399</v>
      </c>
      <c r="K763" s="7">
        <f t="shared" si="233"/>
        <v>3.7745802950881151</v>
      </c>
      <c r="L763" s="4">
        <f t="shared" si="234"/>
        <v>2312.8718077974186</v>
      </c>
      <c r="M763" s="1">
        <f t="shared" si="235"/>
        <v>1022.8596821646428</v>
      </c>
      <c r="N763" s="7">
        <f t="shared" si="236"/>
        <v>35.437236260091282</v>
      </c>
      <c r="O763" s="1">
        <f t="shared" si="237"/>
        <v>3000</v>
      </c>
      <c r="P763" s="2">
        <f t="shared" si="238"/>
        <v>2.3657433222112303</v>
      </c>
      <c r="Q763" s="2">
        <f t="shared" si="245"/>
        <v>1269.4900271370791</v>
      </c>
      <c r="S763" s="1">
        <f t="shared" si="226"/>
        <v>3000</v>
      </c>
      <c r="T763" s="1">
        <f t="shared" si="227"/>
        <v>2312.8718077974186</v>
      </c>
      <c r="V763" s="1">
        <f t="shared" si="239"/>
        <v>2312.8718077974186</v>
      </c>
      <c r="W763" s="1">
        <f t="shared" si="240"/>
        <v>3000</v>
      </c>
    </row>
    <row r="764" spans="1:23" x14ac:dyDescent="0.25">
      <c r="A764" s="2">
        <f t="shared" si="241"/>
        <v>75.2</v>
      </c>
      <c r="B764" s="7">
        <f t="shared" si="244"/>
        <v>8.3800185393550173</v>
      </c>
      <c r="C764" s="7">
        <f t="shared" si="228"/>
        <v>2.0466319586591841</v>
      </c>
      <c r="D764" s="7">
        <f t="shared" si="229"/>
        <v>35.652352699700145</v>
      </c>
      <c r="E764" s="7">
        <f t="shared" si="230"/>
        <v>1</v>
      </c>
      <c r="G764" s="4">
        <f t="shared" si="231"/>
        <v>7520</v>
      </c>
      <c r="H764" s="1">
        <f t="shared" si="242"/>
        <v>4.3555989558470181</v>
      </c>
      <c r="I764" s="1">
        <f t="shared" si="243"/>
        <v>1382.077406663009</v>
      </c>
      <c r="J764" s="1">
        <f t="shared" si="232"/>
        <v>46.069246888766969</v>
      </c>
      <c r="K764" s="7">
        <f t="shared" si="233"/>
        <v>3.7865134429123533</v>
      </c>
      <c r="L764" s="4">
        <f t="shared" si="234"/>
        <v>2295.8954902342512</v>
      </c>
      <c r="M764" s="1">
        <f t="shared" si="235"/>
        <v>1023.3159793295921</v>
      </c>
      <c r="N764" s="7">
        <f t="shared" si="236"/>
        <v>35.652352699700145</v>
      </c>
      <c r="O764" s="1">
        <f t="shared" si="237"/>
        <v>3000</v>
      </c>
      <c r="P764" s="2">
        <f t="shared" si="238"/>
        <v>2.3494265420274565</v>
      </c>
      <c r="Q764" s="2">
        <f t="shared" si="245"/>
        <v>1272.0601174038738</v>
      </c>
      <c r="S764" s="1">
        <f t="shared" si="226"/>
        <v>3000</v>
      </c>
      <c r="T764" s="1">
        <f t="shared" si="227"/>
        <v>2295.8954902342512</v>
      </c>
      <c r="V764" s="1">
        <f t="shared" si="239"/>
        <v>2295.8954902342512</v>
      </c>
      <c r="W764" s="1">
        <f t="shared" si="240"/>
        <v>3000</v>
      </c>
    </row>
    <row r="765" spans="1:23" x14ac:dyDescent="0.25">
      <c r="A765" s="2">
        <f t="shared" si="241"/>
        <v>75.3</v>
      </c>
      <c r="B765" s="7">
        <f t="shared" si="244"/>
        <v>8.3185097884464216</v>
      </c>
      <c r="C765" s="7">
        <f t="shared" si="228"/>
        <v>2.0475449600969324</v>
      </c>
      <c r="D765" s="7">
        <f t="shared" si="229"/>
        <v>35.868774971463964</v>
      </c>
      <c r="E765" s="7">
        <f t="shared" si="230"/>
        <v>1</v>
      </c>
      <c r="G765" s="4">
        <f t="shared" si="231"/>
        <v>7530</v>
      </c>
      <c r="H765" s="1">
        <f t="shared" si="242"/>
        <v>4.387805139172265</v>
      </c>
      <c r="I765" s="1">
        <f t="shared" si="243"/>
        <v>1386.4652118021813</v>
      </c>
      <c r="J765" s="1">
        <f t="shared" si="232"/>
        <v>46.21550706007271</v>
      </c>
      <c r="K765" s="7">
        <f t="shared" si="233"/>
        <v>3.7985348268552914</v>
      </c>
      <c r="L765" s="4">
        <f t="shared" si="234"/>
        <v>2279.0437776565541</v>
      </c>
      <c r="M765" s="1">
        <f t="shared" si="235"/>
        <v>1023.7724800484663</v>
      </c>
      <c r="N765" s="7">
        <f t="shared" si="236"/>
        <v>35.868774971463964</v>
      </c>
      <c r="O765" s="1">
        <f t="shared" si="237"/>
        <v>3000</v>
      </c>
      <c r="P765" s="2">
        <f t="shared" si="238"/>
        <v>2.3332223003904757</v>
      </c>
      <c r="Q765" s="2">
        <f t="shared" si="245"/>
        <v>1274.6756104300814</v>
      </c>
      <c r="S765" s="1">
        <f t="shared" si="226"/>
        <v>3000</v>
      </c>
      <c r="T765" s="1">
        <f t="shared" si="227"/>
        <v>2279.0437776565541</v>
      </c>
      <c r="V765" s="1">
        <f t="shared" si="239"/>
        <v>2279.0437776565541</v>
      </c>
      <c r="W765" s="1">
        <f t="shared" si="240"/>
        <v>3000</v>
      </c>
    </row>
    <row r="766" spans="1:23" x14ac:dyDescent="0.25">
      <c r="A766" s="2">
        <f t="shared" si="241"/>
        <v>75.399999999999991</v>
      </c>
      <c r="B766" s="7">
        <f t="shared" si="244"/>
        <v>8.2574525074743867</v>
      </c>
      <c r="C766" s="7">
        <f t="shared" si="228"/>
        <v>2.0484583688241407</v>
      </c>
      <c r="D766" s="7">
        <f t="shared" si="229"/>
        <v>36.086511002241359</v>
      </c>
      <c r="E766" s="7">
        <f t="shared" si="230"/>
        <v>1</v>
      </c>
      <c r="G766" s="4">
        <f t="shared" si="231"/>
        <v>7539.9999999999991</v>
      </c>
      <c r="H766" s="1">
        <f t="shared" si="242"/>
        <v>4.4202494615570629</v>
      </c>
      <c r="I766" s="1">
        <f t="shared" si="243"/>
        <v>1390.8854612637383</v>
      </c>
      <c r="J766" s="1">
        <f t="shared" si="232"/>
        <v>46.362848708791276</v>
      </c>
      <c r="K766" s="7">
        <f t="shared" si="233"/>
        <v>3.8106450993527079</v>
      </c>
      <c r="L766" s="4">
        <f t="shared" si="234"/>
        <v>2262.3157554724348</v>
      </c>
      <c r="M766" s="1">
        <f t="shared" si="235"/>
        <v>1024.2291844120703</v>
      </c>
      <c r="N766" s="7">
        <f t="shared" si="236"/>
        <v>36.086511002241359</v>
      </c>
      <c r="O766" s="1">
        <f t="shared" si="237"/>
        <v>3000</v>
      </c>
      <c r="P766" s="2">
        <f t="shared" si="238"/>
        <v>2.3171298211101083</v>
      </c>
      <c r="Q766" s="2">
        <f t="shared" si="245"/>
        <v>1277.3372832652428</v>
      </c>
      <c r="S766" s="1">
        <f t="shared" si="226"/>
        <v>3000</v>
      </c>
      <c r="T766" s="1">
        <f t="shared" si="227"/>
        <v>2262.3157554724348</v>
      </c>
      <c r="V766" s="1">
        <f t="shared" si="239"/>
        <v>2262.3157554724348</v>
      </c>
      <c r="W766" s="1">
        <f t="shared" si="240"/>
        <v>3000</v>
      </c>
    </row>
    <row r="767" spans="1:23" x14ac:dyDescent="0.25">
      <c r="A767" s="2">
        <f t="shared" si="241"/>
        <v>75.499999999999986</v>
      </c>
      <c r="B767" s="7">
        <f t="shared" si="244"/>
        <v>8.196843382681104</v>
      </c>
      <c r="C767" s="7">
        <f t="shared" si="228"/>
        <v>2.0493721850225008</v>
      </c>
      <c r="D767" s="7">
        <f t="shared" si="229"/>
        <v>36.305568767009845</v>
      </c>
      <c r="E767" s="7">
        <f t="shared" si="230"/>
        <v>1</v>
      </c>
      <c r="G767" s="4">
        <f t="shared" si="231"/>
        <v>7549.9999999999991</v>
      </c>
      <c r="H767" s="1">
        <f t="shared" si="242"/>
        <v>4.4529336838519926</v>
      </c>
      <c r="I767" s="1">
        <f t="shared" si="243"/>
        <v>1395.3383949475904</v>
      </c>
      <c r="J767" s="1">
        <f t="shared" si="232"/>
        <v>46.511279831586343</v>
      </c>
      <c r="K767" s="7">
        <f t="shared" si="233"/>
        <v>3.8228449176646313</v>
      </c>
      <c r="L767" s="4">
        <f t="shared" si="234"/>
        <v>2245.7105158030422</v>
      </c>
      <c r="M767" s="1">
        <f t="shared" si="235"/>
        <v>1024.6860925112505</v>
      </c>
      <c r="N767" s="7">
        <f t="shared" si="236"/>
        <v>36.305568767009845</v>
      </c>
      <c r="O767" s="1">
        <f t="shared" si="237"/>
        <v>3000</v>
      </c>
      <c r="P767" s="2">
        <f t="shared" si="238"/>
        <v>2.3011483333496443</v>
      </c>
      <c r="Q767" s="2">
        <f t="shared" si="245"/>
        <v>1280.0459315516359</v>
      </c>
      <c r="S767" s="1">
        <f t="shared" si="226"/>
        <v>3000</v>
      </c>
      <c r="T767" s="1">
        <f t="shared" si="227"/>
        <v>2245.7105158030422</v>
      </c>
      <c r="V767" s="1">
        <f t="shared" si="239"/>
        <v>2245.7105158030422</v>
      </c>
      <c r="W767" s="1">
        <f t="shared" si="240"/>
        <v>3000</v>
      </c>
    </row>
    <row r="768" spans="1:23" x14ac:dyDescent="0.25">
      <c r="A768" s="2">
        <f t="shared" si="241"/>
        <v>75.59999999999998</v>
      </c>
      <c r="B768" s="7">
        <f t="shared" si="244"/>
        <v>8.1366791246315149</v>
      </c>
      <c r="C768" s="7">
        <f t="shared" si="228"/>
        <v>2.0502864088737853</v>
      </c>
      <c r="D768" s="7">
        <f t="shared" si="229"/>
        <v>36.525956289157818</v>
      </c>
      <c r="E768" s="7">
        <f t="shared" si="230"/>
        <v>1</v>
      </c>
      <c r="G768" s="4">
        <f t="shared" si="231"/>
        <v>7559.9999999999982</v>
      </c>
      <c r="H768" s="1">
        <f t="shared" si="242"/>
        <v>4.485859579924095</v>
      </c>
      <c r="I768" s="1">
        <f t="shared" si="243"/>
        <v>1399.8242545275145</v>
      </c>
      <c r="J768" s="1">
        <f t="shared" si="232"/>
        <v>46.660808484250488</v>
      </c>
      <c r="K768" s="7">
        <f t="shared" si="233"/>
        <v>3.8351349439109987</v>
      </c>
      <c r="L768" s="4">
        <f t="shared" si="234"/>
        <v>2229.2271574332917</v>
      </c>
      <c r="M768" s="1">
        <f t="shared" si="235"/>
        <v>1025.1432044368926</v>
      </c>
      <c r="N768" s="7">
        <f t="shared" si="236"/>
        <v>36.525956289157818</v>
      </c>
      <c r="O768" s="1">
        <f t="shared" si="237"/>
        <v>3000</v>
      </c>
      <c r="P768" s="2">
        <f t="shared" si="238"/>
        <v>2.2852770715889097</v>
      </c>
      <c r="Q768" s="2">
        <f t="shared" si="245"/>
        <v>1282.8023700828687</v>
      </c>
      <c r="S768" s="1">
        <f t="shared" si="226"/>
        <v>3000</v>
      </c>
      <c r="T768" s="1">
        <f t="shared" si="227"/>
        <v>2229.2271574332917</v>
      </c>
      <c r="V768" s="1">
        <f t="shared" si="239"/>
        <v>2229.2271574332917</v>
      </c>
      <c r="W768" s="1">
        <f t="shared" si="240"/>
        <v>3000</v>
      </c>
    </row>
    <row r="769" spans="1:23" x14ac:dyDescent="0.25">
      <c r="A769" s="2">
        <f t="shared" si="241"/>
        <v>75.699999999999974</v>
      </c>
      <c r="B769" s="7">
        <f t="shared" si="244"/>
        <v>8.076956468034787</v>
      </c>
      <c r="C769" s="7">
        <f t="shared" si="228"/>
        <v>2.0512010405598478</v>
      </c>
      <c r="D769" s="7">
        <f t="shared" si="229"/>
        <v>36.747681640778467</v>
      </c>
      <c r="E769" s="7">
        <f t="shared" si="230"/>
        <v>1</v>
      </c>
      <c r="G769" s="4">
        <f t="shared" si="231"/>
        <v>7569.9999999999973</v>
      </c>
      <c r="H769" s="1">
        <f t="shared" si="242"/>
        <v>4.5190289367595833</v>
      </c>
      <c r="I769" s="1">
        <f t="shared" si="243"/>
        <v>1404.3432834642742</v>
      </c>
      <c r="J769" s="1">
        <f t="shared" si="232"/>
        <v>46.811442782142471</v>
      </c>
      <c r="K769" s="7">
        <f t="shared" si="233"/>
        <v>3.8475158451076008</v>
      </c>
      <c r="L769" s="4">
        <f t="shared" si="234"/>
        <v>2212.8647857629553</v>
      </c>
      <c r="M769" s="1">
        <f t="shared" si="235"/>
        <v>1025.6005202799238</v>
      </c>
      <c r="N769" s="7">
        <f t="shared" si="236"/>
        <v>36.747681640778467</v>
      </c>
      <c r="O769" s="1">
        <f t="shared" si="237"/>
        <v>3000</v>
      </c>
      <c r="P769" s="2">
        <f t="shared" si="238"/>
        <v>2.2695152755876089</v>
      </c>
      <c r="Q769" s="2">
        <f t="shared" si="245"/>
        <v>1285.6074333827362</v>
      </c>
      <c r="S769" s="1">
        <f t="shared" si="226"/>
        <v>3000</v>
      </c>
      <c r="T769" s="1">
        <f t="shared" si="227"/>
        <v>2212.8647857629553</v>
      </c>
      <c r="V769" s="1">
        <f t="shared" si="239"/>
        <v>2212.8647857629553</v>
      </c>
      <c r="W769" s="1">
        <f t="shared" si="240"/>
        <v>3000</v>
      </c>
    </row>
    <row r="770" spans="1:23" x14ac:dyDescent="0.25">
      <c r="A770" s="2">
        <f t="shared" si="241"/>
        <v>75.799999999999969</v>
      </c>
      <c r="B770" s="7">
        <f t="shared" si="244"/>
        <v>8.0176721715670904</v>
      </c>
      <c r="C770" s="7">
        <f t="shared" si="228"/>
        <v>2.052116080262623</v>
      </c>
      <c r="D770" s="7">
        <f t="shared" si="229"/>
        <v>36.97075294296539</v>
      </c>
      <c r="E770" s="7">
        <f t="shared" si="230"/>
        <v>1</v>
      </c>
      <c r="G770" s="4">
        <f t="shared" si="231"/>
        <v>7579.9999999999964</v>
      </c>
      <c r="H770" s="1">
        <f t="shared" si="242"/>
        <v>4.5524435545563833</v>
      </c>
      <c r="I770" s="1">
        <f t="shared" si="243"/>
        <v>1408.8957270188307</v>
      </c>
      <c r="J770" s="1">
        <f t="shared" si="232"/>
        <v>46.963190900627687</v>
      </c>
      <c r="K770" s="7">
        <f t="shared" si="233"/>
        <v>3.8599882932022758</v>
      </c>
      <c r="L770" s="4">
        <f t="shared" si="234"/>
        <v>2196.622512758107</v>
      </c>
      <c r="M770" s="1">
        <f t="shared" si="235"/>
        <v>1026.0580401313116</v>
      </c>
      <c r="N770" s="7">
        <f t="shared" si="236"/>
        <v>36.97075294296539</v>
      </c>
      <c r="O770" s="1">
        <f t="shared" si="237"/>
        <v>3000</v>
      </c>
      <c r="P770" s="2">
        <f t="shared" si="238"/>
        <v>2.2538621903489005</v>
      </c>
      <c r="Q770" s="2">
        <f t="shared" si="245"/>
        <v>1288.4619763052046</v>
      </c>
      <c r="S770" s="1">
        <f t="shared" si="226"/>
        <v>3000</v>
      </c>
      <c r="T770" s="1">
        <f t="shared" si="227"/>
        <v>2196.622512758107</v>
      </c>
      <c r="V770" s="1">
        <f t="shared" si="239"/>
        <v>2196.622512758107</v>
      </c>
      <c r="W770" s="1">
        <f t="shared" si="240"/>
        <v>3000</v>
      </c>
    </row>
    <row r="771" spans="1:23" x14ac:dyDescent="0.25">
      <c r="A771" s="2">
        <f t="shared" si="241"/>
        <v>75.899999999999963</v>
      </c>
      <c r="B771" s="7">
        <f t="shared" si="244"/>
        <v>7.9588230176956829</v>
      </c>
      <c r="C771" s="7">
        <f t="shared" si="228"/>
        <v>2.0530315281641274</v>
      </c>
      <c r="D771" s="7">
        <f t="shared" si="229"/>
        <v>37.19517836611012</v>
      </c>
      <c r="E771" s="7">
        <f t="shared" si="230"/>
        <v>1</v>
      </c>
      <c r="G771" s="4">
        <f t="shared" si="231"/>
        <v>7589.9999999999964</v>
      </c>
      <c r="H771" s="1">
        <f t="shared" si="242"/>
        <v>4.5861052468242773</v>
      </c>
      <c r="I771" s="1">
        <f t="shared" si="243"/>
        <v>1413.4818322656549</v>
      </c>
      <c r="J771" s="1">
        <f t="shared" si="232"/>
        <v>47.116061075521834</v>
      </c>
      <c r="K771" s="7">
        <f t="shared" si="233"/>
        <v>3.8725529651113835</v>
      </c>
      <c r="L771" s="4">
        <f t="shared" si="234"/>
        <v>2180.4994569029268</v>
      </c>
      <c r="M771" s="1">
        <f t="shared" si="235"/>
        <v>1026.5157640820637</v>
      </c>
      <c r="N771" s="7">
        <f t="shared" si="236"/>
        <v>37.19517836611012</v>
      </c>
      <c r="O771" s="1">
        <f t="shared" si="237"/>
        <v>3000</v>
      </c>
      <c r="P771" s="2">
        <f t="shared" si="238"/>
        <v>2.238317066083233</v>
      </c>
      <c r="Q771" s="2">
        <f t="shared" si="245"/>
        <v>1291.3668746564254</v>
      </c>
      <c r="S771" s="1">
        <f t="shared" si="226"/>
        <v>3000</v>
      </c>
      <c r="T771" s="1">
        <f t="shared" si="227"/>
        <v>2180.4994569029268</v>
      </c>
      <c r="V771" s="1">
        <f t="shared" si="239"/>
        <v>2180.4994569029268</v>
      </c>
      <c r="W771" s="1">
        <f t="shared" si="240"/>
        <v>3000</v>
      </c>
    </row>
    <row r="772" spans="1:23" x14ac:dyDescent="0.25">
      <c r="A772" s="2">
        <f t="shared" si="241"/>
        <v>75.999999999999957</v>
      </c>
      <c r="B772" s="7">
        <f t="shared" si="244"/>
        <v>7.9004058125043075</v>
      </c>
      <c r="C772" s="7">
        <f t="shared" si="228"/>
        <v>2.0539473844464582</v>
      </c>
      <c r="D772" s="7">
        <f t="shared" si="229"/>
        <v>37.420966130201229</v>
      </c>
      <c r="E772" s="7">
        <f t="shared" si="230"/>
        <v>1</v>
      </c>
      <c r="G772" s="4">
        <f t="shared" si="231"/>
        <v>7599.9999999999964</v>
      </c>
      <c r="H772" s="1">
        <f t="shared" si="242"/>
        <v>4.620015840481245</v>
      </c>
      <c r="I772" s="1">
        <f t="shared" si="243"/>
        <v>1418.1018481061362</v>
      </c>
      <c r="J772" s="1">
        <f t="shared" si="232"/>
        <v>47.270061603537876</v>
      </c>
      <c r="K772" s="7">
        <f t="shared" si="233"/>
        <v>3.8852105427565378</v>
      </c>
      <c r="L772" s="4">
        <f t="shared" si="234"/>
        <v>2164.4947431518649</v>
      </c>
      <c r="M772" s="1">
        <f t="shared" si="235"/>
        <v>1026.9736922232291</v>
      </c>
      <c r="N772" s="7">
        <f t="shared" si="236"/>
        <v>37.420966130201229</v>
      </c>
      <c r="O772" s="1">
        <f t="shared" si="237"/>
        <v>3000</v>
      </c>
      <c r="P772" s="2">
        <f t="shared" si="238"/>
        <v>2.2228791581724408</v>
      </c>
      <c r="Q772" s="2">
        <f t="shared" si="245"/>
        <v>1294.3230258397243</v>
      </c>
      <c r="S772" s="1">
        <f t="shared" si="226"/>
        <v>3000</v>
      </c>
      <c r="T772" s="1">
        <f t="shared" si="227"/>
        <v>2164.4947431518649</v>
      </c>
      <c r="V772" s="1">
        <f t="shared" si="239"/>
        <v>2164.4947431518649</v>
      </c>
      <c r="W772" s="1">
        <f t="shared" si="240"/>
        <v>3000</v>
      </c>
    </row>
    <row r="773" spans="1:23" x14ac:dyDescent="0.25">
      <c r="A773" s="2">
        <f t="shared" si="241"/>
        <v>76.099999999999952</v>
      </c>
      <c r="B773" s="7">
        <f t="shared" si="244"/>
        <v>7.8424173855198074</v>
      </c>
      <c r="C773" s="7">
        <f t="shared" si="228"/>
        <v>2.0548636492917933</v>
      </c>
      <c r="D773" s="7">
        <f t="shared" si="229"/>
        <v>37.648124505125587</v>
      </c>
      <c r="E773" s="7">
        <f t="shared" si="230"/>
        <v>1</v>
      </c>
      <c r="G773" s="4">
        <f t="shared" si="231"/>
        <v>7609.9999999999955</v>
      </c>
      <c r="H773" s="1">
        <f t="shared" si="242"/>
        <v>4.6541771759547075</v>
      </c>
      <c r="I773" s="1">
        <f t="shared" si="243"/>
        <v>1422.7560252820908</v>
      </c>
      <c r="J773" s="1">
        <f t="shared" si="232"/>
        <v>47.425200842736359</v>
      </c>
      <c r="K773" s="7">
        <f t="shared" si="233"/>
        <v>3.8979617131016187</v>
      </c>
      <c r="L773" s="4">
        <f t="shared" si="234"/>
        <v>2148.6075028821392</v>
      </c>
      <c r="M773" s="1">
        <f t="shared" si="235"/>
        <v>1027.4318246458968</v>
      </c>
      <c r="N773" s="7">
        <f t="shared" si="236"/>
        <v>37.648124505125587</v>
      </c>
      <c r="O773" s="1">
        <f t="shared" si="237"/>
        <v>3000</v>
      </c>
      <c r="P773" s="2">
        <f t="shared" si="238"/>
        <v>2.20754772713406</v>
      </c>
      <c r="Q773" s="2">
        <f t="shared" si="245"/>
        <v>1297.3313495245759</v>
      </c>
      <c r="S773" s="1">
        <f t="shared" si="226"/>
        <v>3000</v>
      </c>
      <c r="T773" s="1">
        <f t="shared" si="227"/>
        <v>2148.6075028821392</v>
      </c>
      <c r="V773" s="1">
        <f t="shared" si="239"/>
        <v>2148.6075028821392</v>
      </c>
      <c r="W773" s="1">
        <f t="shared" si="240"/>
        <v>3000</v>
      </c>
    </row>
    <row r="774" spans="1:23" x14ac:dyDescent="0.25">
      <c r="A774" s="2">
        <f t="shared" si="241"/>
        <v>76.199999999999946</v>
      </c>
      <c r="B774" s="7">
        <f t="shared" si="244"/>
        <v>7.7848545895400862</v>
      </c>
      <c r="C774" s="7">
        <f t="shared" si="228"/>
        <v>2.0557803228823932</v>
      </c>
      <c r="D774" s="7">
        <f t="shared" si="229"/>
        <v>37.87666181097115</v>
      </c>
      <c r="E774" s="7">
        <f t="shared" si="230"/>
        <v>1</v>
      </c>
      <c r="G774" s="4">
        <f t="shared" si="231"/>
        <v>7619.9999999999945</v>
      </c>
      <c r="H774" s="1">
        <f t="shared" si="242"/>
        <v>4.6885911072814315</v>
      </c>
      <c r="I774" s="1">
        <f t="shared" si="243"/>
        <v>1427.4446163893722</v>
      </c>
      <c r="J774" s="1">
        <f t="shared" si="232"/>
        <v>47.58148721297907</v>
      </c>
      <c r="K774" s="7">
        <f t="shared" si="233"/>
        <v>3.9108071681900607</v>
      </c>
      <c r="L774" s="4">
        <f t="shared" si="234"/>
        <v>2132.8368738465988</v>
      </c>
      <c r="M774" s="1">
        <f t="shared" si="235"/>
        <v>1027.8901614411966</v>
      </c>
      <c r="N774" s="7">
        <f t="shared" si="236"/>
        <v>37.87666181097115</v>
      </c>
      <c r="O774" s="1">
        <f t="shared" si="237"/>
        <v>3000</v>
      </c>
      <c r="P774" s="2">
        <f t="shared" si="238"/>
        <v>2.1923220385859175</v>
      </c>
      <c r="Q774" s="2">
        <f t="shared" si="245"/>
        <v>1300.3927883405884</v>
      </c>
      <c r="S774" s="1">
        <f t="shared" si="226"/>
        <v>3000</v>
      </c>
      <c r="T774" s="1">
        <f t="shared" si="227"/>
        <v>2132.8368738465988</v>
      </c>
      <c r="V774" s="1">
        <f t="shared" si="239"/>
        <v>2132.8368738465988</v>
      </c>
      <c r="W774" s="1">
        <f t="shared" si="240"/>
        <v>3000</v>
      </c>
    </row>
    <row r="775" spans="1:23" x14ac:dyDescent="0.25">
      <c r="A775" s="2">
        <f t="shared" si="241"/>
        <v>76.29999999999994</v>
      </c>
      <c r="B775" s="7">
        <f t="shared" si="244"/>
        <v>7.7277143004632913</v>
      </c>
      <c r="C775" s="7">
        <f t="shared" si="228"/>
        <v>2.0566974054005982</v>
      </c>
      <c r="D775" s="7">
        <f t="shared" si="229"/>
        <v>38.106586418331716</v>
      </c>
      <c r="E775" s="7">
        <f t="shared" si="230"/>
        <v>1</v>
      </c>
      <c r="G775" s="4">
        <f t="shared" si="231"/>
        <v>7629.9999999999945</v>
      </c>
      <c r="H775" s="1">
        <f t="shared" si="242"/>
        <v>4.7232595022064618</v>
      </c>
      <c r="I775" s="1">
        <f t="shared" si="243"/>
        <v>1432.1678758915787</v>
      </c>
      <c r="J775" s="1">
        <f t="shared" si="232"/>
        <v>47.738929196385953</v>
      </c>
      <c r="K775" s="7">
        <f t="shared" si="233"/>
        <v>3.9237476051824074</v>
      </c>
      <c r="L775" s="4">
        <f t="shared" si="234"/>
        <v>2117.1820001269289</v>
      </c>
      <c r="M775" s="1">
        <f t="shared" si="235"/>
        <v>1028.3487027002991</v>
      </c>
      <c r="N775" s="7">
        <f t="shared" si="236"/>
        <v>38.106586418331716</v>
      </c>
      <c r="O775" s="1">
        <f t="shared" si="237"/>
        <v>3000</v>
      </c>
      <c r="P775" s="2">
        <f t="shared" si="238"/>
        <v>2.1772013632109517</v>
      </c>
      <c r="Q775" s="2">
        <f t="shared" si="245"/>
        <v>1303.5083085976171</v>
      </c>
      <c r="S775" s="1">
        <f t="shared" si="226"/>
        <v>3000</v>
      </c>
      <c r="T775" s="1">
        <f t="shared" si="227"/>
        <v>2117.1820001269289</v>
      </c>
      <c r="V775" s="1">
        <f t="shared" si="239"/>
        <v>2117.1820001269289</v>
      </c>
      <c r="W775" s="1">
        <f t="shared" si="240"/>
        <v>3000</v>
      </c>
    </row>
    <row r="776" spans="1:23" x14ac:dyDescent="0.25">
      <c r="A776" s="2">
        <f t="shared" si="241"/>
        <v>76.399999999999935</v>
      </c>
      <c r="B776" s="7">
        <f t="shared" si="244"/>
        <v>7.6709934171182574</v>
      </c>
      <c r="C776" s="7">
        <f t="shared" si="228"/>
        <v>2.0576148970288313</v>
      </c>
      <c r="D776" s="7">
        <f t="shared" si="229"/>
        <v>38.33790674861357</v>
      </c>
      <c r="E776" s="7">
        <f t="shared" si="230"/>
        <v>1</v>
      </c>
      <c r="G776" s="4">
        <f t="shared" si="231"/>
        <v>7639.9999999999936</v>
      </c>
      <c r="H776" s="1">
        <f t="shared" si="242"/>
        <v>4.758184242284039</v>
      </c>
      <c r="I776" s="1">
        <f t="shared" si="243"/>
        <v>1436.9260601338626</v>
      </c>
      <c r="J776" s="1">
        <f t="shared" si="232"/>
        <v>47.897535337795418</v>
      </c>
      <c r="K776" s="7">
        <f t="shared" si="233"/>
        <v>3.9367837263941441</v>
      </c>
      <c r="L776" s="4">
        <f t="shared" si="234"/>
        <v>2101.6420320871935</v>
      </c>
      <c r="M776" s="1">
        <f t="shared" si="235"/>
        <v>1028.8074485144157</v>
      </c>
      <c r="N776" s="7">
        <f t="shared" si="236"/>
        <v>38.33790674861357</v>
      </c>
      <c r="O776" s="1">
        <f t="shared" si="237"/>
        <v>3000</v>
      </c>
      <c r="P776" s="2">
        <f t="shared" si="238"/>
        <v>2.1621849767222772</v>
      </c>
      <c r="Q776" s="2">
        <f t="shared" si="245"/>
        <v>1306.6789010331552</v>
      </c>
      <c r="S776" s="1">
        <f t="shared" si="226"/>
        <v>3000</v>
      </c>
      <c r="T776" s="1">
        <f t="shared" si="227"/>
        <v>2101.6420320871935</v>
      </c>
      <c r="V776" s="1">
        <f t="shared" si="239"/>
        <v>2101.6420320871935</v>
      </c>
      <c r="W776" s="1">
        <f t="shared" si="240"/>
        <v>3000</v>
      </c>
    </row>
    <row r="777" spans="1:23" x14ac:dyDescent="0.25">
      <c r="A777" s="2">
        <f t="shared" si="241"/>
        <v>76.499999999999929</v>
      </c>
      <c r="B777" s="7">
        <f t="shared" si="244"/>
        <v>7.6146888610961998</v>
      </c>
      <c r="C777" s="7">
        <f t="shared" si="228"/>
        <v>2.0585327979495958</v>
      </c>
      <c r="D777" s="7">
        <f t="shared" si="229"/>
        <v>38.570631274343761</v>
      </c>
      <c r="E777" s="7">
        <f t="shared" si="230"/>
        <v>1</v>
      </c>
      <c r="G777" s="4">
        <f t="shared" si="231"/>
        <v>7649.9999999999927</v>
      </c>
      <c r="H777" s="1">
        <f t="shared" si="242"/>
        <v>4.7933672229835791</v>
      </c>
      <c r="I777" s="1">
        <f t="shared" si="243"/>
        <v>1441.7194273568462</v>
      </c>
      <c r="J777" s="1">
        <f t="shared" si="232"/>
        <v>48.057314245228206</v>
      </c>
      <c r="K777" s="7">
        <f t="shared" si="233"/>
        <v>3.9499162393338252</v>
      </c>
      <c r="L777" s="4">
        <f t="shared" si="234"/>
        <v>2086.2161263277258</v>
      </c>
      <c r="M777" s="1">
        <f t="shared" si="235"/>
        <v>1029.266398974798</v>
      </c>
      <c r="N777" s="7">
        <f t="shared" si="236"/>
        <v>38.570631274343761</v>
      </c>
      <c r="O777" s="1">
        <f t="shared" si="237"/>
        <v>3000</v>
      </c>
      <c r="P777" s="2">
        <f t="shared" si="238"/>
        <v>2.1472721598284905</v>
      </c>
      <c r="Q777" s="2">
        <f t="shared" si="245"/>
        <v>1309.9055815881957</v>
      </c>
      <c r="S777" s="1">
        <f t="shared" si="226"/>
        <v>3000</v>
      </c>
      <c r="T777" s="1">
        <f t="shared" si="227"/>
        <v>2086.2161263277258</v>
      </c>
      <c r="V777" s="1">
        <f t="shared" si="239"/>
        <v>2086.2161263277258</v>
      </c>
      <c r="W777" s="1">
        <f t="shared" si="240"/>
        <v>3000</v>
      </c>
    </row>
    <row r="778" spans="1:23" x14ac:dyDescent="0.25">
      <c r="A778" s="2">
        <f t="shared" si="241"/>
        <v>76.599999999999923</v>
      </c>
      <c r="B778" s="7">
        <f t="shared" si="244"/>
        <v>7.5587975765836326</v>
      </c>
      <c r="C778" s="7">
        <f t="shared" si="228"/>
        <v>2.0594511083454776</v>
      </c>
      <c r="D778" s="7">
        <f t="shared" si="229"/>
        <v>38.804768519480653</v>
      </c>
      <c r="E778" s="7">
        <f t="shared" si="230"/>
        <v>1</v>
      </c>
      <c r="G778" s="4">
        <f t="shared" si="231"/>
        <v>7659.9999999999918</v>
      </c>
      <c r="H778" s="1">
        <f t="shared" si="242"/>
        <v>4.8288103537882643</v>
      </c>
      <c r="I778" s="1">
        <f t="shared" si="243"/>
        <v>1446.5482377106343</v>
      </c>
      <c r="J778" s="1">
        <f t="shared" si="232"/>
        <v>48.218274590354476</v>
      </c>
      <c r="K778" s="7">
        <f t="shared" si="233"/>
        <v>3.9631458567414639</v>
      </c>
      <c r="L778" s="4">
        <f t="shared" si="234"/>
        <v>2070.903445639351</v>
      </c>
      <c r="M778" s="1">
        <f t="shared" si="235"/>
        <v>1029.7255541727388</v>
      </c>
      <c r="N778" s="7">
        <f t="shared" si="236"/>
        <v>38.804768519480653</v>
      </c>
      <c r="O778" s="1">
        <f t="shared" si="237"/>
        <v>3000</v>
      </c>
      <c r="P778" s="2">
        <f t="shared" si="238"/>
        <v>2.1324621981992147</v>
      </c>
      <c r="Q778" s="2">
        <f t="shared" si="245"/>
        <v>1313.1893922128831</v>
      </c>
      <c r="S778" s="1">
        <f t="shared" si="226"/>
        <v>3000</v>
      </c>
      <c r="T778" s="1">
        <f t="shared" si="227"/>
        <v>2070.903445639351</v>
      </c>
      <c r="V778" s="1">
        <f t="shared" si="239"/>
        <v>2070.903445639351</v>
      </c>
      <c r="W778" s="1">
        <f t="shared" si="240"/>
        <v>3000</v>
      </c>
    </row>
    <row r="779" spans="1:23" x14ac:dyDescent="0.25">
      <c r="A779" s="2">
        <f t="shared" si="241"/>
        <v>76.699999999999918</v>
      </c>
      <c r="B779" s="7">
        <f t="shared" si="244"/>
        <v>7.5033165301965496</v>
      </c>
      <c r="C779" s="7">
        <f t="shared" si="228"/>
        <v>2.0603698283991423</v>
      </c>
      <c r="D779" s="7">
        <f t="shared" si="229"/>
        <v>39.04032705972601</v>
      </c>
      <c r="E779" s="7">
        <f t="shared" si="230"/>
        <v>1</v>
      </c>
      <c r="G779" s="4">
        <f t="shared" si="231"/>
        <v>7669.9999999999909</v>
      </c>
      <c r="H779" s="1">
        <f t="shared" si="242"/>
        <v>4.8645155583007984</v>
      </c>
      <c r="I779" s="1">
        <f t="shared" si="243"/>
        <v>1451.4127532689351</v>
      </c>
      <c r="J779" s="1">
        <f t="shared" si="232"/>
        <v>48.380425108964502</v>
      </c>
      <c r="K779" s="7">
        <f t="shared" si="233"/>
        <v>3.9764732966272196</v>
      </c>
      <c r="L779" s="4">
        <f t="shared" si="234"/>
        <v>2055.7031589579587</v>
      </c>
      <c r="M779" s="1">
        <f t="shared" si="235"/>
        <v>1030.184914199571</v>
      </c>
      <c r="N779" s="7">
        <f t="shared" si="236"/>
        <v>39.04032705972601</v>
      </c>
      <c r="O779" s="1">
        <f t="shared" si="237"/>
        <v>3000</v>
      </c>
      <c r="P779" s="2">
        <f t="shared" si="238"/>
        <v>2.117754382430892</v>
      </c>
      <c r="Q779" s="2">
        <f t="shared" si="245"/>
        <v>1316.5314017032506</v>
      </c>
      <c r="S779" s="1">
        <f t="shared" si="226"/>
        <v>3000</v>
      </c>
      <c r="T779" s="1">
        <f t="shared" si="227"/>
        <v>2055.7031589579587</v>
      </c>
      <c r="V779" s="1">
        <f t="shared" si="239"/>
        <v>2055.7031589579587</v>
      </c>
      <c r="W779" s="1">
        <f t="shared" si="240"/>
        <v>3000</v>
      </c>
    </row>
    <row r="780" spans="1:23" x14ac:dyDescent="0.25">
      <c r="A780" s="2">
        <f t="shared" si="241"/>
        <v>76.799999999999912</v>
      </c>
      <c r="B780" s="7">
        <f t="shared" si="244"/>
        <v>7.448242710815749</v>
      </c>
      <c r="C780" s="7">
        <f t="shared" si="228"/>
        <v>2.0612889582933391</v>
      </c>
      <c r="D780" s="7">
        <f t="shared" si="229"/>
        <v>39.277315522839082</v>
      </c>
      <c r="E780" s="7">
        <f t="shared" si="230"/>
        <v>1</v>
      </c>
      <c r="G780" s="4">
        <f t="shared" si="231"/>
        <v>7679.9999999999909</v>
      </c>
      <c r="H780" s="1">
        <f t="shared" si="242"/>
        <v>4.9004847743478583</v>
      </c>
      <c r="I780" s="1">
        <f t="shared" si="243"/>
        <v>1456.313238043283</v>
      </c>
      <c r="J780" s="1">
        <f t="shared" si="232"/>
        <v>48.54377460144277</v>
      </c>
      <c r="K780" s="7">
        <f t="shared" si="233"/>
        <v>3.9898992823103643</v>
      </c>
      <c r="L780" s="4">
        <f t="shared" si="234"/>
        <v>2040.6144413193833</v>
      </c>
      <c r="M780" s="1">
        <f t="shared" si="235"/>
        <v>1030.6444791466695</v>
      </c>
      <c r="N780" s="7">
        <f t="shared" si="236"/>
        <v>39.277315522839082</v>
      </c>
      <c r="O780" s="1">
        <f t="shared" si="237"/>
        <v>3000</v>
      </c>
      <c r="P780" s="2">
        <f t="shared" si="238"/>
        <v>2.1031480080127878</v>
      </c>
      <c r="Q780" s="2">
        <f t="shared" si="245"/>
        <v>1319.9327065704658</v>
      </c>
      <c r="S780" s="1">
        <f t="shared" ref="S780:S843" si="246">E780*$H$3</f>
        <v>3000</v>
      </c>
      <c r="T780" s="1">
        <f t="shared" ref="T780:T843" si="247">B780/100*$H$2/365*1000000</f>
        <v>2040.6144413193833</v>
      </c>
      <c r="V780" s="1">
        <f t="shared" si="239"/>
        <v>2040.6144413193833</v>
      </c>
      <c r="W780" s="1">
        <f t="shared" si="240"/>
        <v>3000</v>
      </c>
    </row>
    <row r="781" spans="1:23" x14ac:dyDescent="0.25">
      <c r="A781" s="2">
        <f t="shared" si="241"/>
        <v>76.899999999999906</v>
      </c>
      <c r="B781" s="7">
        <f t="shared" si="244"/>
        <v>7.3935731294234408</v>
      </c>
      <c r="C781" s="7">
        <f t="shared" ref="C781:C844" si="248">IF($C$5&lt;$C$7,IF(A781&lt;=$C$2,$C$3*EXP(A781*$C$4),IF(A781&lt;=$C$7,$C$6,IF($C$8*EXP(A781*$C$9)&gt;$C$6,$C$6,$C$8*EXP(A781*$C$9)))),IF(A781&lt;=$C$2,$C$3*EXP(A781*$C$4),IF(A781&lt;=$C$5,$C$6,IF($C$8*EXP(A781*$C$9)&gt;$C$6,$C$6,$C$8*EXP(A781*$C$9)))))</f>
        <v>2.062208498210897</v>
      </c>
      <c r="D781" s="7">
        <f t="shared" ref="D781:D844" si="249">IF(IF($D$5&lt;$D$7,IF(A781&lt;=$D$2,$D$3*EXP(A781*$D$4),IF(A781&lt;=$D$7,$D$6,IF($D$8*EXP(A781*$D$9)&gt;$D$6,$D$6,$D$8*EXP(A781*$D$9)))),IF(A781&lt;=$D$2,$D$3*EXP(A781*$D$4),IF(A781&lt;=$D$5,$D$6,IF($D$8*EXP(A781*$D$9)&gt;$D$6,$D$6,$D$8*EXP(A781*$D$9)))))&lt;=100,IF($D$5&lt;$D$7,IF(A781&lt;=$D$2,$D$3*EXP(A781*$D$4),IF(A781&lt;=$D$7,$D$6,IF($D$8*EXP(A781*$D$9)&gt;$D$6,$D$6,$D$8*EXP(A781*$D$9)))),IF(A781&lt;=$D$2,$D$3*EXP(A781*$D$4),IF(A781&lt;=$D$5,$D$6,IF($D$8*EXP(A781*$D$9)&gt;$D$6,$D$6,$D$8*EXP(A781*$D$9))))),100)</f>
        <v>39.515742588952662</v>
      </c>
      <c r="E781" s="7">
        <f t="shared" ref="E781:E844" si="250">IF($E$5&lt;$E$7,IF(A781&lt;=$E$2,$E$3*EXP(A781*$E$4),IF(A781&lt;=$E$7,$E$6,IF($E$8*EXP(A781*$E$9)&gt;$E$6,$E$6,$E$8*EXP(A781*$E$9)))),IF(A781&lt;=$E$2,$E$3*EXP(A781*$E$4),IF(A781&lt;=$E$5,$E$6,IF($E$8*EXP(A781*$E$9)&gt;$E$6,$E$6,$E$8*EXP(A781*$E$9)))))</f>
        <v>1</v>
      </c>
      <c r="G781" s="4">
        <f t="shared" ref="G781:G844" si="251">A781/100*$H$2*1000</f>
        <v>7689.9999999999909</v>
      </c>
      <c r="H781" s="1">
        <f t="shared" si="242"/>
        <v>4.9367199540834612</v>
      </c>
      <c r="I781" s="1">
        <f t="shared" si="243"/>
        <v>1461.2499579973664</v>
      </c>
      <c r="J781" s="1">
        <f t="shared" ref="J781:J844" si="252">I781/30</f>
        <v>48.708331933245546</v>
      </c>
      <c r="K781" s="7">
        <f t="shared" ref="K781:K844" si="253">I781/365</f>
        <v>4.0034245424585384</v>
      </c>
      <c r="L781" s="4">
        <f t="shared" ref="L781:L844" si="254">IF(A781&gt;$B$2,IF(AND(B781/100*$H$2/365*1000000&gt;=$H$5,O781&gt;=$H$6,M781&lt;=$L$4,N781&lt;=$L$5),B781/100*$H$2/365*1000000*$L$6/100,#N/A),B781/100*$H$2/365*1000000*$L$6/100)</f>
        <v>2025.6364738146412</v>
      </c>
      <c r="M781" s="1">
        <f t="shared" ref="M781:M844" si="255">C781*$H$4</f>
        <v>1031.1042491054486</v>
      </c>
      <c r="N781" s="7">
        <f t="shared" ref="N781:N844" si="256">D781</f>
        <v>39.515742588952662</v>
      </c>
      <c r="O781" s="1">
        <f t="shared" ref="O781:O844" si="257">E781*$H$3</f>
        <v>3000</v>
      </c>
      <c r="P781" s="2">
        <f t="shared" ref="P781:P844" si="258">L781*M781/1000000</f>
        <v>2.0886423752932544</v>
      </c>
      <c r="Q781" s="2">
        <f t="shared" si="245"/>
        <v>1323.3944319440902</v>
      </c>
      <c r="S781" s="1">
        <f t="shared" si="246"/>
        <v>3000</v>
      </c>
      <c r="T781" s="1">
        <f t="shared" si="247"/>
        <v>2025.6364738146415</v>
      </c>
      <c r="V781" s="1">
        <f t="shared" ref="V781:V844" si="259">T781</f>
        <v>2025.6364738146415</v>
      </c>
      <c r="W781" s="1">
        <f t="shared" ref="W781:W844" si="260">S781</f>
        <v>3000</v>
      </c>
    </row>
    <row r="782" spans="1:23" x14ac:dyDescent="0.25">
      <c r="A782" s="2">
        <f t="shared" ref="A782:A845" si="261">A781+0.1</f>
        <v>76.999999999999901</v>
      </c>
      <c r="B782" s="7">
        <f t="shared" si="244"/>
        <v>7.3393048189410175</v>
      </c>
      <c r="C782" s="7">
        <f t="shared" si="248"/>
        <v>2.0631284483347274</v>
      </c>
      <c r="D782" s="7">
        <f t="shared" si="249"/>
        <v>39.755616990890999</v>
      </c>
      <c r="E782" s="7">
        <f t="shared" si="250"/>
        <v>1</v>
      </c>
      <c r="G782" s="4">
        <f t="shared" si="251"/>
        <v>7699.99999999999</v>
      </c>
      <c r="H782" s="1">
        <f t="shared" ref="H782:H845" si="262">(G782-G781)*1000/L782</f>
        <v>4.9732230640971311</v>
      </c>
      <c r="I782" s="1">
        <f t="shared" ref="I782:I845" si="263">H782+I781</f>
        <v>1466.2231810614635</v>
      </c>
      <c r="J782" s="1">
        <f t="shared" si="252"/>
        <v>48.87410603538212</v>
      </c>
      <c r="K782" s="7">
        <f t="shared" si="253"/>
        <v>4.017049811127297</v>
      </c>
      <c r="L782" s="4">
        <f t="shared" si="254"/>
        <v>2010.7684435454839</v>
      </c>
      <c r="M782" s="1">
        <f t="shared" si="255"/>
        <v>1031.5642241673638</v>
      </c>
      <c r="N782" s="7">
        <f t="shared" si="256"/>
        <v>39.755616990890999</v>
      </c>
      <c r="O782" s="1">
        <f t="shared" si="257"/>
        <v>3000</v>
      </c>
      <c r="P782" s="2">
        <f t="shared" si="258"/>
        <v>2.074236789446215</v>
      </c>
      <c r="Q782" s="2">
        <f t="shared" si="245"/>
        <v>1326.9177325108867</v>
      </c>
      <c r="S782" s="1">
        <f t="shared" si="246"/>
        <v>3000</v>
      </c>
      <c r="T782" s="1">
        <f t="shared" si="247"/>
        <v>2010.7684435454842</v>
      </c>
      <c r="V782" s="1">
        <f t="shared" si="259"/>
        <v>2010.7684435454842</v>
      </c>
      <c r="W782" s="1">
        <f t="shared" si="260"/>
        <v>3000</v>
      </c>
    </row>
    <row r="783" spans="1:23" x14ac:dyDescent="0.25">
      <c r="A783" s="2">
        <f t="shared" si="261"/>
        <v>77.099999999999895</v>
      </c>
      <c r="B783" s="7">
        <f t="shared" si="244"/>
        <v>7.2854348340680204</v>
      </c>
      <c r="C783" s="7">
        <f t="shared" si="248"/>
        <v>2.0640488088478226</v>
      </c>
      <c r="D783" s="7">
        <f t="shared" si="249"/>
        <v>39.996947514489577</v>
      </c>
      <c r="E783" s="7">
        <f t="shared" si="250"/>
        <v>1</v>
      </c>
      <c r="G783" s="4">
        <f t="shared" si="251"/>
        <v>7709.9999999999891</v>
      </c>
      <c r="H783" s="1">
        <f t="shared" si="262"/>
        <v>5.0099960855206644</v>
      </c>
      <c r="I783" s="1">
        <f t="shared" si="263"/>
        <v>1471.2331771469842</v>
      </c>
      <c r="J783" s="1">
        <f t="shared" si="252"/>
        <v>49.041105904899474</v>
      </c>
      <c r="K783" s="7">
        <f t="shared" si="253"/>
        <v>4.0307758277999568</v>
      </c>
      <c r="L783" s="4">
        <f t="shared" si="254"/>
        <v>1996.0095435802798</v>
      </c>
      <c r="M783" s="1">
        <f t="shared" si="255"/>
        <v>1032.0244044239114</v>
      </c>
      <c r="N783" s="7">
        <f t="shared" si="256"/>
        <v>39.996947514489577</v>
      </c>
      <c r="O783" s="1">
        <f t="shared" si="257"/>
        <v>3000</v>
      </c>
      <c r="P783" s="2">
        <f t="shared" si="258"/>
        <v>2.0599305604378815</v>
      </c>
      <c r="Q783" s="2">
        <f t="shared" si="245"/>
        <v>1330.503793490826</v>
      </c>
      <c r="S783" s="1">
        <f t="shared" si="246"/>
        <v>3000</v>
      </c>
      <c r="T783" s="1">
        <f t="shared" si="247"/>
        <v>1996.0095435802798</v>
      </c>
      <c r="V783" s="1">
        <f t="shared" si="259"/>
        <v>1996.0095435802798</v>
      </c>
      <c r="W783" s="1">
        <f t="shared" si="260"/>
        <v>3000</v>
      </c>
    </row>
    <row r="784" spans="1:23" x14ac:dyDescent="0.25">
      <c r="A784" s="2">
        <f t="shared" si="261"/>
        <v>77.199999999999889</v>
      </c>
      <c r="B784" s="7">
        <f t="shared" si="244"/>
        <v>7.2319602511222909</v>
      </c>
      <c r="C784" s="7">
        <f t="shared" si="248"/>
        <v>2.0649695799332575</v>
      </c>
      <c r="D784" s="7">
        <f t="shared" si="249"/>
        <v>40.239742998917052</v>
      </c>
      <c r="E784" s="7">
        <f t="shared" si="250"/>
        <v>1</v>
      </c>
      <c r="G784" s="4">
        <f t="shared" si="251"/>
        <v>7719.9999999999891</v>
      </c>
      <c r="H784" s="1">
        <f t="shared" si="262"/>
        <v>5.0470410141338586</v>
      </c>
      <c r="I784" s="1">
        <f t="shared" si="263"/>
        <v>1476.280218161118</v>
      </c>
      <c r="J784" s="1">
        <f t="shared" si="252"/>
        <v>49.209340605370599</v>
      </c>
      <c r="K784" s="7">
        <f t="shared" si="253"/>
        <v>4.0446033374277208</v>
      </c>
      <c r="L784" s="4">
        <f t="shared" si="254"/>
        <v>1981.3589729102166</v>
      </c>
      <c r="M784" s="1">
        <f t="shared" si="255"/>
        <v>1032.4847899666288</v>
      </c>
      <c r="N784" s="7">
        <f t="shared" si="256"/>
        <v>40.239742998917052</v>
      </c>
      <c r="O784" s="1">
        <f t="shared" si="257"/>
        <v>3000</v>
      </c>
      <c r="P784" s="2">
        <f t="shared" si="258"/>
        <v>2.0457230029937001</v>
      </c>
      <c r="Q784" s="2">
        <f t="shared" si="245"/>
        <v>1334.1538316520382</v>
      </c>
      <c r="S784" s="1">
        <f t="shared" si="246"/>
        <v>3000</v>
      </c>
      <c r="T784" s="1">
        <f t="shared" si="247"/>
        <v>1981.3589729102166</v>
      </c>
      <c r="V784" s="1">
        <f t="shared" si="259"/>
        <v>1981.3589729102166</v>
      </c>
      <c r="W784" s="1">
        <f t="shared" si="260"/>
        <v>3000</v>
      </c>
    </row>
    <row r="785" spans="1:23" x14ac:dyDescent="0.25">
      <c r="A785" s="2">
        <f t="shared" si="261"/>
        <v>77.299999999999883</v>
      </c>
      <c r="B785" s="7">
        <f t="shared" si="244"/>
        <v>7.1788781678812885</v>
      </c>
      <c r="C785" s="7">
        <f t="shared" si="248"/>
        <v>2.0658907617741886</v>
      </c>
      <c r="D785" s="7">
        <f t="shared" si="249"/>
        <v>40.484012336998909</v>
      </c>
      <c r="E785" s="7">
        <f t="shared" si="250"/>
        <v>1</v>
      </c>
      <c r="G785" s="4">
        <f t="shared" si="251"/>
        <v>7729.9999999999882</v>
      </c>
      <c r="H785" s="1">
        <f t="shared" si="262"/>
        <v>5.0843598604723184</v>
      </c>
      <c r="I785" s="1">
        <f t="shared" si="263"/>
        <v>1481.3645780215902</v>
      </c>
      <c r="J785" s="1">
        <f t="shared" si="252"/>
        <v>49.378819267386341</v>
      </c>
      <c r="K785" s="7">
        <f t="shared" si="253"/>
        <v>4.0585330904701102</v>
      </c>
      <c r="L785" s="4">
        <f t="shared" si="254"/>
        <v>1966.8159364058324</v>
      </c>
      <c r="M785" s="1">
        <f t="shared" si="255"/>
        <v>1032.9453808870944</v>
      </c>
      <c r="N785" s="7">
        <f t="shared" si="256"/>
        <v>40.484012336998909</v>
      </c>
      <c r="O785" s="1">
        <f t="shared" si="257"/>
        <v>3000</v>
      </c>
      <c r="P785" s="2">
        <f t="shared" si="258"/>
        <v>2.0316134365655296</v>
      </c>
      <c r="Q785" s="2">
        <f t="shared" si="245"/>
        <v>1337.8690963665126</v>
      </c>
      <c r="S785" s="1">
        <f t="shared" si="246"/>
        <v>3000</v>
      </c>
      <c r="T785" s="1">
        <f t="shared" si="247"/>
        <v>1966.8159364058324</v>
      </c>
      <c r="V785" s="1">
        <f t="shared" si="259"/>
        <v>1966.8159364058324</v>
      </c>
      <c r="W785" s="1">
        <f t="shared" si="260"/>
        <v>3000</v>
      </c>
    </row>
    <row r="786" spans="1:23" x14ac:dyDescent="0.25">
      <c r="A786" s="2">
        <f t="shared" si="261"/>
        <v>77.399999999999878</v>
      </c>
      <c r="B786" s="7">
        <f t="shared" si="244"/>
        <v>7.126185703424599</v>
      </c>
      <c r="C786" s="7">
        <f t="shared" si="248"/>
        <v>2.066812354553853</v>
      </c>
      <c r="D786" s="7">
        <f t="shared" si="249"/>
        <v>40.729764475543192</v>
      </c>
      <c r="E786" s="7">
        <f t="shared" si="250"/>
        <v>1</v>
      </c>
      <c r="G786" s="4">
        <f t="shared" si="251"/>
        <v>7739.9999999999882</v>
      </c>
      <c r="H786" s="1">
        <f t="shared" si="262"/>
        <v>5.1219546499411823</v>
      </c>
      <c r="I786" s="1">
        <f t="shared" si="263"/>
        <v>1486.4865326715314</v>
      </c>
      <c r="J786" s="1">
        <f t="shared" si="252"/>
        <v>49.54955108905105</v>
      </c>
      <c r="K786" s="7">
        <f t="shared" si="253"/>
        <v>4.0725658429357026</v>
      </c>
      <c r="L786" s="4">
        <f t="shared" si="254"/>
        <v>1952.3796447738628</v>
      </c>
      <c r="M786" s="1">
        <f t="shared" si="255"/>
        <v>1033.4061772769264</v>
      </c>
      <c r="N786" s="7">
        <f t="shared" si="256"/>
        <v>40.729764475543192</v>
      </c>
      <c r="O786" s="1">
        <f t="shared" si="257"/>
        <v>3000</v>
      </c>
      <c r="P786" s="2">
        <f t="shared" si="258"/>
        <v>2.017601185299041</v>
      </c>
      <c r="Q786" s="2">
        <f t="shared" si="245"/>
        <v>1341.6508707084793</v>
      </c>
      <c r="S786" s="1">
        <f t="shared" si="246"/>
        <v>3000</v>
      </c>
      <c r="T786" s="1">
        <f t="shared" si="247"/>
        <v>1952.3796447738628</v>
      </c>
      <c r="V786" s="1">
        <f t="shared" si="259"/>
        <v>1952.3796447738628</v>
      </c>
      <c r="W786" s="1">
        <f t="shared" si="260"/>
        <v>3000</v>
      </c>
    </row>
    <row r="787" spans="1:23" x14ac:dyDescent="0.25">
      <c r="A787" s="2">
        <f t="shared" si="261"/>
        <v>77.499999999999872</v>
      </c>
      <c r="B787" s="7">
        <f t="shared" si="244"/>
        <v>7.0738799979775475</v>
      </c>
      <c r="C787" s="7">
        <f t="shared" si="248"/>
        <v>2.0677343584555707</v>
      </c>
      <c r="D787" s="7">
        <f t="shared" si="249"/>
        <v>40.977008415668216</v>
      </c>
      <c r="E787" s="7">
        <f t="shared" si="250"/>
        <v>1</v>
      </c>
      <c r="G787" s="4">
        <f t="shared" si="251"/>
        <v>7749.9999999999864</v>
      </c>
      <c r="H787" s="1">
        <f t="shared" si="262"/>
        <v>5.1598274229176715</v>
      </c>
      <c r="I787" s="1">
        <f t="shared" si="263"/>
        <v>1491.6463600944492</v>
      </c>
      <c r="J787" s="1">
        <f t="shared" si="252"/>
        <v>49.72154533648164</v>
      </c>
      <c r="K787" s="7">
        <f t="shared" si="253"/>
        <v>4.0867023564231486</v>
      </c>
      <c r="L787" s="4">
        <f t="shared" si="254"/>
        <v>1938.0493145143969</v>
      </c>
      <c r="M787" s="1">
        <f t="shared" si="255"/>
        <v>1033.8671792277853</v>
      </c>
      <c r="N787" s="7">
        <f t="shared" si="256"/>
        <v>40.977008415668216</v>
      </c>
      <c r="O787" s="1">
        <f t="shared" si="257"/>
        <v>3000</v>
      </c>
      <c r="P787" s="2">
        <f t="shared" si="258"/>
        <v>2.0036855780013423</v>
      </c>
      <c r="Q787" s="2">
        <f t="shared" si="245"/>
        <v>1345.5004725974964</v>
      </c>
      <c r="S787" s="1">
        <f t="shared" si="246"/>
        <v>3000</v>
      </c>
      <c r="T787" s="1">
        <f t="shared" si="247"/>
        <v>1938.0493145143969</v>
      </c>
      <c r="V787" s="1">
        <f t="shared" si="259"/>
        <v>1938.0493145143969</v>
      </c>
      <c r="W787" s="1">
        <f t="shared" si="260"/>
        <v>3000</v>
      </c>
    </row>
    <row r="788" spans="1:23" x14ac:dyDescent="0.25">
      <c r="A788" s="2">
        <f t="shared" si="261"/>
        <v>77.599999999999866</v>
      </c>
      <c r="B788" s="7">
        <f t="shared" si="244"/>
        <v>7.0219582127560098</v>
      </c>
      <c r="C788" s="7">
        <f t="shared" si="248"/>
        <v>2.0686567736627426</v>
      </c>
      <c r="D788" s="7">
        <f t="shared" si="249"/>
        <v>41.225753213132279</v>
      </c>
      <c r="E788" s="7">
        <f t="shared" si="250"/>
        <v>1</v>
      </c>
      <c r="G788" s="4">
        <f t="shared" si="251"/>
        <v>7759.9999999999873</v>
      </c>
      <c r="H788" s="1">
        <f t="shared" si="262"/>
        <v>5.197980234872067</v>
      </c>
      <c r="I788" s="1">
        <f t="shared" si="263"/>
        <v>1496.8443403293213</v>
      </c>
      <c r="J788" s="1">
        <f t="shared" si="252"/>
        <v>49.89481134431071</v>
      </c>
      <c r="K788" s="7">
        <f t="shared" si="253"/>
        <v>4.1009433981625243</v>
      </c>
      <c r="L788" s="4">
        <f t="shared" si="254"/>
        <v>1923.8241678783588</v>
      </c>
      <c r="M788" s="1">
        <f t="shared" si="255"/>
        <v>1034.3283868313713</v>
      </c>
      <c r="N788" s="7">
        <f t="shared" si="256"/>
        <v>41.225753213132279</v>
      </c>
      <c r="O788" s="1">
        <f t="shared" si="257"/>
        <v>3000</v>
      </c>
      <c r="P788" s="2">
        <f t="shared" si="258"/>
        <v>1.9898659481088281</v>
      </c>
      <c r="Q788" s="2">
        <f t="shared" si="245"/>
        <v>1349.4192559883852</v>
      </c>
      <c r="S788" s="1">
        <f t="shared" si="246"/>
        <v>3000</v>
      </c>
      <c r="T788" s="1">
        <f t="shared" si="247"/>
        <v>1923.8241678783588</v>
      </c>
      <c r="V788" s="1">
        <f t="shared" si="259"/>
        <v>1923.8241678783588</v>
      </c>
      <c r="W788" s="1">
        <f t="shared" si="260"/>
        <v>3000</v>
      </c>
    </row>
    <row r="789" spans="1:23" x14ac:dyDescent="0.25">
      <c r="A789" s="2">
        <f t="shared" si="261"/>
        <v>77.699999999999861</v>
      </c>
      <c r="B789" s="7">
        <f t="shared" si="244"/>
        <v>6.970417529812341</v>
      </c>
      <c r="C789" s="7">
        <f t="shared" si="248"/>
        <v>2.0695796003588525</v>
      </c>
      <c r="D789" s="7">
        <f t="shared" si="249"/>
        <v>41.476007978665166</v>
      </c>
      <c r="E789" s="7">
        <f t="shared" si="250"/>
        <v>1</v>
      </c>
      <c r="G789" s="4">
        <f t="shared" si="251"/>
        <v>7769.9999999999854</v>
      </c>
      <c r="H789" s="1">
        <f t="shared" si="262"/>
        <v>5.2364151564642389</v>
      </c>
      <c r="I789" s="1">
        <f t="shared" si="263"/>
        <v>1502.0807554857856</v>
      </c>
      <c r="J789" s="1">
        <f t="shared" si="252"/>
        <v>50.069358516192857</v>
      </c>
      <c r="K789" s="7">
        <f t="shared" si="253"/>
        <v>4.1152897410569471</v>
      </c>
      <c r="L789" s="4">
        <f t="shared" si="254"/>
        <v>1909.7034328252987</v>
      </c>
      <c r="M789" s="1">
        <f t="shared" si="255"/>
        <v>1034.7898001794263</v>
      </c>
      <c r="N789" s="7">
        <f t="shared" si="256"/>
        <v>41.476007978665166</v>
      </c>
      <c r="O789" s="1">
        <f t="shared" si="257"/>
        <v>3000</v>
      </c>
      <c r="P789" s="2">
        <f t="shared" si="258"/>
        <v>1.9761416336552553</v>
      </c>
      <c r="Q789" s="2">
        <f t="shared" si="245"/>
        <v>1353.4086121102537</v>
      </c>
      <c r="S789" s="1">
        <f t="shared" si="246"/>
        <v>3000</v>
      </c>
      <c r="T789" s="1">
        <f t="shared" si="247"/>
        <v>1909.7034328252989</v>
      </c>
      <c r="V789" s="1">
        <f t="shared" si="259"/>
        <v>1909.7034328252989</v>
      </c>
      <c r="W789" s="1">
        <f t="shared" si="260"/>
        <v>3000</v>
      </c>
    </row>
    <row r="790" spans="1:23" x14ac:dyDescent="0.25">
      <c r="A790" s="2">
        <f t="shared" si="261"/>
        <v>77.799999999999855</v>
      </c>
      <c r="B790" s="7">
        <f t="shared" si="244"/>
        <v>6.9192551518824317</v>
      </c>
      <c r="C790" s="7">
        <f t="shared" si="248"/>
        <v>2.0705028387274647</v>
      </c>
      <c r="D790" s="7">
        <f t="shared" si="249"/>
        <v>41.727781878302125</v>
      </c>
      <c r="E790" s="7">
        <f t="shared" si="250"/>
        <v>1</v>
      </c>
      <c r="G790" s="4">
        <f t="shared" si="251"/>
        <v>7779.9999999999864</v>
      </c>
      <c r="H790" s="1">
        <f t="shared" si="262"/>
        <v>5.2751342736758646</v>
      </c>
      <c r="I790" s="1">
        <f t="shared" si="263"/>
        <v>1507.3558897594614</v>
      </c>
      <c r="J790" s="1">
        <f t="shared" si="252"/>
        <v>50.245196325315383</v>
      </c>
      <c r="K790" s="7">
        <f t="shared" si="253"/>
        <v>4.1297421637245515</v>
      </c>
      <c r="L790" s="4">
        <f t="shared" si="254"/>
        <v>1895.6863429814882</v>
      </c>
      <c r="M790" s="1">
        <f t="shared" si="255"/>
        <v>1035.2514193637323</v>
      </c>
      <c r="N790" s="7">
        <f t="shared" si="256"/>
        <v>41.727781878302125</v>
      </c>
      <c r="O790" s="1">
        <f t="shared" si="257"/>
        <v>3000</v>
      </c>
      <c r="P790" s="2">
        <f t="shared" si="258"/>
        <v>1.9625119772400288</v>
      </c>
      <c r="Q790" s="2">
        <f t="shared" si="245"/>
        <v>1357.4699707570176</v>
      </c>
      <c r="S790" s="1">
        <f t="shared" si="246"/>
        <v>3000</v>
      </c>
      <c r="T790" s="1">
        <f t="shared" si="247"/>
        <v>1895.6863429814882</v>
      </c>
      <c r="V790" s="1">
        <f t="shared" si="259"/>
        <v>1895.6863429814882</v>
      </c>
      <c r="W790" s="1">
        <f t="shared" si="260"/>
        <v>3000</v>
      </c>
    </row>
    <row r="791" spans="1:23" x14ac:dyDescent="0.25">
      <c r="A791" s="2">
        <f t="shared" si="261"/>
        <v>77.899999999999849</v>
      </c>
      <c r="B791" s="7">
        <f t="shared" si="244"/>
        <v>6.8684683022338984</v>
      </c>
      <c r="C791" s="7">
        <f t="shared" si="248"/>
        <v>2.0714264889522265</v>
      </c>
      <c r="D791" s="7">
        <f t="shared" si="249"/>
        <v>41.981084133719392</v>
      </c>
      <c r="E791" s="7">
        <f t="shared" si="250"/>
        <v>1</v>
      </c>
      <c r="G791" s="4">
        <f t="shared" si="251"/>
        <v>7789.9999999999845</v>
      </c>
      <c r="H791" s="1">
        <f t="shared" si="262"/>
        <v>5.3141396879013207</v>
      </c>
      <c r="I791" s="1">
        <f t="shared" si="263"/>
        <v>1512.6700294473628</v>
      </c>
      <c r="J791" s="1">
        <f t="shared" si="252"/>
        <v>50.422334314912092</v>
      </c>
      <c r="K791" s="7">
        <f t="shared" si="253"/>
        <v>4.1443014505407199</v>
      </c>
      <c r="L791" s="4">
        <f t="shared" si="254"/>
        <v>1881.7721375983283</v>
      </c>
      <c r="M791" s="1">
        <f t="shared" si="255"/>
        <v>1035.7132444761132</v>
      </c>
      <c r="N791" s="7">
        <f t="shared" si="256"/>
        <v>41.981084133719392</v>
      </c>
      <c r="O791" s="1">
        <f t="shared" si="257"/>
        <v>3000</v>
      </c>
      <c r="P791" s="2">
        <f t="shared" si="258"/>
        <v>1.9489763259967157</v>
      </c>
      <c r="Q791" s="2">
        <f t="shared" si="245"/>
        <v>1361.6048016318916</v>
      </c>
      <c r="S791" s="1">
        <f t="shared" si="246"/>
        <v>3000</v>
      </c>
      <c r="T791" s="1">
        <f t="shared" si="247"/>
        <v>1881.7721375983285</v>
      </c>
      <c r="V791" s="1">
        <f t="shared" si="259"/>
        <v>1881.7721375983285</v>
      </c>
      <c r="W791" s="1">
        <f t="shared" si="260"/>
        <v>3000</v>
      </c>
    </row>
    <row r="792" spans="1:23" x14ac:dyDescent="0.25">
      <c r="A792" s="2">
        <f t="shared" si="261"/>
        <v>77.999999999999844</v>
      </c>
      <c r="B792" s="7">
        <f t="shared" si="244"/>
        <v>6.8180542245153717</v>
      </c>
      <c r="C792" s="7">
        <f t="shared" si="248"/>
        <v>2.0723505512168665</v>
      </c>
      <c r="D792" s="7">
        <f t="shared" si="249"/>
        <v>42.235924022572014</v>
      </c>
      <c r="E792" s="7">
        <f t="shared" si="250"/>
        <v>1</v>
      </c>
      <c r="G792" s="4">
        <f t="shared" si="251"/>
        <v>7799.9999999999845</v>
      </c>
      <c r="H792" s="1">
        <f t="shared" si="262"/>
        <v>5.3534335160841922</v>
      </c>
      <c r="I792" s="1">
        <f t="shared" si="263"/>
        <v>1518.0234629634469</v>
      </c>
      <c r="J792" s="1">
        <f t="shared" si="252"/>
        <v>50.600782098781565</v>
      </c>
      <c r="K792" s="7">
        <f t="shared" si="253"/>
        <v>4.158968391680677</v>
      </c>
      <c r="L792" s="4">
        <f t="shared" si="254"/>
        <v>1867.9600615110605</v>
      </c>
      <c r="M792" s="1">
        <f t="shared" si="255"/>
        <v>1036.1752756084334</v>
      </c>
      <c r="N792" s="7">
        <f t="shared" si="256"/>
        <v>42.235924022572014</v>
      </c>
      <c r="O792" s="1">
        <f t="shared" si="257"/>
        <v>3000</v>
      </c>
      <c r="P792" s="2">
        <f t="shared" si="258"/>
        <v>1.9355340315617693</v>
      </c>
      <c r="Q792" s="2">
        <f t="shared" si="245"/>
        <v>1365.8146157485369</v>
      </c>
      <c r="S792" s="1">
        <f t="shared" si="246"/>
        <v>3000</v>
      </c>
      <c r="T792" s="1">
        <f t="shared" si="247"/>
        <v>1867.9600615110605</v>
      </c>
      <c r="V792" s="1">
        <f t="shared" si="259"/>
        <v>1867.9600615110605</v>
      </c>
      <c r="W792" s="1">
        <f t="shared" si="260"/>
        <v>3000</v>
      </c>
    </row>
    <row r="793" spans="1:23" x14ac:dyDescent="0.25">
      <c r="A793" s="2">
        <f t="shared" si="261"/>
        <v>78.099999999999838</v>
      </c>
      <c r="B793" s="7">
        <f t="shared" si="244"/>
        <v>6.7680101826069299</v>
      </c>
      <c r="C793" s="7">
        <f t="shared" si="248"/>
        <v>2.073275025705196</v>
      </c>
      <c r="D793" s="7">
        <f t="shared" si="249"/>
        <v>42.492310878833671</v>
      </c>
      <c r="E793" s="7">
        <f t="shared" si="250"/>
        <v>1</v>
      </c>
      <c r="G793" s="4">
        <f t="shared" si="251"/>
        <v>7809.9999999999836</v>
      </c>
      <c r="H793" s="1">
        <f t="shared" si="262"/>
        <v>5.393017890811957</v>
      </c>
      <c r="I793" s="1">
        <f t="shared" si="263"/>
        <v>1523.4164808542589</v>
      </c>
      <c r="J793" s="1">
        <f t="shared" si="252"/>
        <v>50.780549361808632</v>
      </c>
      <c r="K793" s="7">
        <f t="shared" si="253"/>
        <v>4.1737437831623527</v>
      </c>
      <c r="L793" s="4">
        <f t="shared" si="254"/>
        <v>1854.2493650977892</v>
      </c>
      <c r="M793" s="1">
        <f t="shared" si="255"/>
        <v>1036.6375128525979</v>
      </c>
      <c r="N793" s="7">
        <f t="shared" si="256"/>
        <v>42.492310878833671</v>
      </c>
      <c r="O793" s="1">
        <f t="shared" si="257"/>
        <v>3000</v>
      </c>
      <c r="P793" s="2">
        <f t="shared" si="258"/>
        <v>1.9221844500434808</v>
      </c>
      <c r="Q793" s="2">
        <f t="shared" si="245"/>
        <v>1370.100966891664</v>
      </c>
      <c r="S793" s="1">
        <f t="shared" si="246"/>
        <v>3000</v>
      </c>
      <c r="T793" s="1">
        <f t="shared" si="247"/>
        <v>1854.2493650977892</v>
      </c>
      <c r="V793" s="1">
        <f t="shared" si="259"/>
        <v>1854.2493650977892</v>
      </c>
      <c r="W793" s="1">
        <f t="shared" si="260"/>
        <v>3000</v>
      </c>
    </row>
    <row r="794" spans="1:23" x14ac:dyDescent="0.25">
      <c r="A794" s="2">
        <f t="shared" si="261"/>
        <v>78.199999999999832</v>
      </c>
      <c r="B794" s="7">
        <f t="shared" si="244"/>
        <v>6.7183334604715581</v>
      </c>
      <c r="C794" s="7">
        <f t="shared" si="248"/>
        <v>2.0741999126011068</v>
      </c>
      <c r="D794" s="7">
        <f t="shared" si="249"/>
        <v>42.750254093138544</v>
      </c>
      <c r="E794" s="7">
        <f t="shared" si="250"/>
        <v>1</v>
      </c>
      <c r="G794" s="4">
        <f t="shared" si="251"/>
        <v>7819.9999999999836</v>
      </c>
      <c r="H794" s="1">
        <f t="shared" si="262"/>
        <v>5.432894960447241</v>
      </c>
      <c r="I794" s="1">
        <f t="shared" si="263"/>
        <v>1528.849375814706</v>
      </c>
      <c r="J794" s="1">
        <f t="shared" si="252"/>
        <v>50.961645860490201</v>
      </c>
      <c r="K794" s="7">
        <f t="shared" si="253"/>
        <v>4.1886284268896059</v>
      </c>
      <c r="L794" s="4">
        <f t="shared" si="254"/>
        <v>1840.6393042387831</v>
      </c>
      <c r="M794" s="1">
        <f t="shared" si="255"/>
        <v>1037.0999563005535</v>
      </c>
      <c r="N794" s="7">
        <f t="shared" si="256"/>
        <v>42.750254093138544</v>
      </c>
      <c r="O794" s="1">
        <f t="shared" si="257"/>
        <v>3000</v>
      </c>
      <c r="P794" s="2">
        <f t="shared" si="258"/>
        <v>1.9089269419911232</v>
      </c>
      <c r="Q794" s="2">
        <f t="shared" si="245"/>
        <v>1374.465453140027</v>
      </c>
      <c r="S794" s="1">
        <f t="shared" si="246"/>
        <v>3000</v>
      </c>
      <c r="T794" s="1">
        <f t="shared" si="247"/>
        <v>1840.6393042387831</v>
      </c>
      <c r="V794" s="1">
        <f t="shared" si="259"/>
        <v>1840.6393042387831</v>
      </c>
      <c r="W794" s="1">
        <f t="shared" si="260"/>
        <v>3000</v>
      </c>
    </row>
    <row r="795" spans="1:23" x14ac:dyDescent="0.25">
      <c r="A795" s="2">
        <f t="shared" si="261"/>
        <v>78.299999999999827</v>
      </c>
      <c r="B795" s="7">
        <f t="shared" si="244"/>
        <v>6.6690213620077721</v>
      </c>
      <c r="C795" s="7">
        <f t="shared" si="248"/>
        <v>2.0751252120885746</v>
      </c>
      <c r="D795" s="7">
        <f t="shared" si="249"/>
        <v>43.009763113125153</v>
      </c>
      <c r="E795" s="7">
        <f t="shared" si="250"/>
        <v>1</v>
      </c>
      <c r="G795" s="4">
        <f t="shared" si="251"/>
        <v>7829.9999999999827</v>
      </c>
      <c r="H795" s="1">
        <f t="shared" si="262"/>
        <v>5.4730668892336567</v>
      </c>
      <c r="I795" s="1">
        <f t="shared" si="263"/>
        <v>1534.3224427039397</v>
      </c>
      <c r="J795" s="1">
        <f t="shared" si="252"/>
        <v>51.144081423464655</v>
      </c>
      <c r="K795" s="7">
        <f t="shared" si="253"/>
        <v>4.2036231306957257</v>
      </c>
      <c r="L795" s="4">
        <f t="shared" si="254"/>
        <v>1827.1291402761019</v>
      </c>
      <c r="M795" s="1">
        <f t="shared" si="255"/>
        <v>1037.5626060442873</v>
      </c>
      <c r="N795" s="7">
        <f t="shared" si="256"/>
        <v>43.009763113125153</v>
      </c>
      <c r="O795" s="1">
        <f t="shared" si="257"/>
        <v>3000</v>
      </c>
      <c r="P795" s="2">
        <f t="shared" si="258"/>
        <v>1.8957608723643307</v>
      </c>
      <c r="Q795" s="2">
        <f t="shared" si="245"/>
        <v>1378.9097184549792</v>
      </c>
      <c r="S795" s="1">
        <f t="shared" si="246"/>
        <v>3000</v>
      </c>
      <c r="T795" s="1">
        <f t="shared" si="247"/>
        <v>1827.1291402761019</v>
      </c>
      <c r="V795" s="1">
        <f t="shared" si="259"/>
        <v>1827.1291402761019</v>
      </c>
      <c r="W795" s="1">
        <f t="shared" si="260"/>
        <v>3000</v>
      </c>
    </row>
    <row r="796" spans="1:23" x14ac:dyDescent="0.25">
      <c r="A796" s="2">
        <f t="shared" si="261"/>
        <v>78.399999999999821</v>
      </c>
      <c r="B796" s="7">
        <f t="shared" si="244"/>
        <v>6.6200712109032853</v>
      </c>
      <c r="C796" s="7">
        <f t="shared" si="248"/>
        <v>2.0760509243516556</v>
      </c>
      <c r="D796" s="7">
        <f t="shared" si="249"/>
        <v>43.270847443782614</v>
      </c>
      <c r="E796" s="7">
        <f t="shared" si="250"/>
        <v>1</v>
      </c>
      <c r="G796" s="4">
        <f t="shared" si="251"/>
        <v>7839.9999999999818</v>
      </c>
      <c r="H796" s="1">
        <f t="shared" si="262"/>
        <v>5.5135358574211457</v>
      </c>
      <c r="I796" s="1">
        <f t="shared" si="263"/>
        <v>1539.8359785613609</v>
      </c>
      <c r="J796" s="1">
        <f t="shared" si="252"/>
        <v>51.327865952045364</v>
      </c>
      <c r="K796" s="7">
        <f t="shared" si="253"/>
        <v>4.2187287083872897</v>
      </c>
      <c r="L796" s="4">
        <f t="shared" si="254"/>
        <v>1813.7181399735025</v>
      </c>
      <c r="M796" s="1">
        <f t="shared" si="255"/>
        <v>1038.0254621758279</v>
      </c>
      <c r="N796" s="7">
        <f t="shared" si="256"/>
        <v>43.270847443782614</v>
      </c>
      <c r="O796" s="1">
        <f t="shared" si="257"/>
        <v>3000</v>
      </c>
      <c r="P796" s="2">
        <f t="shared" si="258"/>
        <v>1.8826856105026777</v>
      </c>
      <c r="Q796" s="2">
        <f t="shared" si="245"/>
        <v>1383.4354543378988</v>
      </c>
      <c r="S796" s="1">
        <f t="shared" si="246"/>
        <v>3000</v>
      </c>
      <c r="T796" s="1">
        <f t="shared" si="247"/>
        <v>1813.7181399735025</v>
      </c>
      <c r="V796" s="1">
        <f t="shared" si="259"/>
        <v>1813.7181399735025</v>
      </c>
      <c r="W796" s="1">
        <f t="shared" si="260"/>
        <v>3000</v>
      </c>
    </row>
    <row r="797" spans="1:23" x14ac:dyDescent="0.25">
      <c r="A797" s="2">
        <f t="shared" si="261"/>
        <v>78.499999999999815</v>
      </c>
      <c r="B797" s="7">
        <f t="shared" si="244"/>
        <v>6.571480350489753</v>
      </c>
      <c r="C797" s="7">
        <f t="shared" si="248"/>
        <v>2.0769770495744893</v>
      </c>
      <c r="D797" s="7">
        <f t="shared" si="249"/>
        <v>43.533516647798606</v>
      </c>
      <c r="E797" s="7">
        <f t="shared" si="250"/>
        <v>1</v>
      </c>
      <c r="G797" s="4">
        <f t="shared" si="251"/>
        <v>7849.9999999999818</v>
      </c>
      <c r="H797" s="1">
        <f t="shared" si="262"/>
        <v>5.5543040613793755</v>
      </c>
      <c r="I797" s="1">
        <f t="shared" si="263"/>
        <v>1545.3902826227402</v>
      </c>
      <c r="J797" s="1">
        <f t="shared" si="252"/>
        <v>51.513009420758003</v>
      </c>
      <c r="K797" s="7">
        <f t="shared" si="253"/>
        <v>4.233945979788329</v>
      </c>
      <c r="L797" s="4">
        <f t="shared" si="254"/>
        <v>1800.4055754766448</v>
      </c>
      <c r="M797" s="1">
        <f t="shared" si="255"/>
        <v>1038.4885247872446</v>
      </c>
      <c r="N797" s="7">
        <f t="shared" si="256"/>
        <v>43.533516647798606</v>
      </c>
      <c r="O797" s="1">
        <f t="shared" si="257"/>
        <v>3000</v>
      </c>
      <c r="P797" s="2">
        <f t="shared" si="258"/>
        <v>1.869700530095471</v>
      </c>
      <c r="Q797" s="2">
        <f t="shared" si="245"/>
        <v>1388.0444015599624</v>
      </c>
      <c r="S797" s="1">
        <f t="shared" si="246"/>
        <v>3000</v>
      </c>
      <c r="T797" s="1">
        <f t="shared" si="247"/>
        <v>1800.4055754766448</v>
      </c>
      <c r="V797" s="1">
        <f t="shared" si="259"/>
        <v>1800.4055754766448</v>
      </c>
      <c r="W797" s="1">
        <f t="shared" si="260"/>
        <v>3000</v>
      </c>
    </row>
    <row r="798" spans="1:23" x14ac:dyDescent="0.25">
      <c r="A798" s="2">
        <f t="shared" si="261"/>
        <v>78.59999999999981</v>
      </c>
      <c r="B798" s="7">
        <f t="shared" si="244"/>
        <v>6.5232461435985938</v>
      </c>
      <c r="C798" s="7">
        <f t="shared" si="248"/>
        <v>2.0779035879412966</v>
      </c>
      <c r="D798" s="7">
        <f t="shared" si="249"/>
        <v>43.797780345909679</v>
      </c>
      <c r="E798" s="7">
        <f t="shared" si="250"/>
        <v>1</v>
      </c>
      <c r="G798" s="4">
        <f t="shared" si="251"/>
        <v>7859.9999999999818</v>
      </c>
      <c r="H798" s="1">
        <f t="shared" si="262"/>
        <v>5.5953737137174047</v>
      </c>
      <c r="I798" s="1">
        <f t="shared" si="263"/>
        <v>1550.9856563364576</v>
      </c>
      <c r="J798" s="1">
        <f t="shared" si="252"/>
        <v>51.699521877881921</v>
      </c>
      <c r="K798" s="7">
        <f t="shared" si="253"/>
        <v>4.2492757707848154</v>
      </c>
      <c r="L798" s="4">
        <f t="shared" si="254"/>
        <v>1787.1907242735872</v>
      </c>
      <c r="M798" s="1">
        <f t="shared" si="255"/>
        <v>1038.9517939706484</v>
      </c>
      <c r="N798" s="7">
        <f t="shared" si="256"/>
        <v>43.797780345909679</v>
      </c>
      <c r="O798" s="1">
        <f t="shared" si="257"/>
        <v>3000</v>
      </c>
      <c r="P798" s="2">
        <f t="shared" si="258"/>
        <v>1.8568050091517458</v>
      </c>
      <c r="Q798" s="2">
        <f t="shared" si="245"/>
        <v>1392.7383519680093</v>
      </c>
      <c r="S798" s="1">
        <f t="shared" si="246"/>
        <v>3000</v>
      </c>
      <c r="T798" s="1">
        <f t="shared" si="247"/>
        <v>1787.1907242735872</v>
      </c>
      <c r="V798" s="1">
        <f t="shared" si="259"/>
        <v>1787.1907242735872</v>
      </c>
      <c r="W798" s="1">
        <f t="shared" si="260"/>
        <v>3000</v>
      </c>
    </row>
    <row r="799" spans="1:23" x14ac:dyDescent="0.25">
      <c r="A799" s="2">
        <f t="shared" si="261"/>
        <v>78.699999999999804</v>
      </c>
      <c r="B799" s="7">
        <f t="shared" si="244"/>
        <v>6.4753659724178529</v>
      </c>
      <c r="C799" s="7">
        <f t="shared" si="248"/>
        <v>2.0788305396363809</v>
      </c>
      <c r="D799" s="7">
        <f t="shared" si="249"/>
        <v>44.063648217253636</v>
      </c>
      <c r="E799" s="7">
        <f t="shared" si="250"/>
        <v>1</v>
      </c>
      <c r="G799" s="4">
        <f t="shared" si="251"/>
        <v>7869.9999999999809</v>
      </c>
      <c r="H799" s="1">
        <f t="shared" si="262"/>
        <v>5.636747043405772</v>
      </c>
      <c r="I799" s="1">
        <f t="shared" si="263"/>
        <v>1556.6224033798635</v>
      </c>
      <c r="J799" s="1">
        <f t="shared" si="252"/>
        <v>51.887413445995449</v>
      </c>
      <c r="K799" s="7">
        <f t="shared" si="253"/>
        <v>4.2647189133694887</v>
      </c>
      <c r="L799" s="4">
        <f t="shared" si="254"/>
        <v>1774.0728691555764</v>
      </c>
      <c r="M799" s="1">
        <f t="shared" si="255"/>
        <v>1039.4152698181904</v>
      </c>
      <c r="N799" s="7">
        <f t="shared" si="256"/>
        <v>44.063648217253636</v>
      </c>
      <c r="O799" s="1">
        <f t="shared" si="257"/>
        <v>3000</v>
      </c>
      <c r="P799" s="2">
        <f t="shared" si="258"/>
        <v>1.8439984299704746</v>
      </c>
      <c r="Q799" s="2">
        <f t="shared" si="245"/>
        <v>1397.5191503704295</v>
      </c>
      <c r="S799" s="1">
        <f t="shared" si="246"/>
        <v>3000</v>
      </c>
      <c r="T799" s="1">
        <f t="shared" si="247"/>
        <v>1774.0728691555762</v>
      </c>
      <c r="V799" s="1">
        <f t="shared" si="259"/>
        <v>1774.0728691555762</v>
      </c>
      <c r="W799" s="1">
        <f t="shared" si="260"/>
        <v>3000</v>
      </c>
    </row>
    <row r="800" spans="1:23" x14ac:dyDescent="0.25">
      <c r="A800" s="2">
        <f t="shared" si="261"/>
        <v>78.799999999999798</v>
      </c>
      <c r="B800" s="7">
        <f t="shared" si="244"/>
        <v>6.4278372383501479</v>
      </c>
      <c r="C800" s="7">
        <f t="shared" si="248"/>
        <v>2.0797579048441279</v>
      </c>
      <c r="D800" s="7">
        <f t="shared" si="249"/>
        <v>44.331129999724055</v>
      </c>
      <c r="E800" s="7">
        <f t="shared" si="250"/>
        <v>1</v>
      </c>
      <c r="G800" s="4">
        <f t="shared" si="251"/>
        <v>7879.99999999998</v>
      </c>
      <c r="H800" s="1">
        <f t="shared" si="262"/>
        <v>5.6784262958975056</v>
      </c>
      <c r="I800" s="1">
        <f t="shared" si="263"/>
        <v>1562.300829675761</v>
      </c>
      <c r="J800" s="1">
        <f t="shared" si="252"/>
        <v>52.076694322525363</v>
      </c>
      <c r="K800" s="7">
        <f t="shared" si="253"/>
        <v>4.2802762456870163</v>
      </c>
      <c r="L800" s="4">
        <f t="shared" si="254"/>
        <v>1761.0512981781226</v>
      </c>
      <c r="M800" s="1">
        <f t="shared" si="255"/>
        <v>1039.878952422064</v>
      </c>
      <c r="N800" s="7">
        <f t="shared" si="256"/>
        <v>44.331129999724055</v>
      </c>
      <c r="O800" s="1">
        <f t="shared" si="257"/>
        <v>3000</v>
      </c>
      <c r="P800" s="2">
        <f t="shared" si="258"/>
        <v>1.8312801791109821</v>
      </c>
      <c r="Q800" s="2">
        <f t="shared" si="245"/>
        <v>1402.3886965072254</v>
      </c>
      <c r="S800" s="1">
        <f t="shared" si="246"/>
        <v>3000</v>
      </c>
      <c r="T800" s="1">
        <f t="shared" si="247"/>
        <v>1761.0512981781228</v>
      </c>
      <c r="V800" s="1">
        <f t="shared" si="259"/>
        <v>1761.0512981781228</v>
      </c>
      <c r="W800" s="1">
        <f t="shared" si="260"/>
        <v>3000</v>
      </c>
    </row>
    <row r="801" spans="1:23" x14ac:dyDescent="0.25">
      <c r="A801" s="2">
        <f t="shared" si="261"/>
        <v>78.899999999999793</v>
      </c>
      <c r="B801" s="7">
        <f t="shared" si="244"/>
        <v>6.3806573618716058</v>
      </c>
      <c r="C801" s="7">
        <f t="shared" si="248"/>
        <v>2.0806856837490049</v>
      </c>
      <c r="D801" s="7">
        <f t="shared" si="249"/>
        <v>44.600235490326831</v>
      </c>
      <c r="E801" s="7">
        <f t="shared" si="250"/>
        <v>1</v>
      </c>
      <c r="G801" s="4">
        <f t="shared" si="251"/>
        <v>7889.9999999999791</v>
      </c>
      <c r="H801" s="1">
        <f t="shared" si="262"/>
        <v>5.720413733247435</v>
      </c>
      <c r="I801" s="1">
        <f t="shared" si="263"/>
        <v>1568.0212434090083</v>
      </c>
      <c r="J801" s="1">
        <f t="shared" si="252"/>
        <v>52.26737478030028</v>
      </c>
      <c r="K801" s="7">
        <f t="shared" si="253"/>
        <v>4.2959486120794752</v>
      </c>
      <c r="L801" s="4">
        <f t="shared" si="254"/>
        <v>1748.1253046223576</v>
      </c>
      <c r="M801" s="1">
        <f t="shared" si="255"/>
        <v>1040.3428418745025</v>
      </c>
      <c r="N801" s="7">
        <f t="shared" si="256"/>
        <v>44.600235490326831</v>
      </c>
      <c r="O801" s="1">
        <f t="shared" si="257"/>
        <v>3000</v>
      </c>
      <c r="P801" s="2">
        <f t="shared" si="258"/>
        <v>1.8186496473635538</v>
      </c>
      <c r="Q801" s="2">
        <f t="shared" si="245"/>
        <v>1407.3489471086643</v>
      </c>
      <c r="S801" s="1">
        <f t="shared" si="246"/>
        <v>3000</v>
      </c>
      <c r="T801" s="1">
        <f t="shared" si="247"/>
        <v>1748.1253046223576</v>
      </c>
      <c r="V801" s="1">
        <f t="shared" si="259"/>
        <v>1748.1253046223576</v>
      </c>
      <c r="W801" s="1">
        <f t="shared" si="260"/>
        <v>3000</v>
      </c>
    </row>
    <row r="802" spans="1:23" x14ac:dyDescent="0.25">
      <c r="A802" s="2">
        <f t="shared" si="261"/>
        <v>78.999999999999787</v>
      </c>
      <c r="B802" s="7">
        <f t="shared" si="244"/>
        <v>6.3338237823918808</v>
      </c>
      <c r="C802" s="7">
        <f t="shared" si="248"/>
        <v>2.0816138765355623</v>
      </c>
      <c r="D802" s="7">
        <f t="shared" si="249"/>
        <v>44.870974545539248</v>
      </c>
      <c r="E802" s="7">
        <f t="shared" si="250"/>
        <v>1</v>
      </c>
      <c r="G802" s="4">
        <f t="shared" si="251"/>
        <v>7899.9999999999782</v>
      </c>
      <c r="H802" s="1">
        <f t="shared" si="262"/>
        <v>5.7627116342369984</v>
      </c>
      <c r="I802" s="1">
        <f t="shared" si="263"/>
        <v>1573.7839550432452</v>
      </c>
      <c r="J802" s="1">
        <f t="shared" si="252"/>
        <v>52.459465168108174</v>
      </c>
      <c r="K802" s="7">
        <f t="shared" si="253"/>
        <v>4.3117368631321789</v>
      </c>
      <c r="L802" s="4">
        <f t="shared" si="254"/>
        <v>1735.2941869566796</v>
      </c>
      <c r="M802" s="1">
        <f t="shared" si="255"/>
        <v>1040.8069382677811</v>
      </c>
      <c r="N802" s="7">
        <f t="shared" si="256"/>
        <v>44.870974545539248</v>
      </c>
      <c r="O802" s="1">
        <f t="shared" si="257"/>
        <v>3000</v>
      </c>
      <c r="P802" s="2">
        <f t="shared" si="258"/>
        <v>1.8061062297202604</v>
      </c>
      <c r="Q802" s="2">
        <f t="shared" si="245"/>
        <v>1412.4019180472385</v>
      </c>
      <c r="S802" s="1">
        <f t="shared" si="246"/>
        <v>3000</v>
      </c>
      <c r="T802" s="1">
        <f t="shared" si="247"/>
        <v>1735.2941869566796</v>
      </c>
      <c r="V802" s="1">
        <f t="shared" si="259"/>
        <v>1735.2941869566796</v>
      </c>
      <c r="W802" s="1">
        <f t="shared" si="260"/>
        <v>3000</v>
      </c>
    </row>
    <row r="803" spans="1:23" x14ac:dyDescent="0.25">
      <c r="A803" s="2">
        <f t="shared" si="261"/>
        <v>79.099999999999781</v>
      </c>
      <c r="B803" s="7">
        <f t="shared" si="244"/>
        <v>6.2873339581151839</v>
      </c>
      <c r="C803" s="7">
        <f t="shared" si="248"/>
        <v>2.0825424833884325</v>
      </c>
      <c r="D803" s="7">
        <f t="shared" si="249"/>
        <v>45.143357081670786</v>
      </c>
      <c r="E803" s="7">
        <f t="shared" si="250"/>
        <v>1</v>
      </c>
      <c r="G803" s="4">
        <f t="shared" si="251"/>
        <v>7909.9999999999782</v>
      </c>
      <c r="H803" s="1">
        <f t="shared" si="262"/>
        <v>5.8053222944979321</v>
      </c>
      <c r="I803" s="1">
        <f t="shared" si="263"/>
        <v>1579.5892773377432</v>
      </c>
      <c r="J803" s="1">
        <f t="shared" si="252"/>
        <v>52.652975911258103</v>
      </c>
      <c r="K803" s="7">
        <f t="shared" si="253"/>
        <v>4.3276418557198442</v>
      </c>
      <c r="L803" s="4">
        <f t="shared" si="254"/>
        <v>1722.5572487986803</v>
      </c>
      <c r="M803" s="1">
        <f t="shared" si="255"/>
        <v>1041.2712416942163</v>
      </c>
      <c r="N803" s="7">
        <f t="shared" si="256"/>
        <v>45.143357081670786</v>
      </c>
      <c r="O803" s="1">
        <f t="shared" si="257"/>
        <v>3000</v>
      </c>
      <c r="P803" s="2">
        <f t="shared" si="258"/>
        <v>1.7936493253459749</v>
      </c>
      <c r="Q803" s="2">
        <f t="shared" si="245"/>
        <v>1417.5496865878513</v>
      </c>
      <c r="S803" s="1">
        <f t="shared" si="246"/>
        <v>3000</v>
      </c>
      <c r="T803" s="1">
        <f t="shared" si="247"/>
        <v>1722.5572487986803</v>
      </c>
      <c r="V803" s="1">
        <f t="shared" si="259"/>
        <v>1722.5572487986803</v>
      </c>
      <c r="W803" s="1">
        <f t="shared" si="260"/>
        <v>3000</v>
      </c>
    </row>
    <row r="804" spans="1:23" x14ac:dyDescent="0.25">
      <c r="A804" s="2">
        <f t="shared" si="261"/>
        <v>79.199999999999775</v>
      </c>
      <c r="B804" s="7">
        <f t="shared" si="244"/>
        <v>6.2411853659023286</v>
      </c>
      <c r="C804" s="7">
        <f t="shared" si="248"/>
        <v>2.08347150449233</v>
      </c>
      <c r="D804" s="7">
        <f t="shared" si="249"/>
        <v>45.41739307522645</v>
      </c>
      <c r="E804" s="7">
        <f t="shared" si="250"/>
        <v>1</v>
      </c>
      <c r="G804" s="4">
        <f t="shared" si="251"/>
        <v>7919.9999999999773</v>
      </c>
      <c r="H804" s="1">
        <f t="shared" si="262"/>
        <v>5.8482480266342227</v>
      </c>
      <c r="I804" s="1">
        <f t="shared" si="263"/>
        <v>1585.4375253643773</v>
      </c>
      <c r="J804" s="1">
        <f t="shared" si="252"/>
        <v>52.847917512145912</v>
      </c>
      <c r="K804" s="7">
        <f t="shared" si="253"/>
        <v>4.3436644530530888</v>
      </c>
      <c r="L804" s="4">
        <f t="shared" si="254"/>
        <v>1709.9137988773502</v>
      </c>
      <c r="M804" s="1">
        <f t="shared" si="255"/>
        <v>1041.735752246165</v>
      </c>
      <c r="N804" s="7">
        <f t="shared" si="256"/>
        <v>45.41739307522645</v>
      </c>
      <c r="O804" s="1">
        <f t="shared" si="257"/>
        <v>3000</v>
      </c>
      <c r="P804" s="2">
        <f t="shared" si="258"/>
        <v>1.7812783375495942</v>
      </c>
      <c r="Q804" s="2">
        <f t="shared" si="245"/>
        <v>1422.7943937415464</v>
      </c>
      <c r="S804" s="1">
        <f t="shared" si="246"/>
        <v>3000</v>
      </c>
      <c r="T804" s="1">
        <f t="shared" si="247"/>
        <v>1709.9137988773502</v>
      </c>
      <c r="V804" s="1">
        <f t="shared" si="259"/>
        <v>1709.9137988773502</v>
      </c>
      <c r="W804" s="1">
        <f t="shared" si="260"/>
        <v>3000</v>
      </c>
    </row>
    <row r="805" spans="1:23" x14ac:dyDescent="0.25">
      <c r="A805" s="2">
        <f t="shared" si="261"/>
        <v>79.29999999999977</v>
      </c>
      <c r="B805" s="7">
        <f t="shared" si="244"/>
        <v>6.195375501133797</v>
      </c>
      <c r="C805" s="7">
        <f t="shared" si="248"/>
        <v>2.0844009400320522</v>
      </c>
      <c r="D805" s="7">
        <f t="shared" si="249"/>
        <v>45.69309256327211</v>
      </c>
      <c r="E805" s="7">
        <f t="shared" si="250"/>
        <v>1</v>
      </c>
      <c r="G805" s="4">
        <f t="shared" si="251"/>
        <v>7929.9999999999764</v>
      </c>
      <c r="H805" s="1">
        <f t="shared" si="262"/>
        <v>5.8914911603529001</v>
      </c>
      <c r="I805" s="1">
        <f t="shared" si="263"/>
        <v>1591.3290165247302</v>
      </c>
      <c r="J805" s="1">
        <f t="shared" si="252"/>
        <v>53.044300550824339</v>
      </c>
      <c r="K805" s="7">
        <f t="shared" si="253"/>
        <v>4.3598055247252878</v>
      </c>
      <c r="L805" s="4">
        <f t="shared" si="254"/>
        <v>1697.3631509955608</v>
      </c>
      <c r="M805" s="1">
        <f t="shared" si="255"/>
        <v>1042.2004700160262</v>
      </c>
      <c r="N805" s="7">
        <f t="shared" si="256"/>
        <v>45.69309256327211</v>
      </c>
      <c r="O805" s="1">
        <f t="shared" si="257"/>
        <v>3000</v>
      </c>
      <c r="P805" s="2">
        <f t="shared" si="258"/>
        <v>1.7689926737554567</v>
      </c>
      <c r="Q805" s="2">
        <f t="shared" si="245"/>
        <v>1428.1382467283502</v>
      </c>
      <c r="S805" s="1">
        <f t="shared" si="246"/>
        <v>3000</v>
      </c>
      <c r="T805" s="1">
        <f t="shared" si="247"/>
        <v>1697.363150995561</v>
      </c>
      <c r="V805" s="1">
        <f t="shared" si="259"/>
        <v>1697.363150995561</v>
      </c>
      <c r="W805" s="1">
        <f t="shared" si="260"/>
        <v>3000</v>
      </c>
    </row>
    <row r="806" spans="1:23" x14ac:dyDescent="0.25">
      <c r="A806" s="2">
        <f t="shared" si="261"/>
        <v>79.399999999999764</v>
      </c>
      <c r="B806" s="7">
        <f t="shared" si="244"/>
        <v>6.1499018775737913</v>
      </c>
      <c r="C806" s="7">
        <f t="shared" si="248"/>
        <v>2.0853307901924785</v>
      </c>
      <c r="D806" s="7">
        <f t="shared" si="249"/>
        <v>45.970465643802072</v>
      </c>
      <c r="E806" s="7">
        <f t="shared" si="250"/>
        <v>1</v>
      </c>
      <c r="G806" s="4">
        <f t="shared" si="251"/>
        <v>7939.9999999999764</v>
      </c>
      <c r="H806" s="1">
        <f t="shared" si="262"/>
        <v>5.9350540425857448</v>
      </c>
      <c r="I806" s="1">
        <f t="shared" si="263"/>
        <v>1597.2640705673159</v>
      </c>
      <c r="J806" s="1">
        <f t="shared" si="252"/>
        <v>53.242135685577196</v>
      </c>
      <c r="K806" s="7">
        <f t="shared" si="253"/>
        <v>4.3760659467597698</v>
      </c>
      <c r="L806" s="4">
        <f t="shared" si="254"/>
        <v>1684.9046239928198</v>
      </c>
      <c r="M806" s="1">
        <f t="shared" si="255"/>
        <v>1042.6653950962393</v>
      </c>
      <c r="N806" s="7">
        <f t="shared" si="256"/>
        <v>45.970465643802072</v>
      </c>
      <c r="O806" s="1">
        <f t="shared" si="257"/>
        <v>3000</v>
      </c>
      <c r="P806" s="2">
        <f t="shared" si="258"/>
        <v>1.756791745474954</v>
      </c>
      <c r="Q806" s="2">
        <f t="shared" si="245"/>
        <v>1433.5835215551867</v>
      </c>
      <c r="S806" s="1">
        <f t="shared" si="246"/>
        <v>3000</v>
      </c>
      <c r="T806" s="1">
        <f t="shared" si="247"/>
        <v>1684.9046239928196</v>
      </c>
      <c r="V806" s="1">
        <f t="shared" si="259"/>
        <v>1684.9046239928196</v>
      </c>
      <c r="W806" s="1">
        <f t="shared" si="260"/>
        <v>3000</v>
      </c>
    </row>
    <row r="807" spans="1:23" x14ac:dyDescent="0.25">
      <c r="A807" s="2">
        <f t="shared" si="261"/>
        <v>79.499999999999758</v>
      </c>
      <c r="B807" s="7">
        <f t="shared" si="244"/>
        <v>6.104762027235334</v>
      </c>
      <c r="C807" s="7">
        <f t="shared" si="248"/>
        <v>2.0862610551585714</v>
      </c>
      <c r="D807" s="7">
        <f t="shared" si="249"/>
        <v>46.249522476109085</v>
      </c>
      <c r="E807" s="7">
        <f t="shared" si="250"/>
        <v>1</v>
      </c>
      <c r="G807" s="4">
        <f t="shared" si="251"/>
        <v>7949.9999999999764</v>
      </c>
      <c r="H807" s="1">
        <f t="shared" si="262"/>
        <v>5.9789390376171241</v>
      </c>
      <c r="I807" s="1">
        <f t="shared" si="263"/>
        <v>1603.2430096049329</v>
      </c>
      <c r="J807" s="1">
        <f t="shared" si="252"/>
        <v>53.441433653497761</v>
      </c>
      <c r="K807" s="7">
        <f t="shared" si="253"/>
        <v>4.3924466016573502</v>
      </c>
      <c r="L807" s="4">
        <f t="shared" si="254"/>
        <v>1672.537541708311</v>
      </c>
      <c r="M807" s="1">
        <f t="shared" si="255"/>
        <v>1043.1305275792856</v>
      </c>
      <c r="N807" s="7">
        <f t="shared" si="256"/>
        <v>46.249522476109085</v>
      </c>
      <c r="O807" s="1">
        <f t="shared" si="257"/>
        <v>3000</v>
      </c>
      <c r="P807" s="2">
        <f t="shared" si="258"/>
        <v>1.744674968278352</v>
      </c>
      <c r="Q807" s="2">
        <f t="shared" si="245"/>
        <v>1439.1325657152081</v>
      </c>
      <c r="S807" s="1">
        <f t="shared" si="246"/>
        <v>3000</v>
      </c>
      <c r="T807" s="1">
        <f t="shared" si="247"/>
        <v>1672.5375417083108</v>
      </c>
      <c r="V807" s="1">
        <f t="shared" si="259"/>
        <v>1672.5375417083108</v>
      </c>
      <c r="W807" s="1">
        <f t="shared" si="260"/>
        <v>3000</v>
      </c>
    </row>
    <row r="808" spans="1:23" x14ac:dyDescent="0.25">
      <c r="A808" s="2">
        <f t="shared" si="261"/>
        <v>79.599999999999753</v>
      </c>
      <c r="B808" s="7">
        <f t="shared" si="244"/>
        <v>6.0599535002462792</v>
      </c>
      <c r="C808" s="7">
        <f t="shared" si="248"/>
        <v>2.0871917351153755</v>
      </c>
      <c r="D808" s="7">
        <f t="shared" si="249"/>
        <v>46.530273281156347</v>
      </c>
      <c r="E808" s="7">
        <f t="shared" si="250"/>
        <v>1</v>
      </c>
      <c r="G808" s="4">
        <f t="shared" si="251"/>
        <v>7959.9999999999754</v>
      </c>
      <c r="H808" s="1">
        <f t="shared" si="262"/>
        <v>6.0231485272144907</v>
      </c>
      <c r="I808" s="1">
        <f t="shared" si="263"/>
        <v>1609.2661581321474</v>
      </c>
      <c r="J808" s="1">
        <f t="shared" si="252"/>
        <v>53.642205271071582</v>
      </c>
      <c r="K808" s="7">
        <f t="shared" si="253"/>
        <v>4.4089483784442391</v>
      </c>
      <c r="L808" s="4">
        <f t="shared" si="254"/>
        <v>1660.2612329441863</v>
      </c>
      <c r="M808" s="1">
        <f t="shared" si="255"/>
        <v>1043.5958675576878</v>
      </c>
      <c r="N808" s="7">
        <f t="shared" si="256"/>
        <v>46.530273281156347</v>
      </c>
      <c r="O808" s="1">
        <f t="shared" si="257"/>
        <v>3000</v>
      </c>
      <c r="P808" s="2">
        <f t="shared" si="258"/>
        <v>1.7326417617667846</v>
      </c>
      <c r="Q808" s="2">
        <f t="shared" si="245"/>
        <v>1444.7878010152144</v>
      </c>
      <c r="S808" s="1">
        <f t="shared" si="246"/>
        <v>3000</v>
      </c>
      <c r="T808" s="1">
        <f t="shared" si="247"/>
        <v>1660.2612329441861</v>
      </c>
      <c r="V808" s="1">
        <f t="shared" si="259"/>
        <v>1660.2612329441861</v>
      </c>
      <c r="W808" s="1">
        <f t="shared" si="260"/>
        <v>3000</v>
      </c>
    </row>
    <row r="809" spans="1:23" x14ac:dyDescent="0.25">
      <c r="A809" s="2">
        <f t="shared" si="261"/>
        <v>79.699999999999747</v>
      </c>
      <c r="B809" s="7">
        <f t="shared" si="244"/>
        <v>6.0154738647163795</v>
      </c>
      <c r="C809" s="7">
        <f t="shared" si="248"/>
        <v>2.0881228302480173</v>
      </c>
      <c r="D809" s="7">
        <f t="shared" si="249"/>
        <v>46.812728341951882</v>
      </c>
      <c r="E809" s="7">
        <f t="shared" si="250"/>
        <v>1</v>
      </c>
      <c r="G809" s="4">
        <f t="shared" si="251"/>
        <v>7969.9999999999745</v>
      </c>
      <c r="H809" s="1">
        <f t="shared" si="262"/>
        <v>6.0676849107576674</v>
      </c>
      <c r="I809" s="1">
        <f t="shared" si="263"/>
        <v>1615.3338430429051</v>
      </c>
      <c r="J809" s="1">
        <f t="shared" si="252"/>
        <v>53.844461434763502</v>
      </c>
      <c r="K809" s="7">
        <f t="shared" si="253"/>
        <v>4.4255721727202877</v>
      </c>
      <c r="L809" s="4">
        <f t="shared" si="254"/>
        <v>1648.0750314291449</v>
      </c>
      <c r="M809" s="1">
        <f t="shared" si="255"/>
        <v>1044.0614151240086</v>
      </c>
      <c r="N809" s="7">
        <f t="shared" si="256"/>
        <v>46.812728341951882</v>
      </c>
      <c r="O809" s="1">
        <f t="shared" si="257"/>
        <v>3000</v>
      </c>
      <c r="P809" s="2">
        <f t="shared" si="258"/>
        <v>1.7206915495444581</v>
      </c>
      <c r="Q809" s="2">
        <f t="shared" si="245"/>
        <v>1450.5517265383578</v>
      </c>
      <c r="S809" s="1">
        <f t="shared" si="246"/>
        <v>3000</v>
      </c>
      <c r="T809" s="1">
        <f t="shared" si="247"/>
        <v>1648.0750314291449</v>
      </c>
      <c r="V809" s="1">
        <f t="shared" si="259"/>
        <v>1648.0750314291449</v>
      </c>
      <c r="W809" s="1">
        <f t="shared" si="260"/>
        <v>3000</v>
      </c>
    </row>
    <row r="810" spans="1:23" x14ac:dyDescent="0.25">
      <c r="A810" s="2">
        <f t="shared" si="261"/>
        <v>79.799999999999741</v>
      </c>
      <c r="B810" s="7">
        <f t="shared" si="244"/>
        <v>5.9713207066052911</v>
      </c>
      <c r="C810" s="7">
        <f t="shared" si="248"/>
        <v>2.0890543407417068</v>
      </c>
      <c r="D810" s="7">
        <f t="shared" si="249"/>
        <v>47.096898003925176</v>
      </c>
      <c r="E810" s="7">
        <f t="shared" si="250"/>
        <v>1</v>
      </c>
      <c r="G810" s="4">
        <f t="shared" si="251"/>
        <v>7979.9999999999736</v>
      </c>
      <c r="H810" s="1">
        <f t="shared" si="262"/>
        <v>6.112550605366331</v>
      </c>
      <c r="I810" s="1">
        <f t="shared" si="263"/>
        <v>1621.4463936482714</v>
      </c>
      <c r="J810" s="1">
        <f t="shared" si="252"/>
        <v>54.048213121609045</v>
      </c>
      <c r="K810" s="7">
        <f t="shared" si="253"/>
        <v>4.4423188867075929</v>
      </c>
      <c r="L810" s="4">
        <f t="shared" si="254"/>
        <v>1635.9782757822716</v>
      </c>
      <c r="M810" s="1">
        <f t="shared" si="255"/>
        <v>1044.5271703708534</v>
      </c>
      <c r="N810" s="7">
        <f t="shared" si="256"/>
        <v>47.096898003925176</v>
      </c>
      <c r="O810" s="1">
        <f t="shared" si="257"/>
        <v>3000</v>
      </c>
      <c r="P810" s="2">
        <f t="shared" si="258"/>
        <v>1.7088237591910436</v>
      </c>
      <c r="Q810" s="2">
        <f t="shared" si="245"/>
        <v>1456.4269217497256</v>
      </c>
      <c r="S810" s="1">
        <f t="shared" si="246"/>
        <v>3000</v>
      </c>
      <c r="T810" s="1">
        <f t="shared" si="247"/>
        <v>1635.9782757822716</v>
      </c>
      <c r="V810" s="1">
        <f t="shared" si="259"/>
        <v>1635.9782757822716</v>
      </c>
      <c r="W810" s="1">
        <f t="shared" si="260"/>
        <v>3000</v>
      </c>
    </row>
    <row r="811" spans="1:23" x14ac:dyDescent="0.25">
      <c r="A811" s="2">
        <f t="shared" si="261"/>
        <v>79.899999999999736</v>
      </c>
      <c r="B811" s="7">
        <f t="shared" si="244"/>
        <v>5.9274916295915547</v>
      </c>
      <c r="C811" s="7">
        <f t="shared" si="248"/>
        <v>2.0899862667817364</v>
      </c>
      <c r="D811" s="7">
        <f t="shared" si="249"/>
        <v>47.382792675306121</v>
      </c>
      <c r="E811" s="7">
        <f t="shared" si="250"/>
        <v>1</v>
      </c>
      <c r="G811" s="4">
        <f t="shared" si="251"/>
        <v>7989.9999999999736</v>
      </c>
      <c r="H811" s="1">
        <f t="shared" si="262"/>
        <v>6.1577480460339515</v>
      </c>
      <c r="I811" s="1">
        <f t="shared" si="263"/>
        <v>1627.6041416943053</v>
      </c>
      <c r="J811" s="1">
        <f t="shared" si="252"/>
        <v>54.25347138981018</v>
      </c>
      <c r="K811" s="7">
        <f t="shared" si="253"/>
        <v>4.4591894292994665</v>
      </c>
      <c r="L811" s="4">
        <f t="shared" si="254"/>
        <v>1623.9703094771382</v>
      </c>
      <c r="M811" s="1">
        <f t="shared" si="255"/>
        <v>1044.9931333908683</v>
      </c>
      <c r="N811" s="7">
        <f t="shared" si="256"/>
        <v>47.382792675306121</v>
      </c>
      <c r="O811" s="1">
        <f t="shared" si="257"/>
        <v>3000</v>
      </c>
      <c r="P811" s="2">
        <f t="shared" si="258"/>
        <v>1.6970378222342526</v>
      </c>
      <c r="Q811" s="2">
        <f t="shared" si="245"/>
        <v>1462.4160497528958</v>
      </c>
      <c r="S811" s="1">
        <f t="shared" si="246"/>
        <v>3000</v>
      </c>
      <c r="T811" s="1">
        <f t="shared" si="247"/>
        <v>1623.9703094771382</v>
      </c>
      <c r="V811" s="1">
        <f t="shared" si="259"/>
        <v>1623.9703094771382</v>
      </c>
      <c r="W811" s="1">
        <f t="shared" si="260"/>
        <v>3000</v>
      </c>
    </row>
    <row r="812" spans="1:23" x14ac:dyDescent="0.25">
      <c r="A812" s="2">
        <f t="shared" si="261"/>
        <v>79.99999999999973</v>
      </c>
      <c r="B812" s="7">
        <f t="shared" ref="B812:B875" si="264">IF(A812&lt;=$B$2,$B$3*EXP(A812*$B$4),IF(A812&lt;$B$7,$B$6,IF($B$8*EXP(A812*$B$9)&gt;$B$6,$B$6,$B$8*EXP(A812*$B$9))))</f>
        <v>5.8839842549425505</v>
      </c>
      <c r="C812" s="7">
        <f t="shared" si="248"/>
        <v>2.0909186085534812</v>
      </c>
      <c r="D812" s="7">
        <f t="shared" si="249"/>
        <v>47.670422827506101</v>
      </c>
      <c r="E812" s="7">
        <f t="shared" si="250"/>
        <v>1</v>
      </c>
      <c r="G812" s="4">
        <f t="shared" si="251"/>
        <v>7999.9999999999727</v>
      </c>
      <c r="H812" s="1">
        <f t="shared" si="262"/>
        <v>6.203279685756578</v>
      </c>
      <c r="I812" s="1">
        <f t="shared" si="263"/>
        <v>1633.8074213800619</v>
      </c>
      <c r="J812" s="1">
        <f t="shared" si="252"/>
        <v>54.460247379335399</v>
      </c>
      <c r="K812" s="7">
        <f t="shared" si="253"/>
        <v>4.476184716109759</v>
      </c>
      <c r="L812" s="4">
        <f t="shared" si="254"/>
        <v>1612.0504808061783</v>
      </c>
      <c r="M812" s="1">
        <f t="shared" si="255"/>
        <v>1045.4593042767406</v>
      </c>
      <c r="N812" s="7">
        <f t="shared" si="256"/>
        <v>47.670422827506101</v>
      </c>
      <c r="O812" s="1">
        <f t="shared" si="257"/>
        <v>3000</v>
      </c>
      <c r="P812" s="2">
        <f t="shared" si="258"/>
        <v>1.6853331741226123</v>
      </c>
      <c r="Q812" s="2">
        <f t="shared" si="245"/>
        <v>1468.5218607061163</v>
      </c>
      <c r="S812" s="1">
        <f t="shared" si="246"/>
        <v>3000</v>
      </c>
      <c r="T812" s="1">
        <f t="shared" si="247"/>
        <v>1612.0504808061783</v>
      </c>
      <c r="V812" s="1">
        <f t="shared" si="259"/>
        <v>1612.0504808061783</v>
      </c>
      <c r="W812" s="1">
        <f t="shared" si="260"/>
        <v>3000</v>
      </c>
    </row>
    <row r="813" spans="1:23" x14ac:dyDescent="0.25">
      <c r="A813" s="2">
        <f t="shared" si="261"/>
        <v>80.099999999999724</v>
      </c>
      <c r="B813" s="7">
        <f t="shared" si="264"/>
        <v>5.840796221385383</v>
      </c>
      <c r="C813" s="7">
        <f t="shared" si="248"/>
        <v>2.0918513662423992</v>
      </c>
      <c r="D813" s="7">
        <f t="shared" si="249"/>
        <v>47.959798995501778</v>
      </c>
      <c r="E813" s="7">
        <f t="shared" si="250"/>
        <v>1</v>
      </c>
      <c r="G813" s="4">
        <f t="shared" si="251"/>
        <v>8009.9999999999727</v>
      </c>
      <c r="H813" s="1">
        <f t="shared" si="262"/>
        <v>6.2491479956721623</v>
      </c>
      <c r="I813" s="1">
        <f t="shared" si="263"/>
        <v>1640.0565693757342</v>
      </c>
      <c r="J813" s="1">
        <f t="shared" si="252"/>
        <v>54.668552312524476</v>
      </c>
      <c r="K813" s="7">
        <f t="shared" si="253"/>
        <v>4.4933056695225595</v>
      </c>
      <c r="L813" s="4">
        <f t="shared" si="254"/>
        <v>1600.2181428453102</v>
      </c>
      <c r="M813" s="1">
        <f t="shared" si="255"/>
        <v>1045.9256831211997</v>
      </c>
      <c r="N813" s="7">
        <f t="shared" si="256"/>
        <v>47.959798995501778</v>
      </c>
      <c r="O813" s="1">
        <f t="shared" si="257"/>
        <v>3000</v>
      </c>
      <c r="P813" s="2">
        <f t="shared" si="258"/>
        <v>1.6737092541984184</v>
      </c>
      <c r="Q813" s="2">
        <f t="shared" si="245"/>
        <v>1474.7471954073062</v>
      </c>
      <c r="S813" s="1">
        <f t="shared" si="246"/>
        <v>3000</v>
      </c>
      <c r="T813" s="1">
        <f t="shared" si="247"/>
        <v>1600.2181428453102</v>
      </c>
      <c r="V813" s="1">
        <f t="shared" si="259"/>
        <v>1600.2181428453102</v>
      </c>
      <c r="W813" s="1">
        <f t="shared" si="260"/>
        <v>3000</v>
      </c>
    </row>
    <row r="814" spans="1:23" x14ac:dyDescent="0.25">
      <c r="A814" s="2">
        <f t="shared" si="261"/>
        <v>80.199999999999719</v>
      </c>
      <c r="B814" s="7">
        <f t="shared" si="264"/>
        <v>5.7979251849787321</v>
      </c>
      <c r="C814" s="7">
        <f t="shared" si="248"/>
        <v>2.0927845400340299</v>
      </c>
      <c r="D814" s="7">
        <f t="shared" si="249"/>
        <v>48.250931778220718</v>
      </c>
      <c r="E814" s="7">
        <f t="shared" si="250"/>
        <v>1</v>
      </c>
      <c r="G814" s="4">
        <f t="shared" si="251"/>
        <v>8019.9999999999709</v>
      </c>
      <c r="H814" s="1">
        <f t="shared" si="262"/>
        <v>6.2953554651856471</v>
      </c>
      <c r="I814" s="1">
        <f t="shared" si="263"/>
        <v>1646.3519248409198</v>
      </c>
      <c r="J814" s="1">
        <f t="shared" si="252"/>
        <v>54.878397494697325</v>
      </c>
      <c r="K814" s="7">
        <f t="shared" si="253"/>
        <v>4.5105532187422464</v>
      </c>
      <c r="L814" s="4">
        <f t="shared" si="254"/>
        <v>1588.4726534188305</v>
      </c>
      <c r="M814" s="1">
        <f t="shared" si="255"/>
        <v>1046.3922700170149</v>
      </c>
      <c r="N814" s="7">
        <f t="shared" si="256"/>
        <v>48.250931778220718</v>
      </c>
      <c r="O814" s="1">
        <f t="shared" si="257"/>
        <v>3000</v>
      </c>
      <c r="P814" s="2">
        <f t="shared" si="258"/>
        <v>1.6621655056708808</v>
      </c>
      <c r="Q814" s="2">
        <f t="shared" si="245"/>
        <v>1481.0949890576783</v>
      </c>
      <c r="S814" s="1">
        <f t="shared" si="246"/>
        <v>3000</v>
      </c>
      <c r="T814" s="1">
        <f t="shared" si="247"/>
        <v>1588.4726534188305</v>
      </c>
      <c r="V814" s="1">
        <f t="shared" si="259"/>
        <v>1588.4726534188305</v>
      </c>
      <c r="W814" s="1">
        <f t="shared" si="260"/>
        <v>3000</v>
      </c>
    </row>
    <row r="815" spans="1:23" x14ac:dyDescent="0.25">
      <c r="A815" s="2">
        <f t="shared" si="261"/>
        <v>80.299999999999713</v>
      </c>
      <c r="B815" s="7">
        <f t="shared" si="264"/>
        <v>5.7553688189856587</v>
      </c>
      <c r="C815" s="7">
        <f t="shared" si="248"/>
        <v>2.0937181301139978</v>
      </c>
      <c r="D815" s="7">
        <f t="shared" si="249"/>
        <v>48.543831838929755</v>
      </c>
      <c r="E815" s="7">
        <f t="shared" si="250"/>
        <v>1</v>
      </c>
      <c r="G815" s="4">
        <f t="shared" si="251"/>
        <v>8029.9999999999709</v>
      </c>
      <c r="H815" s="1">
        <f t="shared" si="262"/>
        <v>6.3419046021159868</v>
      </c>
      <c r="I815" s="1">
        <f t="shared" si="263"/>
        <v>1652.6938294430358</v>
      </c>
      <c r="J815" s="1">
        <f t="shared" si="252"/>
        <v>55.089794314767865</v>
      </c>
      <c r="K815" s="7">
        <f t="shared" si="253"/>
        <v>4.5279282998439339</v>
      </c>
      <c r="L815" s="4">
        <f t="shared" si="254"/>
        <v>1576.8133750645641</v>
      </c>
      <c r="M815" s="1">
        <f t="shared" si="255"/>
        <v>1046.8590650569988</v>
      </c>
      <c r="N815" s="7">
        <f t="shared" si="256"/>
        <v>48.543831838929755</v>
      </c>
      <c r="O815" s="1">
        <f t="shared" si="257"/>
        <v>3000</v>
      </c>
      <c r="P815" s="2">
        <f t="shared" si="258"/>
        <v>1.6507013755894604</v>
      </c>
      <c r="Q815" s="2">
        <f t="shared" si="245"/>
        <v>1487.5682752144796</v>
      </c>
      <c r="S815" s="1">
        <f t="shared" si="246"/>
        <v>3000</v>
      </c>
      <c r="T815" s="1">
        <f t="shared" si="247"/>
        <v>1576.8133750645641</v>
      </c>
      <c r="V815" s="1">
        <f t="shared" si="259"/>
        <v>1576.8133750645641</v>
      </c>
      <c r="W815" s="1">
        <f t="shared" si="260"/>
        <v>3000</v>
      </c>
    </row>
    <row r="816" spans="1:23" x14ac:dyDescent="0.25">
      <c r="A816" s="2">
        <f t="shared" si="261"/>
        <v>80.399999999999707</v>
      </c>
      <c r="B816" s="7">
        <f t="shared" si="264"/>
        <v>5.7131248137472976</v>
      </c>
      <c r="C816" s="7">
        <f t="shared" si="248"/>
        <v>2.0946521366680075</v>
      </c>
      <c r="D816" s="7">
        <f t="shared" si="249"/>
        <v>48.838509905625443</v>
      </c>
      <c r="E816" s="7">
        <f t="shared" si="250"/>
        <v>1</v>
      </c>
      <c r="G816" s="4">
        <f t="shared" si="251"/>
        <v>8039.9999999999709</v>
      </c>
      <c r="H816" s="1">
        <f t="shared" si="262"/>
        <v>6.3887979328180089</v>
      </c>
      <c r="I816" s="1">
        <f t="shared" si="263"/>
        <v>1659.0826273758539</v>
      </c>
      <c r="J816" s="1">
        <f t="shared" si="252"/>
        <v>55.302754245861799</v>
      </c>
      <c r="K816" s="7">
        <f t="shared" si="253"/>
        <v>4.5454318558242575</v>
      </c>
      <c r="L816" s="4">
        <f t="shared" si="254"/>
        <v>1565.2396749992593</v>
      </c>
      <c r="M816" s="1">
        <f t="shared" si="255"/>
        <v>1047.3260683340038</v>
      </c>
      <c r="N816" s="7">
        <f t="shared" si="256"/>
        <v>48.838509905625443</v>
      </c>
      <c r="O816" s="1">
        <f t="shared" si="257"/>
        <v>3000</v>
      </c>
      <c r="P816" s="2">
        <f t="shared" si="258"/>
        <v>1.6393163148173679</v>
      </c>
      <c r="Q816" s="2">
        <f t="shared" ref="Q816:Q879" si="265">IFERROR(N816/100*L816/(1-N816/100),L816*100)</f>
        <v>1494.1701899439915</v>
      </c>
      <c r="S816" s="1">
        <f t="shared" si="246"/>
        <v>3000</v>
      </c>
      <c r="T816" s="1">
        <f t="shared" si="247"/>
        <v>1565.2396749992593</v>
      </c>
      <c r="V816" s="1">
        <f t="shared" si="259"/>
        <v>1565.2396749992593</v>
      </c>
      <c r="W816" s="1">
        <f t="shared" si="260"/>
        <v>3000</v>
      </c>
    </row>
    <row r="817" spans="1:23" x14ac:dyDescent="0.25">
      <c r="A817" s="2">
        <f t="shared" si="261"/>
        <v>80.499999999999702</v>
      </c>
      <c r="B817" s="7">
        <f t="shared" si="264"/>
        <v>5.6711908765575192</v>
      </c>
      <c r="C817" s="7">
        <f t="shared" si="248"/>
        <v>2.0955865598818488</v>
      </c>
      <c r="D817" s="7">
        <f t="shared" si="249"/>
        <v>49.134976771427098</v>
      </c>
      <c r="E817" s="7">
        <f t="shared" si="250"/>
        <v>1</v>
      </c>
      <c r="G817" s="4">
        <f t="shared" si="251"/>
        <v>8049.9999999999709</v>
      </c>
      <c r="H817" s="1">
        <f t="shared" si="262"/>
        <v>6.4360380023315207</v>
      </c>
      <c r="I817" s="1">
        <f t="shared" si="263"/>
        <v>1665.5186653781855</v>
      </c>
      <c r="J817" s="1">
        <f t="shared" si="252"/>
        <v>55.517288845939518</v>
      </c>
      <c r="K817" s="7">
        <f t="shared" si="253"/>
        <v>4.563064836652563</v>
      </c>
      <c r="L817" s="4">
        <f t="shared" si="254"/>
        <v>1553.7509250842518</v>
      </c>
      <c r="M817" s="1">
        <f t="shared" si="255"/>
        <v>1047.7932799409243</v>
      </c>
      <c r="N817" s="7">
        <f t="shared" si="256"/>
        <v>49.134976771427098</v>
      </c>
      <c r="O817" s="1">
        <f t="shared" si="257"/>
        <v>3000</v>
      </c>
      <c r="P817" s="2">
        <f t="shared" si="258"/>
        <v>1.6280097780052736</v>
      </c>
      <c r="Q817" s="2">
        <f t="shared" si="265"/>
        <v>1500.9039761867814</v>
      </c>
      <c r="S817" s="1">
        <f t="shared" si="246"/>
        <v>3000</v>
      </c>
      <c r="T817" s="1">
        <f t="shared" si="247"/>
        <v>1553.7509250842518</v>
      </c>
      <c r="V817" s="1">
        <f t="shared" si="259"/>
        <v>1553.7509250842518</v>
      </c>
      <c r="W817" s="1">
        <f t="shared" si="260"/>
        <v>3000</v>
      </c>
    </row>
    <row r="818" spans="1:23" x14ac:dyDescent="0.25">
      <c r="A818" s="2">
        <f t="shared" si="261"/>
        <v>80.599999999999696</v>
      </c>
      <c r="B818" s="7">
        <f t="shared" si="264"/>
        <v>5.6295647315384985</v>
      </c>
      <c r="C818" s="7">
        <f t="shared" si="248"/>
        <v>2.096521399941393</v>
      </c>
      <c r="D818" s="7">
        <f t="shared" si="249"/>
        <v>49.433243294971916</v>
      </c>
      <c r="E818" s="7">
        <f t="shared" si="250"/>
        <v>1</v>
      </c>
      <c r="G818" s="4">
        <f t="shared" si="251"/>
        <v>8059.99999999997</v>
      </c>
      <c r="H818" s="1">
        <f t="shared" si="262"/>
        <v>6.4836273745131319</v>
      </c>
      <c r="I818" s="1">
        <f t="shared" si="263"/>
        <v>1672.0022927526986</v>
      </c>
      <c r="J818" s="1">
        <f t="shared" si="252"/>
        <v>55.733409758423285</v>
      </c>
      <c r="K818" s="7">
        <f t="shared" si="253"/>
        <v>4.580828199322462</v>
      </c>
      <c r="L818" s="4">
        <f t="shared" si="254"/>
        <v>1542.3465017913695</v>
      </c>
      <c r="M818" s="1">
        <f t="shared" si="255"/>
        <v>1048.2606999706966</v>
      </c>
      <c r="N818" s="7">
        <f t="shared" si="256"/>
        <v>49.433243294971916</v>
      </c>
      <c r="O818" s="1">
        <f t="shared" si="257"/>
        <v>3000</v>
      </c>
      <c r="P818" s="2">
        <f t="shared" si="258"/>
        <v>1.6167812235651762</v>
      </c>
      <c r="Q818" s="2">
        <f t="shared" si="265"/>
        <v>1507.7729883479042</v>
      </c>
      <c r="S818" s="1">
        <f t="shared" si="246"/>
        <v>3000</v>
      </c>
      <c r="T818" s="1">
        <f t="shared" si="247"/>
        <v>1542.3465017913695</v>
      </c>
      <c r="V818" s="1">
        <f t="shared" si="259"/>
        <v>1542.3465017913695</v>
      </c>
      <c r="W818" s="1">
        <f t="shared" si="260"/>
        <v>3000</v>
      </c>
    </row>
    <row r="819" spans="1:23" x14ac:dyDescent="0.25">
      <c r="A819" s="2">
        <f t="shared" si="261"/>
        <v>80.69999999999969</v>
      </c>
      <c r="B819" s="7">
        <f t="shared" si="264"/>
        <v>5.5882441195171966</v>
      </c>
      <c r="C819" s="7">
        <f t="shared" si="248"/>
        <v>2.0974566570325952</v>
      </c>
      <c r="D819" s="7">
        <f t="shared" si="249"/>
        <v>49.73332040081295</v>
      </c>
      <c r="E819" s="7">
        <f t="shared" si="250"/>
        <v>1</v>
      </c>
      <c r="G819" s="4">
        <f t="shared" si="251"/>
        <v>8069.99999999997</v>
      </c>
      <c r="H819" s="1">
        <f t="shared" si="262"/>
        <v>6.5315686321794884</v>
      </c>
      <c r="I819" s="1">
        <f t="shared" si="263"/>
        <v>1678.533861384878</v>
      </c>
      <c r="J819" s="1">
        <f t="shared" si="252"/>
        <v>55.951128712829266</v>
      </c>
      <c r="K819" s="7">
        <f t="shared" si="253"/>
        <v>4.5987229079037757</v>
      </c>
      <c r="L819" s="4">
        <f t="shared" si="254"/>
        <v>1531.0257861690948</v>
      </c>
      <c r="M819" s="1">
        <f t="shared" si="255"/>
        <v>1048.7283285162976</v>
      </c>
      <c r="N819" s="7">
        <f t="shared" si="256"/>
        <v>49.73332040081295</v>
      </c>
      <c r="O819" s="1">
        <f t="shared" si="257"/>
        <v>3000</v>
      </c>
      <c r="P819" s="2">
        <f t="shared" si="258"/>
        <v>1.6056301136444651</v>
      </c>
      <c r="Q819" s="2">
        <f t="shared" si="265"/>
        <v>1514.7806971257671</v>
      </c>
      <c r="S819" s="1">
        <f t="shared" si="246"/>
        <v>3000</v>
      </c>
      <c r="T819" s="1">
        <f t="shared" si="247"/>
        <v>1531.0257861690948</v>
      </c>
      <c r="V819" s="1">
        <f t="shared" si="259"/>
        <v>1531.0257861690948</v>
      </c>
      <c r="W819" s="1">
        <f t="shared" si="260"/>
        <v>3000</v>
      </c>
    </row>
    <row r="820" spans="1:23" x14ac:dyDescent="0.25">
      <c r="A820" s="2">
        <f t="shared" si="261"/>
        <v>80.799999999999685</v>
      </c>
      <c r="B820" s="7">
        <f t="shared" si="264"/>
        <v>5.5472267979027432</v>
      </c>
      <c r="C820" s="7">
        <f t="shared" si="248"/>
        <v>2.0983923313414925</v>
      </c>
      <c r="D820" s="7">
        <f t="shared" si="249"/>
        <v>50.035219079819086</v>
      </c>
      <c r="E820" s="7">
        <f t="shared" si="250"/>
        <v>1</v>
      </c>
      <c r="G820" s="4">
        <f t="shared" si="251"/>
        <v>8079.9999999999682</v>
      </c>
      <c r="H820" s="1">
        <f t="shared" si="262"/>
        <v>6.5798643772403587</v>
      </c>
      <c r="I820" s="1">
        <f t="shared" si="263"/>
        <v>1685.1137257621183</v>
      </c>
      <c r="J820" s="1">
        <f t="shared" si="252"/>
        <v>56.17045752540394</v>
      </c>
      <c r="K820" s="7">
        <f t="shared" si="253"/>
        <v>4.6167499335948445</v>
      </c>
      <c r="L820" s="4">
        <f t="shared" si="254"/>
        <v>1519.7881638089707</v>
      </c>
      <c r="M820" s="1">
        <f t="shared" si="255"/>
        <v>1049.1961656707463</v>
      </c>
      <c r="N820" s="7">
        <f t="shared" si="256"/>
        <v>50.035219079819086</v>
      </c>
      <c r="O820" s="1">
        <f t="shared" si="257"/>
        <v>3000</v>
      </c>
      <c r="P820" s="2">
        <f t="shared" si="258"/>
        <v>1.5945559141001562</v>
      </c>
      <c r="Q820" s="2">
        <f t="shared" si="265"/>
        <v>1521.9306945941969</v>
      </c>
      <c r="S820" s="1">
        <f t="shared" si="246"/>
        <v>3000</v>
      </c>
      <c r="T820" s="1">
        <f t="shared" si="247"/>
        <v>1519.7881638089707</v>
      </c>
      <c r="V820" s="1">
        <f t="shared" si="259"/>
        <v>1519.7881638089707</v>
      </c>
      <c r="W820" s="1">
        <f t="shared" si="260"/>
        <v>3000</v>
      </c>
    </row>
    <row r="821" spans="1:23" x14ac:dyDescent="0.25">
      <c r="A821" s="2">
        <f t="shared" si="261"/>
        <v>80.899999999999679</v>
      </c>
      <c r="B821" s="7">
        <f t="shared" si="264"/>
        <v>5.5065105405647277</v>
      </c>
      <c r="C821" s="7">
        <f t="shared" si="248"/>
        <v>2.0993284230542058</v>
      </c>
      <c r="D821" s="7">
        <f t="shared" si="249"/>
        <v>50.338950389577619</v>
      </c>
      <c r="E821" s="7">
        <f t="shared" si="250"/>
        <v>1</v>
      </c>
      <c r="G821" s="4">
        <f t="shared" si="251"/>
        <v>8089.9999999999682</v>
      </c>
      <c r="H821" s="1">
        <f t="shared" si="262"/>
        <v>6.6285172308517346</v>
      </c>
      <c r="I821" s="1">
        <f t="shared" si="263"/>
        <v>1691.74224299297</v>
      </c>
      <c r="J821" s="1">
        <f t="shared" si="252"/>
        <v>56.391408099765663</v>
      </c>
      <c r="K821" s="7">
        <f t="shared" si="253"/>
        <v>4.6349102547752601</v>
      </c>
      <c r="L821" s="4">
        <f t="shared" si="254"/>
        <v>1508.6330248122542</v>
      </c>
      <c r="M821" s="1">
        <f t="shared" si="255"/>
        <v>1049.6642115271029</v>
      </c>
      <c r="N821" s="7">
        <f t="shared" si="256"/>
        <v>50.338950389577619</v>
      </c>
      <c r="O821" s="1">
        <f t="shared" si="257"/>
        <v>3000</v>
      </c>
      <c r="P821" s="2">
        <f t="shared" si="258"/>
        <v>1.583558094473303</v>
      </c>
      <c r="Q821" s="2">
        <f t="shared" si="265"/>
        <v>1529.2266995533721</v>
      </c>
      <c r="S821" s="1">
        <f t="shared" si="246"/>
        <v>3000</v>
      </c>
      <c r="T821" s="1">
        <f t="shared" si="247"/>
        <v>1508.6330248122542</v>
      </c>
      <c r="V821" s="1">
        <f t="shared" si="259"/>
        <v>1508.6330248122542</v>
      </c>
      <c r="W821" s="1">
        <f t="shared" si="260"/>
        <v>3000</v>
      </c>
    </row>
    <row r="822" spans="1:23" x14ac:dyDescent="0.25">
      <c r="A822" s="2">
        <f t="shared" si="261"/>
        <v>80.999999999999673</v>
      </c>
      <c r="B822" s="7">
        <f t="shared" si="264"/>
        <v>5.4660931377123925</v>
      </c>
      <c r="C822" s="7">
        <f t="shared" si="248"/>
        <v>2.1002649323569385</v>
      </c>
      <c r="D822" s="7">
        <f t="shared" si="249"/>
        <v>50.644525454799286</v>
      </c>
      <c r="E822" s="7">
        <f t="shared" si="250"/>
        <v>1</v>
      </c>
      <c r="G822" s="4">
        <f t="shared" si="251"/>
        <v>8099.9999999999673</v>
      </c>
      <c r="H822" s="1">
        <f t="shared" si="262"/>
        <v>6.677529833542545</v>
      </c>
      <c r="I822" s="1">
        <f t="shared" si="263"/>
        <v>1698.4197728265126</v>
      </c>
      <c r="J822" s="1">
        <f t="shared" si="252"/>
        <v>56.613992427550421</v>
      </c>
      <c r="K822" s="7">
        <f t="shared" si="253"/>
        <v>4.653204857058939</v>
      </c>
      <c r="L822" s="4">
        <f t="shared" si="254"/>
        <v>1497.5597637568198</v>
      </c>
      <c r="M822" s="1">
        <f t="shared" si="255"/>
        <v>1050.1324661784693</v>
      </c>
      <c r="N822" s="7">
        <f t="shared" si="256"/>
        <v>50.644525454799286</v>
      </c>
      <c r="O822" s="1">
        <f t="shared" si="257"/>
        <v>3000</v>
      </c>
      <c r="P822" s="2">
        <f t="shared" si="258"/>
        <v>1.5726361279635952</v>
      </c>
      <c r="Q822" s="2">
        <f t="shared" si="265"/>
        <v>1536.6725631663567</v>
      </c>
      <c r="S822" s="1">
        <f t="shared" si="246"/>
        <v>3000</v>
      </c>
      <c r="T822" s="1">
        <f t="shared" si="247"/>
        <v>1497.5597637568198</v>
      </c>
      <c r="V822" s="1">
        <f t="shared" si="259"/>
        <v>1497.5597637568198</v>
      </c>
      <c r="W822" s="1">
        <f t="shared" si="260"/>
        <v>3000</v>
      </c>
    </row>
    <row r="823" spans="1:23" x14ac:dyDescent="0.25">
      <c r="A823" s="2">
        <f t="shared" si="261"/>
        <v>81.099999999999667</v>
      </c>
      <c r="B823" s="7">
        <f t="shared" si="264"/>
        <v>5.4259723957746768</v>
      </c>
      <c r="C823" s="7">
        <f t="shared" si="248"/>
        <v>2.1012018594359776</v>
      </c>
      <c r="D823" s="7">
        <f t="shared" si="249"/>
        <v>50.951955467725774</v>
      </c>
      <c r="E823" s="7">
        <f t="shared" si="250"/>
        <v>1</v>
      </c>
      <c r="G823" s="4">
        <f t="shared" si="251"/>
        <v>8109.9999999999673</v>
      </c>
      <c r="H823" s="1">
        <f t="shared" si="262"/>
        <v>6.7269048453735865</v>
      </c>
      <c r="I823" s="1">
        <f t="shared" si="263"/>
        <v>1705.1466776718862</v>
      </c>
      <c r="J823" s="1">
        <f t="shared" si="252"/>
        <v>56.838222589062873</v>
      </c>
      <c r="K823" s="7">
        <f t="shared" si="253"/>
        <v>4.6716347333476334</v>
      </c>
      <c r="L823" s="4">
        <f t="shared" si="254"/>
        <v>1486.5677796642949</v>
      </c>
      <c r="M823" s="1">
        <f t="shared" si="255"/>
        <v>1050.6009297179887</v>
      </c>
      <c r="N823" s="7">
        <f t="shared" si="256"/>
        <v>50.951955467725774</v>
      </c>
      <c r="O823" s="1">
        <f t="shared" si="257"/>
        <v>3000</v>
      </c>
      <c r="P823" s="2">
        <f t="shared" si="258"/>
        <v>1.5617894914041146</v>
      </c>
      <c r="Q823" s="2">
        <f t="shared" si="265"/>
        <v>1544.2722748991744</v>
      </c>
      <c r="S823" s="1">
        <f t="shared" si="246"/>
        <v>3000</v>
      </c>
      <c r="T823" s="1">
        <f t="shared" si="247"/>
        <v>1486.5677796642949</v>
      </c>
      <c r="V823" s="1">
        <f t="shared" si="259"/>
        <v>1486.5677796642949</v>
      </c>
      <c r="W823" s="1">
        <f t="shared" si="260"/>
        <v>3000</v>
      </c>
    </row>
    <row r="824" spans="1:23" x14ac:dyDescent="0.25">
      <c r="A824" s="2">
        <f t="shared" si="261"/>
        <v>81.199999999999662</v>
      </c>
      <c r="B824" s="7">
        <f t="shared" si="264"/>
        <v>5.3861461372811847</v>
      </c>
      <c r="C824" s="7">
        <f t="shared" si="248"/>
        <v>2.1021392044776923</v>
      </c>
      <c r="D824" s="7">
        <f t="shared" si="249"/>
        <v>51.261251688539417</v>
      </c>
      <c r="E824" s="7">
        <f t="shared" si="250"/>
        <v>1</v>
      </c>
      <c r="G824" s="4">
        <f t="shared" si="251"/>
        <v>8119.9999999999654</v>
      </c>
      <c r="H824" s="1">
        <f t="shared" si="262"/>
        <v>6.7766449460685827</v>
      </c>
      <c r="I824" s="1">
        <f t="shared" si="263"/>
        <v>1711.9233226179547</v>
      </c>
      <c r="J824" s="1">
        <f t="shared" si="252"/>
        <v>57.064110753931821</v>
      </c>
      <c r="K824" s="7">
        <f t="shared" si="253"/>
        <v>4.690200883884807</v>
      </c>
      <c r="L824" s="4">
        <f t="shared" si="254"/>
        <v>1475.6564759674479</v>
      </c>
      <c r="M824" s="1">
        <f t="shared" si="255"/>
        <v>1051.0696022388461</v>
      </c>
      <c r="N824" s="7">
        <f t="shared" si="256"/>
        <v>51.261251688539417</v>
      </c>
      <c r="O824" s="1">
        <f t="shared" si="257"/>
        <v>3000</v>
      </c>
      <c r="P824" s="2">
        <f t="shared" si="258"/>
        <v>1.5510176652362828</v>
      </c>
      <c r="Q824" s="2">
        <f t="shared" si="265"/>
        <v>1552.0299687836527</v>
      </c>
      <c r="S824" s="1">
        <f t="shared" si="246"/>
        <v>3000</v>
      </c>
      <c r="T824" s="1">
        <f t="shared" si="247"/>
        <v>1475.6564759674479</v>
      </c>
      <c r="V824" s="1">
        <f t="shared" si="259"/>
        <v>1475.6564759674479</v>
      </c>
      <c r="W824" s="1">
        <f t="shared" si="260"/>
        <v>3000</v>
      </c>
    </row>
    <row r="825" spans="1:23" x14ac:dyDescent="0.25">
      <c r="A825" s="2">
        <f t="shared" si="261"/>
        <v>81.299999999999656</v>
      </c>
      <c r="B825" s="7">
        <f t="shared" si="264"/>
        <v>5.3466122007439969</v>
      </c>
      <c r="C825" s="7">
        <f t="shared" si="248"/>
        <v>2.1030769676685361</v>
      </c>
      <c r="D825" s="7">
        <f t="shared" si="249"/>
        <v>51.572425445775991</v>
      </c>
      <c r="E825" s="7">
        <f t="shared" si="250"/>
        <v>1</v>
      </c>
      <c r="G825" s="4">
        <f t="shared" si="251"/>
        <v>8129.9999999999673</v>
      </c>
      <c r="H825" s="1">
        <f t="shared" si="262"/>
        <v>6.826752835174311</v>
      </c>
      <c r="I825" s="1">
        <f t="shared" si="263"/>
        <v>1718.7500754531291</v>
      </c>
      <c r="J825" s="1">
        <f t="shared" si="252"/>
        <v>57.29166918177097</v>
      </c>
      <c r="K825" s="7">
        <f t="shared" si="253"/>
        <v>4.7089043163099422</v>
      </c>
      <c r="L825" s="4">
        <f t="shared" si="254"/>
        <v>1464.8252604778072</v>
      </c>
      <c r="M825" s="1">
        <f t="shared" si="255"/>
        <v>1051.5384838342682</v>
      </c>
      <c r="N825" s="7">
        <f t="shared" si="256"/>
        <v>51.572425445775991</v>
      </c>
      <c r="O825" s="1">
        <f t="shared" si="257"/>
        <v>3000</v>
      </c>
      <c r="P825" s="2">
        <f t="shared" si="258"/>
        <v>1.5403201334849703</v>
      </c>
      <c r="Q825" s="2">
        <f t="shared" si="265"/>
        <v>1559.9499300237383</v>
      </c>
      <c r="S825" s="1">
        <f t="shared" si="246"/>
        <v>3000</v>
      </c>
      <c r="T825" s="1">
        <f t="shared" si="247"/>
        <v>1464.8252604778072</v>
      </c>
      <c r="V825" s="1">
        <f t="shared" si="259"/>
        <v>1464.8252604778072</v>
      </c>
      <c r="W825" s="1">
        <f t="shared" si="260"/>
        <v>3000</v>
      </c>
    </row>
    <row r="826" spans="1:23" x14ac:dyDescent="0.25">
      <c r="A826" s="2">
        <f t="shared" si="261"/>
        <v>81.39999999999965</v>
      </c>
      <c r="B826" s="7">
        <f t="shared" si="264"/>
        <v>5.3073684405403672</v>
      </c>
      <c r="C826" s="7">
        <f t="shared" si="248"/>
        <v>2.1040151491950452</v>
      </c>
      <c r="D826" s="7">
        <f t="shared" si="249"/>
        <v>51.885488136739362</v>
      </c>
      <c r="E826" s="7">
        <f t="shared" si="250"/>
        <v>1</v>
      </c>
      <c r="G826" s="4">
        <f t="shared" si="251"/>
        <v>8139.9999999999654</v>
      </c>
      <c r="H826" s="1">
        <f t="shared" si="262"/>
        <v>6.8772312321842737</v>
      </c>
      <c r="I826" s="1">
        <f t="shared" si="263"/>
        <v>1725.6273066853134</v>
      </c>
      <c r="J826" s="1">
        <f t="shared" si="252"/>
        <v>57.520910222843781</v>
      </c>
      <c r="K826" s="7">
        <f t="shared" si="253"/>
        <v>4.7277460457131877</v>
      </c>
      <c r="L826" s="4">
        <f t="shared" si="254"/>
        <v>1454.0735453535253</v>
      </c>
      <c r="M826" s="1">
        <f t="shared" si="255"/>
        <v>1052.0075745975225</v>
      </c>
      <c r="N826" s="7">
        <f t="shared" si="256"/>
        <v>51.885488136739362</v>
      </c>
      <c r="O826" s="1">
        <f t="shared" si="257"/>
        <v>3000</v>
      </c>
      <c r="P826" s="2">
        <f t="shared" si="258"/>
        <v>1.5296963837337829</v>
      </c>
      <c r="Q826" s="2">
        <f t="shared" si="265"/>
        <v>1568.0366019673902</v>
      </c>
      <c r="S826" s="1">
        <f t="shared" si="246"/>
        <v>3000</v>
      </c>
      <c r="T826" s="1">
        <f t="shared" si="247"/>
        <v>1454.0735453535253</v>
      </c>
      <c r="V826" s="1">
        <f t="shared" si="259"/>
        <v>1454.0735453535253</v>
      </c>
      <c r="W826" s="1">
        <f t="shared" si="260"/>
        <v>3000</v>
      </c>
    </row>
    <row r="827" spans="1:23" x14ac:dyDescent="0.25">
      <c r="A827" s="2">
        <f t="shared" si="261"/>
        <v>81.499999999999645</v>
      </c>
      <c r="B827" s="7">
        <f t="shared" si="264"/>
        <v>5.2684127267962717</v>
      </c>
      <c r="C827" s="7">
        <f t="shared" si="248"/>
        <v>2.1049537492438382</v>
      </c>
      <c r="D827" s="7">
        <f t="shared" si="249"/>
        <v>52.200451227919054</v>
      </c>
      <c r="E827" s="7">
        <f t="shared" si="250"/>
        <v>1</v>
      </c>
      <c r="G827" s="4">
        <f t="shared" si="251"/>
        <v>8149.9999999999627</v>
      </c>
      <c r="H827" s="1">
        <f t="shared" si="262"/>
        <v>6.9280828767160267</v>
      </c>
      <c r="I827" s="1">
        <f t="shared" si="263"/>
        <v>1732.5553895620294</v>
      </c>
      <c r="J827" s="1">
        <f t="shared" si="252"/>
        <v>57.751846318734316</v>
      </c>
      <c r="K827" s="7">
        <f t="shared" si="253"/>
        <v>4.7467270946904918</v>
      </c>
      <c r="L827" s="4">
        <f t="shared" si="254"/>
        <v>1443.4007470674717</v>
      </c>
      <c r="M827" s="1">
        <f t="shared" si="255"/>
        <v>1052.476874621919</v>
      </c>
      <c r="N827" s="7">
        <f t="shared" si="256"/>
        <v>52.200451227919054</v>
      </c>
      <c r="O827" s="1">
        <f t="shared" si="257"/>
        <v>3000</v>
      </c>
      <c r="P827" s="2">
        <f t="shared" si="258"/>
        <v>1.5191459071005158</v>
      </c>
      <c r="Q827" s="2">
        <f t="shared" si="265"/>
        <v>1576.2945934679228</v>
      </c>
      <c r="S827" s="1">
        <f t="shared" si="246"/>
        <v>3000</v>
      </c>
      <c r="T827" s="1">
        <f t="shared" si="247"/>
        <v>1443.4007470674717</v>
      </c>
      <c r="V827" s="1">
        <f t="shared" si="259"/>
        <v>1443.4007470674717</v>
      </c>
      <c r="W827" s="1">
        <f t="shared" si="260"/>
        <v>3000</v>
      </c>
    </row>
    <row r="828" spans="1:23" x14ac:dyDescent="0.25">
      <c r="A828" s="2">
        <f t="shared" si="261"/>
        <v>81.599999999999639</v>
      </c>
      <c r="B828" s="7">
        <f t="shared" si="264"/>
        <v>5.2297429452708046</v>
      </c>
      <c r="C828" s="7">
        <f t="shared" si="248"/>
        <v>2.1058927680016186</v>
      </c>
      <c r="D828" s="7">
        <f t="shared" si="249"/>
        <v>52.51732625541019</v>
      </c>
      <c r="E828" s="7">
        <f t="shared" si="250"/>
        <v>1</v>
      </c>
      <c r="G828" s="4">
        <f t="shared" si="251"/>
        <v>8159.9999999999645</v>
      </c>
      <c r="H828" s="1">
        <f t="shared" si="262"/>
        <v>6.979310528639493</v>
      </c>
      <c r="I828" s="1">
        <f t="shared" si="263"/>
        <v>1739.5347000906688</v>
      </c>
      <c r="J828" s="1">
        <f t="shared" si="252"/>
        <v>57.984490003022295</v>
      </c>
      <c r="K828" s="7">
        <f t="shared" si="253"/>
        <v>4.7658484933990923</v>
      </c>
      <c r="L828" s="4">
        <f t="shared" si="254"/>
        <v>1432.8062863755629</v>
      </c>
      <c r="M828" s="1">
        <f t="shared" si="255"/>
        <v>1052.9463840008093</v>
      </c>
      <c r="N828" s="7">
        <f t="shared" si="256"/>
        <v>52.51732625541019</v>
      </c>
      <c r="O828" s="1">
        <f t="shared" si="257"/>
        <v>3000</v>
      </c>
      <c r="P828" s="2">
        <f t="shared" si="258"/>
        <v>1.508668198212777</v>
      </c>
      <c r="Q828" s="2">
        <f t="shared" si="265"/>
        <v>1584.7286866604013</v>
      </c>
      <c r="S828" s="1">
        <f t="shared" si="246"/>
        <v>3000</v>
      </c>
      <c r="T828" s="1">
        <f t="shared" si="247"/>
        <v>1432.8062863755629</v>
      </c>
      <c r="V828" s="1">
        <f t="shared" si="259"/>
        <v>1432.8062863755629</v>
      </c>
      <c r="W828" s="1">
        <f t="shared" si="260"/>
        <v>3000</v>
      </c>
    </row>
    <row r="829" spans="1:23" x14ac:dyDescent="0.25">
      <c r="A829" s="2">
        <f t="shared" si="261"/>
        <v>81.699999999999633</v>
      </c>
      <c r="B829" s="7">
        <f t="shared" si="264"/>
        <v>5.1913569972414582</v>
      </c>
      <c r="C829" s="7">
        <f t="shared" si="248"/>
        <v>2.1068322056551714</v>
      </c>
      <c r="D829" s="7">
        <f t="shared" si="249"/>
        <v>52.836124825336064</v>
      </c>
      <c r="E829" s="7">
        <f t="shared" si="250"/>
        <v>1</v>
      </c>
      <c r="G829" s="4">
        <f t="shared" si="251"/>
        <v>8169.9999999999627</v>
      </c>
      <c r="H829" s="1">
        <f t="shared" si="262"/>
        <v>7.030916968220148</v>
      </c>
      <c r="I829" s="1">
        <f t="shared" si="263"/>
        <v>1746.5656170588891</v>
      </c>
      <c r="J829" s="1">
        <f t="shared" si="252"/>
        <v>58.218853901962966</v>
      </c>
      <c r="K829" s="7">
        <f t="shared" si="253"/>
        <v>4.7851112796133943</v>
      </c>
      <c r="L829" s="4">
        <f t="shared" si="254"/>
        <v>1422.2895882853309</v>
      </c>
      <c r="M829" s="1">
        <f t="shared" si="255"/>
        <v>1053.4161028275857</v>
      </c>
      <c r="N829" s="7">
        <f t="shared" si="256"/>
        <v>52.836124825336064</v>
      </c>
      <c r="O829" s="1">
        <f t="shared" si="257"/>
        <v>3000</v>
      </c>
      <c r="P829" s="2">
        <f t="shared" si="258"/>
        <v>1.4982627551837848</v>
      </c>
      <c r="Q829" s="2">
        <f t="shared" si="265"/>
        <v>1593.3438451806569</v>
      </c>
      <c r="S829" s="1">
        <f t="shared" si="246"/>
        <v>3000</v>
      </c>
      <c r="T829" s="1">
        <f t="shared" si="247"/>
        <v>1422.2895882853309</v>
      </c>
      <c r="V829" s="1">
        <f t="shared" si="259"/>
        <v>1422.2895882853309</v>
      </c>
      <c r="W829" s="1">
        <f t="shared" si="260"/>
        <v>3000</v>
      </c>
    </row>
    <row r="830" spans="1:23" x14ac:dyDescent="0.25">
      <c r="A830" s="2">
        <f t="shared" si="261"/>
        <v>81.799999999999628</v>
      </c>
      <c r="B830" s="7">
        <f t="shared" si="264"/>
        <v>5.1532527993901862</v>
      </c>
      <c r="C830" s="7">
        <f t="shared" si="248"/>
        <v>2.1077720623913665</v>
      </c>
      <c r="D830" s="7">
        <f t="shared" si="249"/>
        <v>53.156858614273091</v>
      </c>
      <c r="E830" s="7">
        <f t="shared" si="250"/>
        <v>1</v>
      </c>
      <c r="G830" s="4">
        <f t="shared" si="251"/>
        <v>8179.9999999999627</v>
      </c>
      <c r="H830" s="1">
        <f t="shared" si="262"/>
        <v>7.082904996300444</v>
      </c>
      <c r="I830" s="1">
        <f t="shared" si="263"/>
        <v>1753.6485220551895</v>
      </c>
      <c r="J830" s="1">
        <f t="shared" si="252"/>
        <v>58.454950735172979</v>
      </c>
      <c r="K830" s="7">
        <f t="shared" si="253"/>
        <v>4.8045164987813411</v>
      </c>
      <c r="L830" s="4">
        <f t="shared" si="254"/>
        <v>1411.8500820247086</v>
      </c>
      <c r="M830" s="1">
        <f t="shared" si="255"/>
        <v>1053.8860311956832</v>
      </c>
      <c r="N830" s="7">
        <f t="shared" si="256"/>
        <v>53.156858614273091</v>
      </c>
      <c r="O830" s="1">
        <f t="shared" si="257"/>
        <v>3000</v>
      </c>
      <c r="P830" s="2">
        <f t="shared" si="258"/>
        <v>1.4879290795883202</v>
      </c>
      <c r="Q830" s="2">
        <f t="shared" si="265"/>
        <v>1602.1452228565713</v>
      </c>
      <c r="S830" s="1">
        <f t="shared" si="246"/>
        <v>3000</v>
      </c>
      <c r="T830" s="1">
        <f t="shared" si="247"/>
        <v>1411.8500820247086</v>
      </c>
      <c r="V830" s="1">
        <f t="shared" si="259"/>
        <v>1411.8500820247086</v>
      </c>
      <c r="W830" s="1">
        <f t="shared" si="260"/>
        <v>3000</v>
      </c>
    </row>
    <row r="831" spans="1:23" x14ac:dyDescent="0.25">
      <c r="A831" s="2">
        <f t="shared" si="261"/>
        <v>81.899999999999622</v>
      </c>
      <c r="B831" s="7">
        <f t="shared" si="264"/>
        <v>5.1154282836903544</v>
      </c>
      <c r="C831" s="7">
        <f t="shared" si="248"/>
        <v>2.1087123383971558</v>
      </c>
      <c r="D831" s="7">
        <f t="shared" si="249"/>
        <v>53.479539369678733</v>
      </c>
      <c r="E831" s="7">
        <f t="shared" si="250"/>
        <v>1</v>
      </c>
      <c r="G831" s="4">
        <f t="shared" si="251"/>
        <v>8189.9999999999618</v>
      </c>
      <c r="H831" s="1">
        <f t="shared" si="262"/>
        <v>7.1352774344174712</v>
      </c>
      <c r="I831" s="1">
        <f t="shared" si="263"/>
        <v>1760.783799489607</v>
      </c>
      <c r="J831" s="1">
        <f t="shared" si="252"/>
        <v>58.692793316320234</v>
      </c>
      <c r="K831" s="7">
        <f t="shared" si="253"/>
        <v>4.8240652040811147</v>
      </c>
      <c r="L831" s="4">
        <f t="shared" si="254"/>
        <v>1401.487201011056</v>
      </c>
      <c r="M831" s="1">
        <f t="shared" si="255"/>
        <v>1054.3561691985778</v>
      </c>
      <c r="N831" s="7">
        <f t="shared" si="256"/>
        <v>53.479539369678733</v>
      </c>
      <c r="O831" s="1">
        <f t="shared" si="257"/>
        <v>3000</v>
      </c>
      <c r="P831" s="2">
        <f t="shared" si="258"/>
        <v>1.4776666764388544</v>
      </c>
      <c r="Q831" s="2">
        <f t="shared" si="265"/>
        <v>1611.138172903642</v>
      </c>
      <c r="S831" s="1">
        <f t="shared" si="246"/>
        <v>3000</v>
      </c>
      <c r="T831" s="1">
        <f t="shared" si="247"/>
        <v>1401.487201011056</v>
      </c>
      <c r="V831" s="1">
        <f t="shared" si="259"/>
        <v>1401.487201011056</v>
      </c>
      <c r="W831" s="1">
        <f t="shared" si="260"/>
        <v>3000</v>
      </c>
    </row>
    <row r="832" spans="1:23" x14ac:dyDescent="0.25">
      <c r="A832" s="2">
        <f t="shared" si="261"/>
        <v>81.999999999999616</v>
      </c>
      <c r="B832" s="7">
        <f t="shared" si="264"/>
        <v>5.0778813972945036</v>
      </c>
      <c r="C832" s="7">
        <f t="shared" si="248"/>
        <v>2.1096530338595758</v>
      </c>
      <c r="D832" s="7">
        <f t="shared" si="249"/>
        <v>53.804178910321561</v>
      </c>
      <c r="E832" s="7">
        <f t="shared" si="250"/>
        <v>1</v>
      </c>
      <c r="G832" s="4">
        <f t="shared" si="251"/>
        <v>8199.9999999999618</v>
      </c>
      <c r="H832" s="1">
        <f t="shared" si="262"/>
        <v>7.1880371249803527</v>
      </c>
      <c r="I832" s="1">
        <f t="shared" si="263"/>
        <v>1767.9718366145873</v>
      </c>
      <c r="J832" s="1">
        <f t="shared" si="252"/>
        <v>58.932394553819577</v>
      </c>
      <c r="K832" s="7">
        <f t="shared" si="253"/>
        <v>4.8437584564783212</v>
      </c>
      <c r="L832" s="4">
        <f t="shared" si="254"/>
        <v>1391.200382820412</v>
      </c>
      <c r="M832" s="1">
        <f t="shared" si="255"/>
        <v>1054.8265169297879</v>
      </c>
      <c r="N832" s="7">
        <f t="shared" si="256"/>
        <v>53.804178910321561</v>
      </c>
      <c r="O832" s="1">
        <f t="shared" si="257"/>
        <v>3000</v>
      </c>
      <c r="P832" s="2">
        <f t="shared" si="258"/>
        <v>1.4674750541618427</v>
      </c>
      <c r="Q832" s="2">
        <f t="shared" si="265"/>
        <v>1620.3282576592544</v>
      </c>
      <c r="S832" s="1">
        <f t="shared" si="246"/>
        <v>3000</v>
      </c>
      <c r="T832" s="1">
        <f t="shared" si="247"/>
        <v>1391.200382820412</v>
      </c>
      <c r="V832" s="1">
        <f t="shared" si="259"/>
        <v>1391.200382820412</v>
      </c>
      <c r="W832" s="1">
        <f t="shared" si="260"/>
        <v>3000</v>
      </c>
    </row>
    <row r="833" spans="1:23" x14ac:dyDescent="0.25">
      <c r="A833" s="2">
        <f t="shared" si="261"/>
        <v>82.099999999999611</v>
      </c>
      <c r="B833" s="7">
        <f t="shared" si="264"/>
        <v>5.040610102422928</v>
      </c>
      <c r="C833" s="7">
        <f t="shared" si="248"/>
        <v>2.1105941489657454</v>
      </c>
      <c r="D833" s="7">
        <f t="shared" si="249"/>
        <v>54.130789126714241</v>
      </c>
      <c r="E833" s="7">
        <f t="shared" si="250"/>
        <v>1</v>
      </c>
      <c r="G833" s="4">
        <f t="shared" si="251"/>
        <v>8209.99999999996</v>
      </c>
      <c r="H833" s="1">
        <f t="shared" si="262"/>
        <v>7.2411869314090547</v>
      </c>
      <c r="I833" s="1">
        <f t="shared" si="263"/>
        <v>1775.2130235459963</v>
      </c>
      <c r="J833" s="1">
        <f t="shared" si="252"/>
        <v>59.173767451533209</v>
      </c>
      <c r="K833" s="7">
        <f t="shared" si="253"/>
        <v>4.8635973247835516</v>
      </c>
      <c r="L833" s="4">
        <f t="shared" si="254"/>
        <v>1380.9890691569665</v>
      </c>
      <c r="M833" s="1">
        <f t="shared" si="255"/>
        <v>1055.2970744828726</v>
      </c>
      <c r="N833" s="7">
        <f t="shared" si="256"/>
        <v>54.130789126714241</v>
      </c>
      <c r="O833" s="1">
        <f t="shared" si="257"/>
        <v>3000</v>
      </c>
      <c r="P833" s="2">
        <f t="shared" si="258"/>
        <v>1.4573537245741721</v>
      </c>
      <c r="Q833" s="2">
        <f t="shared" si="265"/>
        <v>1629.7212588928558</v>
      </c>
      <c r="S833" s="1">
        <f t="shared" si="246"/>
        <v>3000</v>
      </c>
      <c r="T833" s="1">
        <f t="shared" si="247"/>
        <v>1380.9890691569665</v>
      </c>
      <c r="V833" s="1">
        <f t="shared" si="259"/>
        <v>1380.9890691569665</v>
      </c>
      <c r="W833" s="1">
        <f t="shared" si="260"/>
        <v>3000</v>
      </c>
    </row>
    <row r="834" spans="1:23" x14ac:dyDescent="0.25">
      <c r="A834" s="2">
        <f t="shared" si="261"/>
        <v>82.199999999999605</v>
      </c>
      <c r="B834" s="7">
        <f t="shared" si="264"/>
        <v>5.0036123762530824</v>
      </c>
      <c r="C834" s="7">
        <f t="shared" si="248"/>
        <v>2.1115356839028681</v>
      </c>
      <c r="D834" s="7">
        <f t="shared" si="249"/>
        <v>54.459381981549043</v>
      </c>
      <c r="E834" s="7">
        <f t="shared" si="250"/>
        <v>1</v>
      </c>
      <c r="G834" s="4">
        <f t="shared" si="251"/>
        <v>8219.99999999996</v>
      </c>
      <c r="H834" s="1">
        <f t="shared" si="262"/>
        <v>7.2947297383041398</v>
      </c>
      <c r="I834" s="1">
        <f t="shared" si="263"/>
        <v>1782.5077532843004</v>
      </c>
      <c r="J834" s="1">
        <f t="shared" si="252"/>
        <v>59.416925109476679</v>
      </c>
      <c r="K834" s="7">
        <f t="shared" si="253"/>
        <v>4.8835828857104122</v>
      </c>
      <c r="L834" s="4">
        <f t="shared" si="254"/>
        <v>1370.8527058227621</v>
      </c>
      <c r="M834" s="1">
        <f t="shared" si="255"/>
        <v>1055.7678419514341</v>
      </c>
      <c r="N834" s="7">
        <f t="shared" si="256"/>
        <v>54.459381981549043</v>
      </c>
      <c r="O834" s="1">
        <f t="shared" si="257"/>
        <v>3000</v>
      </c>
      <c r="P834" s="2">
        <f t="shared" si="258"/>
        <v>1.4473022028597817</v>
      </c>
      <c r="Q834" s="2">
        <f t="shared" si="265"/>
        <v>1639.3231887321954</v>
      </c>
      <c r="S834" s="1">
        <f t="shared" si="246"/>
        <v>3000</v>
      </c>
      <c r="T834" s="1">
        <f t="shared" si="247"/>
        <v>1370.8527058227623</v>
      </c>
      <c r="V834" s="1">
        <f t="shared" si="259"/>
        <v>1370.8527058227623</v>
      </c>
      <c r="W834" s="1">
        <f t="shared" si="260"/>
        <v>3000</v>
      </c>
    </row>
    <row r="835" spans="1:23" x14ac:dyDescent="0.25">
      <c r="A835" s="2">
        <f t="shared" si="261"/>
        <v>82.299999999999599</v>
      </c>
      <c r="B835" s="7">
        <f t="shared" si="264"/>
        <v>4.9668862108097978</v>
      </c>
      <c r="C835" s="7">
        <f t="shared" si="248"/>
        <v>2.1124776388582296</v>
      </c>
      <c r="D835" s="7">
        <f t="shared" si="249"/>
        <v>54.789969510135833</v>
      </c>
      <c r="E835" s="7">
        <f t="shared" si="250"/>
        <v>1</v>
      </c>
      <c r="G835" s="4">
        <f t="shared" si="251"/>
        <v>8229.99999999996</v>
      </c>
      <c r="H835" s="1">
        <f t="shared" si="262"/>
        <v>7.3486684515869074</v>
      </c>
      <c r="I835" s="1">
        <f t="shared" si="263"/>
        <v>1789.8564217358874</v>
      </c>
      <c r="J835" s="1">
        <f t="shared" si="252"/>
        <v>59.661880724529581</v>
      </c>
      <c r="K835" s="7">
        <f t="shared" si="253"/>
        <v>4.9037162239339382</v>
      </c>
      <c r="L835" s="4">
        <f t="shared" si="254"/>
        <v>1360.7907426876159</v>
      </c>
      <c r="M835" s="1">
        <f t="shared" si="255"/>
        <v>1056.2388194291148</v>
      </c>
      <c r="N835" s="7">
        <f t="shared" si="256"/>
        <v>54.789969510135833</v>
      </c>
      <c r="O835" s="1">
        <f t="shared" si="257"/>
        <v>3000</v>
      </c>
      <c r="P835" s="2">
        <f t="shared" si="258"/>
        <v>1.4373200075464356</v>
      </c>
      <c r="Q835" s="2">
        <f t="shared" si="265"/>
        <v>1649.1403012489673</v>
      </c>
      <c r="S835" s="1">
        <f t="shared" si="246"/>
        <v>3000</v>
      </c>
      <c r="T835" s="1">
        <f t="shared" si="247"/>
        <v>1360.7907426876159</v>
      </c>
      <c r="V835" s="1">
        <f t="shared" si="259"/>
        <v>1360.7907426876159</v>
      </c>
      <c r="W835" s="1">
        <f t="shared" si="260"/>
        <v>3000</v>
      </c>
    </row>
    <row r="836" spans="1:23" x14ac:dyDescent="0.25">
      <c r="A836" s="2">
        <f t="shared" si="261"/>
        <v>82.399999999999594</v>
      </c>
      <c r="B836" s="7">
        <f t="shared" si="264"/>
        <v>4.9304296128563108</v>
      </c>
      <c r="C836" s="7">
        <f t="shared" si="248"/>
        <v>2.1134200140192001</v>
      </c>
      <c r="D836" s="7">
        <f t="shared" si="249"/>
        <v>55.12256382084319</v>
      </c>
      <c r="E836" s="7">
        <f t="shared" si="250"/>
        <v>1</v>
      </c>
      <c r="G836" s="4">
        <f t="shared" si="251"/>
        <v>8239.99999999996</v>
      </c>
      <c r="H836" s="1">
        <f t="shared" si="262"/>
        <v>7.4030059986709178</v>
      </c>
      <c r="I836" s="1">
        <f t="shared" si="263"/>
        <v>1797.2594277345584</v>
      </c>
      <c r="J836" s="1">
        <f t="shared" si="252"/>
        <v>59.908647591151947</v>
      </c>
      <c r="K836" s="7">
        <f t="shared" si="253"/>
        <v>4.9239984321494745</v>
      </c>
      <c r="L836" s="4">
        <f t="shared" si="254"/>
        <v>1350.8026336592632</v>
      </c>
      <c r="M836" s="1">
        <f t="shared" si="255"/>
        <v>1056.7100070096001</v>
      </c>
      <c r="N836" s="7">
        <f t="shared" si="256"/>
        <v>55.12256382084319</v>
      </c>
      <c r="O836" s="1">
        <f t="shared" si="257"/>
        <v>3000</v>
      </c>
      <c r="P836" s="2">
        <f t="shared" si="258"/>
        <v>1.4274066604826663</v>
      </c>
      <c r="Q836" s="2">
        <f t="shared" si="265"/>
        <v>1659.1791047508282</v>
      </c>
      <c r="S836" s="1">
        <f t="shared" si="246"/>
        <v>3000</v>
      </c>
      <c r="T836" s="1">
        <f t="shared" si="247"/>
        <v>1350.8026336592632</v>
      </c>
      <c r="V836" s="1">
        <f t="shared" si="259"/>
        <v>1350.8026336592632</v>
      </c>
      <c r="W836" s="1">
        <f t="shared" si="260"/>
        <v>3000</v>
      </c>
    </row>
    <row r="837" spans="1:23" x14ac:dyDescent="0.25">
      <c r="A837" s="2">
        <f t="shared" si="261"/>
        <v>82.499999999999588</v>
      </c>
      <c r="B837" s="7">
        <f t="shared" si="264"/>
        <v>4.8942406037860664</v>
      </c>
      <c r="C837" s="7">
        <f t="shared" si="248"/>
        <v>2.1143628095732327</v>
      </c>
      <c r="D837" s="7">
        <f t="shared" si="249"/>
        <v>55.45717709554166</v>
      </c>
      <c r="E837" s="7">
        <f t="shared" si="250"/>
        <v>1</v>
      </c>
      <c r="G837" s="4">
        <f t="shared" si="251"/>
        <v>8249.99999999996</v>
      </c>
      <c r="H837" s="1">
        <f t="shared" si="262"/>
        <v>7.4577453286143074</v>
      </c>
      <c r="I837" s="1">
        <f t="shared" si="263"/>
        <v>1804.7171730631726</v>
      </c>
      <c r="J837" s="1">
        <f t="shared" si="252"/>
        <v>60.157239102105756</v>
      </c>
      <c r="K837" s="7">
        <f t="shared" si="253"/>
        <v>4.9444306111319793</v>
      </c>
      <c r="L837" s="4">
        <f t="shared" si="254"/>
        <v>1340.8878366537167</v>
      </c>
      <c r="M837" s="1">
        <f t="shared" si="255"/>
        <v>1057.1814047866164</v>
      </c>
      <c r="N837" s="7">
        <f t="shared" si="256"/>
        <v>55.45717709554166</v>
      </c>
      <c r="O837" s="1">
        <f t="shared" si="257"/>
        <v>3000</v>
      </c>
      <c r="P837" s="2">
        <f t="shared" si="258"/>
        <v>1.4175616868148633</v>
      </c>
      <c r="Q837" s="2">
        <f t="shared" si="265"/>
        <v>1669.446374830454</v>
      </c>
      <c r="S837" s="1">
        <f t="shared" si="246"/>
        <v>3000</v>
      </c>
      <c r="T837" s="1">
        <f t="shared" si="247"/>
        <v>1340.8878366537169</v>
      </c>
      <c r="V837" s="1">
        <f t="shared" si="259"/>
        <v>1340.8878366537169</v>
      </c>
      <c r="W837" s="1">
        <f t="shared" si="260"/>
        <v>3000</v>
      </c>
    </row>
    <row r="838" spans="1:23" x14ac:dyDescent="0.25">
      <c r="A838" s="2">
        <f t="shared" si="261"/>
        <v>82.599999999999582</v>
      </c>
      <c r="B838" s="7">
        <f t="shared" si="264"/>
        <v>4.8583172195153459</v>
      </c>
      <c r="C838" s="7">
        <f t="shared" si="248"/>
        <v>2.1153060257078655</v>
      </c>
      <c r="D838" s="7">
        <f t="shared" si="249"/>
        <v>55.793821590050008</v>
      </c>
      <c r="E838" s="7">
        <f t="shared" si="250"/>
        <v>1</v>
      </c>
      <c r="G838" s="4">
        <f t="shared" si="251"/>
        <v>8259.9999999999582</v>
      </c>
      <c r="H838" s="1">
        <f t="shared" si="262"/>
        <v>7.5128894122797769</v>
      </c>
      <c r="I838" s="1">
        <f t="shared" si="263"/>
        <v>1812.2300624754523</v>
      </c>
      <c r="J838" s="1">
        <f t="shared" si="252"/>
        <v>60.407668749181745</v>
      </c>
      <c r="K838" s="7">
        <f t="shared" si="253"/>
        <v>4.9650138697957598</v>
      </c>
      <c r="L838" s="4">
        <f t="shared" si="254"/>
        <v>1331.045813565848</v>
      </c>
      <c r="M838" s="1">
        <f t="shared" si="255"/>
        <v>1057.6530128539328</v>
      </c>
      <c r="N838" s="7">
        <f t="shared" si="256"/>
        <v>55.793821590050008</v>
      </c>
      <c r="O838" s="1">
        <f t="shared" si="257"/>
        <v>3000</v>
      </c>
      <c r="P838" s="2">
        <f t="shared" si="258"/>
        <v>1.4077846149645332</v>
      </c>
      <c r="Q838" s="2">
        <f t="shared" si="265"/>
        <v>1679.9491682266839</v>
      </c>
      <c r="S838" s="1">
        <f t="shared" si="246"/>
        <v>3000</v>
      </c>
      <c r="T838" s="1">
        <f t="shared" si="247"/>
        <v>1331.045813565848</v>
      </c>
      <c r="V838" s="1">
        <f t="shared" si="259"/>
        <v>1331.045813565848</v>
      </c>
      <c r="W838" s="1">
        <f t="shared" si="260"/>
        <v>3000</v>
      </c>
    </row>
    <row r="839" spans="1:23" x14ac:dyDescent="0.25">
      <c r="A839" s="2">
        <f t="shared" si="261"/>
        <v>82.699999999999577</v>
      </c>
      <c r="B839" s="7">
        <f t="shared" si="264"/>
        <v>4.8226575103766711</v>
      </c>
      <c r="C839" s="7">
        <f t="shared" si="248"/>
        <v>2.1162496626107186</v>
      </c>
      <c r="D839" s="7">
        <f t="shared" si="249"/>
        <v>56.132509634584125</v>
      </c>
      <c r="E839" s="7">
        <f t="shared" si="250"/>
        <v>1</v>
      </c>
      <c r="G839" s="4">
        <f t="shared" si="251"/>
        <v>8269.9999999999563</v>
      </c>
      <c r="H839" s="1">
        <f t="shared" si="262"/>
        <v>7.5684412425012821</v>
      </c>
      <c r="I839" s="1">
        <f t="shared" si="263"/>
        <v>1819.7985037179535</v>
      </c>
      <c r="J839" s="1">
        <f t="shared" si="252"/>
        <v>60.659950123931786</v>
      </c>
      <c r="K839" s="7">
        <f t="shared" si="253"/>
        <v>4.985749325254667</v>
      </c>
      <c r="L839" s="4">
        <f t="shared" si="254"/>
        <v>1321.2760302401841</v>
      </c>
      <c r="M839" s="1">
        <f t="shared" si="255"/>
        <v>1058.1248313053593</v>
      </c>
      <c r="N839" s="7">
        <f t="shared" si="256"/>
        <v>56.132509634584125</v>
      </c>
      <c r="O839" s="1">
        <f t="shared" si="257"/>
        <v>3000</v>
      </c>
      <c r="P839" s="2">
        <f t="shared" si="258"/>
        <v>1.3980749766057097</v>
      </c>
      <c r="Q839" s="2">
        <f t="shared" si="265"/>
        <v>1690.6948375572772</v>
      </c>
      <c r="S839" s="1">
        <f t="shared" si="246"/>
        <v>3000</v>
      </c>
      <c r="T839" s="1">
        <f t="shared" si="247"/>
        <v>1321.2760302401839</v>
      </c>
      <c r="V839" s="1">
        <f t="shared" si="259"/>
        <v>1321.2760302401839</v>
      </c>
      <c r="W839" s="1">
        <f t="shared" si="260"/>
        <v>3000</v>
      </c>
    </row>
    <row r="840" spans="1:23" x14ac:dyDescent="0.25">
      <c r="A840" s="2">
        <f t="shared" si="261"/>
        <v>82.799999999999571</v>
      </c>
      <c r="B840" s="7">
        <f t="shared" si="264"/>
        <v>4.7872595410129835</v>
      </c>
      <c r="C840" s="7">
        <f t="shared" si="248"/>
        <v>2.1171937204694964</v>
      </c>
      <c r="D840" s="7">
        <f t="shared" si="249"/>
        <v>56.473253634208675</v>
      </c>
      <c r="E840" s="7">
        <f t="shared" si="250"/>
        <v>1</v>
      </c>
      <c r="G840" s="4">
        <f t="shared" si="251"/>
        <v>8279.9999999999563</v>
      </c>
      <c r="H840" s="1">
        <f t="shared" si="262"/>
        <v>7.624403834239704</v>
      </c>
      <c r="I840" s="1">
        <f t="shared" si="263"/>
        <v>1827.4229075521932</v>
      </c>
      <c r="J840" s="1">
        <f t="shared" si="252"/>
        <v>60.914096918406443</v>
      </c>
      <c r="K840" s="7">
        <f t="shared" si="253"/>
        <v>5.0066381028827216</v>
      </c>
      <c r="L840" s="4">
        <f t="shared" si="254"/>
        <v>1311.5779564419133</v>
      </c>
      <c r="M840" s="1">
        <f t="shared" si="255"/>
        <v>1058.5968602347482</v>
      </c>
      <c r="N840" s="7">
        <f t="shared" si="256"/>
        <v>56.473253634208675</v>
      </c>
      <c r="O840" s="1">
        <f t="shared" si="257"/>
        <v>3000</v>
      </c>
      <c r="P840" s="2">
        <f t="shared" si="258"/>
        <v>1.3884323066425168</v>
      </c>
      <c r="Q840" s="2">
        <f t="shared" si="265"/>
        <v>1701.6910469879242</v>
      </c>
      <c r="S840" s="1">
        <f t="shared" si="246"/>
        <v>3000</v>
      </c>
      <c r="T840" s="1">
        <f t="shared" si="247"/>
        <v>1311.5779564419133</v>
      </c>
      <c r="V840" s="1">
        <f t="shared" si="259"/>
        <v>1311.5779564419133</v>
      </c>
      <c r="W840" s="1">
        <f t="shared" si="260"/>
        <v>3000</v>
      </c>
    </row>
    <row r="841" spans="1:23" x14ac:dyDescent="0.25">
      <c r="A841" s="2">
        <f t="shared" si="261"/>
        <v>82.899999999999565</v>
      </c>
      <c r="B841" s="7">
        <f t="shared" si="264"/>
        <v>4.7521213902726123</v>
      </c>
      <c r="C841" s="7">
        <f t="shared" si="248"/>
        <v>2.1181381994719874</v>
      </c>
      <c r="D841" s="7">
        <f t="shared" si="249"/>
        <v>56.816066069291274</v>
      </c>
      <c r="E841" s="7">
        <f t="shared" si="250"/>
        <v>1</v>
      </c>
      <c r="G841" s="4">
        <f t="shared" si="251"/>
        <v>8289.9999999999563</v>
      </c>
      <c r="H841" s="1">
        <f t="shared" si="262"/>
        <v>7.6807802247463481</v>
      </c>
      <c r="I841" s="1">
        <f t="shared" si="263"/>
        <v>1835.1036877769395</v>
      </c>
      <c r="J841" s="1">
        <f t="shared" si="252"/>
        <v>61.170122925897985</v>
      </c>
      <c r="K841" s="7">
        <f t="shared" si="253"/>
        <v>5.0276813363751769</v>
      </c>
      <c r="L841" s="4">
        <f t="shared" si="254"/>
        <v>1301.9510658281129</v>
      </c>
      <c r="M841" s="1">
        <f t="shared" si="255"/>
        <v>1059.0690997359936</v>
      </c>
      <c r="N841" s="7">
        <f t="shared" si="256"/>
        <v>56.816066069291274</v>
      </c>
      <c r="O841" s="1">
        <f t="shared" si="257"/>
        <v>3000</v>
      </c>
      <c r="P841" s="2">
        <f t="shared" si="258"/>
        <v>1.3788561431868969</v>
      </c>
      <c r="Q841" s="2">
        <f t="shared" si="265"/>
        <v>1712.9457889076627</v>
      </c>
      <c r="S841" s="1">
        <f t="shared" si="246"/>
        <v>3000</v>
      </c>
      <c r="T841" s="1">
        <f t="shared" si="247"/>
        <v>1301.9510658281129</v>
      </c>
      <c r="V841" s="1">
        <f t="shared" si="259"/>
        <v>1301.9510658281129</v>
      </c>
      <c r="W841" s="1">
        <f t="shared" si="260"/>
        <v>3000</v>
      </c>
    </row>
    <row r="842" spans="1:23" x14ac:dyDescent="0.25">
      <c r="A842" s="2">
        <f t="shared" si="261"/>
        <v>82.999999999999559</v>
      </c>
      <c r="B842" s="7">
        <f t="shared" si="264"/>
        <v>4.7172411511050019</v>
      </c>
      <c r="C842" s="7">
        <f t="shared" si="248"/>
        <v>2.1190830998060632</v>
      </c>
      <c r="D842" s="7">
        <f t="shared" si="249"/>
        <v>57.160959495959894</v>
      </c>
      <c r="E842" s="7">
        <f t="shared" si="250"/>
        <v>1</v>
      </c>
      <c r="G842" s="4">
        <f t="shared" si="251"/>
        <v>8299.9999999999563</v>
      </c>
      <c r="H842" s="1">
        <f t="shared" si="262"/>
        <v>7.7375734737347415</v>
      </c>
      <c r="I842" s="1">
        <f t="shared" si="263"/>
        <v>1842.8412612506743</v>
      </c>
      <c r="J842" s="1">
        <f t="shared" si="252"/>
        <v>61.428042041689146</v>
      </c>
      <c r="K842" s="7">
        <f t="shared" si="253"/>
        <v>5.0488801678100668</v>
      </c>
      <c r="L842" s="4">
        <f t="shared" si="254"/>
        <v>1292.3948359191786</v>
      </c>
      <c r="M842" s="1">
        <f t="shared" si="255"/>
        <v>1059.5415499030316</v>
      </c>
      <c r="N842" s="7">
        <f t="shared" si="256"/>
        <v>57.160959495959894</v>
      </c>
      <c r="O842" s="1">
        <f t="shared" si="257"/>
        <v>3000</v>
      </c>
      <c r="P842" s="2">
        <f t="shared" si="258"/>
        <v>1.3693460275364806</v>
      </c>
      <c r="Q842" s="2">
        <f t="shared" si="265"/>
        <v>1724.4674016869465</v>
      </c>
      <c r="S842" s="1">
        <f t="shared" si="246"/>
        <v>3000</v>
      </c>
      <c r="T842" s="1">
        <f t="shared" si="247"/>
        <v>1292.3948359191786</v>
      </c>
      <c r="V842" s="1">
        <f t="shared" si="259"/>
        <v>1292.3948359191786</v>
      </c>
      <c r="W842" s="1">
        <f t="shared" si="260"/>
        <v>3000</v>
      </c>
    </row>
    <row r="843" spans="1:23" x14ac:dyDescent="0.25">
      <c r="A843" s="2">
        <f t="shared" si="261"/>
        <v>83.099999999999554</v>
      </c>
      <c r="B843" s="7">
        <f t="shared" si="264"/>
        <v>4.6826169304572245</v>
      </c>
      <c r="C843" s="7">
        <f t="shared" si="248"/>
        <v>2.1200284216596801</v>
      </c>
      <c r="D843" s="7">
        <f t="shared" si="249"/>
        <v>57.507946546562515</v>
      </c>
      <c r="E843" s="7">
        <f t="shared" si="250"/>
        <v>1</v>
      </c>
      <c r="G843" s="4">
        <f t="shared" si="251"/>
        <v>8309.9999999999563</v>
      </c>
      <c r="H843" s="1">
        <f t="shared" si="262"/>
        <v>7.7947866635411573</v>
      </c>
      <c r="I843" s="1">
        <f t="shared" si="263"/>
        <v>1850.6360479142154</v>
      </c>
      <c r="J843" s="1">
        <f t="shared" si="252"/>
        <v>61.687868263807182</v>
      </c>
      <c r="K843" s="7">
        <f t="shared" si="253"/>
        <v>5.0702357477101794</v>
      </c>
      <c r="L843" s="4">
        <f t="shared" si="254"/>
        <v>1282.9087480704723</v>
      </c>
      <c r="M843" s="1">
        <f t="shared" si="255"/>
        <v>1060.0142108298401</v>
      </c>
      <c r="N843" s="7">
        <f t="shared" si="256"/>
        <v>57.507946546562515</v>
      </c>
      <c r="O843" s="1">
        <f t="shared" si="257"/>
        <v>3000</v>
      </c>
      <c r="P843" s="2">
        <f t="shared" si="258"/>
        <v>1.3599015041526197</v>
      </c>
      <c r="Q843" s="2">
        <f t="shared" si="265"/>
        <v>1736.2645886012313</v>
      </c>
      <c r="S843" s="1">
        <f t="shared" si="246"/>
        <v>3000</v>
      </c>
      <c r="T843" s="1">
        <f t="shared" si="247"/>
        <v>1282.9087480704723</v>
      </c>
      <c r="V843" s="1">
        <f t="shared" si="259"/>
        <v>1282.9087480704723</v>
      </c>
      <c r="W843" s="1">
        <f t="shared" si="260"/>
        <v>3000</v>
      </c>
    </row>
    <row r="844" spans="1:23" x14ac:dyDescent="0.25">
      <c r="A844" s="2">
        <f t="shared" si="261"/>
        <v>83.199999999999548</v>
      </c>
      <c r="B844" s="7">
        <f t="shared" si="264"/>
        <v>4.6482468491712199</v>
      </c>
      <c r="C844" s="7">
        <f t="shared" si="248"/>
        <v>2.1209741652208778</v>
      </c>
      <c r="D844" s="7">
        <f t="shared" si="249"/>
        <v>57.857039930129936</v>
      </c>
      <c r="E844" s="7">
        <f t="shared" si="250"/>
        <v>1</v>
      </c>
      <c r="G844" s="4">
        <f t="shared" si="251"/>
        <v>8319.9999999999563</v>
      </c>
      <c r="H844" s="1">
        <f t="shared" si="262"/>
        <v>7.8524228992932965</v>
      </c>
      <c r="I844" s="1">
        <f t="shared" si="263"/>
        <v>1858.4884708135087</v>
      </c>
      <c r="J844" s="1">
        <f t="shared" si="252"/>
        <v>61.94961569378362</v>
      </c>
      <c r="K844" s="7">
        <f t="shared" si="253"/>
        <v>5.0917492351055031</v>
      </c>
      <c r="L844" s="4">
        <f t="shared" si="254"/>
        <v>1273.4922874441697</v>
      </c>
      <c r="M844" s="1">
        <f t="shared" si="255"/>
        <v>1060.4870826104388</v>
      </c>
      <c r="N844" s="7">
        <f t="shared" si="256"/>
        <v>57.857039930129936</v>
      </c>
      <c r="O844" s="1">
        <f t="shared" si="257"/>
        <v>3000</v>
      </c>
      <c r="P844" s="2">
        <f t="shared" si="258"/>
        <v>1.3505221206385618</v>
      </c>
      <c r="Q844" s="2">
        <f t="shared" si="265"/>
        <v>1748.3464380103526</v>
      </c>
      <c r="S844" s="1">
        <f t="shared" ref="S844:S907" si="266">E844*$H$3</f>
        <v>3000</v>
      </c>
      <c r="T844" s="1">
        <f t="shared" ref="T844:T907" si="267">B844/100*$H$2/365*1000000</f>
        <v>1273.4922874441697</v>
      </c>
      <c r="V844" s="1">
        <f t="shared" si="259"/>
        <v>1273.4922874441697</v>
      </c>
      <c r="W844" s="1">
        <f t="shared" si="260"/>
        <v>3000</v>
      </c>
    </row>
    <row r="845" spans="1:23" x14ac:dyDescent="0.25">
      <c r="A845" s="2">
        <f t="shared" si="261"/>
        <v>83.299999999999542</v>
      </c>
      <c r="B845" s="7">
        <f t="shared" si="264"/>
        <v>4.6141290418818173</v>
      </c>
      <c r="C845" s="7">
        <f t="shared" ref="C845:C908" si="268">IF($C$5&lt;$C$7,IF(A845&lt;=$C$2,$C$3*EXP(A845*$C$4),IF(A845&lt;=$C$7,$C$6,IF($C$8*EXP(A845*$C$9)&gt;$C$6,$C$6,$C$8*EXP(A845*$C$9)))),IF(A845&lt;=$C$2,$C$3*EXP(A845*$C$4),IF(A845&lt;=$C$5,$C$6,IF($C$8*EXP(A845*$C$9)&gt;$C$6,$C$6,$C$8*EXP(A845*$C$9)))))</f>
        <v>2.1219203306777787</v>
      </c>
      <c r="D845" s="7">
        <f t="shared" ref="D845:D908" si="269">IF(IF($D$5&lt;$D$7,IF(A845&lt;=$D$2,$D$3*EXP(A845*$D$4),IF(A845&lt;=$D$7,$D$6,IF($D$8*EXP(A845*$D$9)&gt;$D$6,$D$6,$D$8*EXP(A845*$D$9)))),IF(A845&lt;=$D$2,$D$3*EXP(A845*$D$4),IF(A845&lt;=$D$5,$D$6,IF($D$8*EXP(A845*$D$9)&gt;$D$6,$D$6,$D$8*EXP(A845*$D$9)))))&lt;=100,IF($D$5&lt;$D$7,IF(A845&lt;=$D$2,$D$3*EXP(A845*$D$4),IF(A845&lt;=$D$7,$D$6,IF($D$8*EXP(A845*$D$9)&gt;$D$6,$D$6,$D$8*EXP(A845*$D$9)))),IF(A845&lt;=$D$2,$D$3*EXP(A845*$D$4),IF(A845&lt;=$D$5,$D$6,IF($D$8*EXP(A845*$D$9)&gt;$D$6,$D$6,$D$8*EXP(A845*$D$9))))),100)</f>
        <v>58.208252432841221</v>
      </c>
      <c r="E845" s="7">
        <f t="shared" ref="E845:E908" si="270">IF($E$5&lt;$E$7,IF(A845&lt;=$E$2,$E$3*EXP(A845*$E$4),IF(A845&lt;=$E$7,$E$6,IF($E$8*EXP(A845*$E$9)&gt;$E$6,$E$6,$E$8*EXP(A845*$E$9)))),IF(A845&lt;=$E$2,$E$3*EXP(A845*$E$4),IF(A845&lt;=$E$5,$E$6,IF($E$8*EXP(A845*$E$9)&gt;$E$6,$E$6,$E$8*EXP(A845*$E$9)))))</f>
        <v>1</v>
      </c>
      <c r="G845" s="4">
        <f t="shared" ref="G845:G908" si="271">A845/100*$H$2*1000</f>
        <v>8329.9999999999545</v>
      </c>
      <c r="H845" s="1">
        <f t="shared" si="262"/>
        <v>7.9104853090773704</v>
      </c>
      <c r="I845" s="1">
        <f t="shared" si="263"/>
        <v>1866.398956122586</v>
      </c>
      <c r="J845" s="1">
        <f t="shared" ref="J845:J908" si="272">I845/30</f>
        <v>62.213298537419533</v>
      </c>
      <c r="K845" s="7">
        <f t="shared" ref="K845:K908" si="273">I845/365</f>
        <v>5.1134217975961258</v>
      </c>
      <c r="L845" s="4">
        <f t="shared" ref="L845:L908" si="274">IF(A845&gt;$B$2,IF(AND(B845/100*$H$2/365*1000000&gt;=$H$5,O845&gt;=$H$6,M845&lt;=$L$4,N845&lt;=$L$5),B845/100*$H$2/365*1000000*$L$6/100,#N/A),B845/100*$H$2/365*1000000*$L$6/100)</f>
        <v>1264.1449429813199</v>
      </c>
      <c r="M845" s="1">
        <f t="shared" ref="M845:M908" si="275">C845*$H$4</f>
        <v>1060.9601653388893</v>
      </c>
      <c r="N845" s="7">
        <f t="shared" ref="N845:N908" si="276">D845</f>
        <v>58.208252432841221</v>
      </c>
      <c r="O845" s="1">
        <f t="shared" ref="O845:O908" si="277">E845*$H$3</f>
        <v>3000</v>
      </c>
      <c r="P845" s="2">
        <f t="shared" ref="P845:P908" si="278">L845*M845/1000000</f>
        <v>1.3412074277177819</v>
      </c>
      <c r="Q845" s="2">
        <f t="shared" si="265"/>
        <v>1760.7224448919819</v>
      </c>
      <c r="S845" s="1">
        <f t="shared" si="266"/>
        <v>3000</v>
      </c>
      <c r="T845" s="1">
        <f t="shared" si="267"/>
        <v>1264.1449429813199</v>
      </c>
      <c r="V845" s="1">
        <f t="shared" ref="V845:V908" si="279">T845</f>
        <v>1264.1449429813199</v>
      </c>
      <c r="W845" s="1">
        <f t="shared" ref="W845:W908" si="280">S845</f>
        <v>3000</v>
      </c>
    </row>
    <row r="846" spans="1:23" x14ac:dyDescent="0.25">
      <c r="A846" s="2">
        <f t="shared" ref="A846:A909" si="281">A845+0.1</f>
        <v>83.399999999999537</v>
      </c>
      <c r="B846" s="7">
        <f t="shared" si="264"/>
        <v>4.580261656915499</v>
      </c>
      <c r="C846" s="7">
        <f t="shared" si="268"/>
        <v>2.1228669182185915</v>
      </c>
      <c r="D846" s="7">
        <f t="shared" si="269"/>
        <v>58.561596918492036</v>
      </c>
      <c r="E846" s="7">
        <f t="shared" si="270"/>
        <v>1</v>
      </c>
      <c r="G846" s="4">
        <f t="shared" si="271"/>
        <v>8339.9999999999545</v>
      </c>
      <c r="H846" s="1">
        <f t="shared" ref="H846:H909" si="282">(G846-G845)*1000/L846</f>
        <v>7.9689770441150554</v>
      </c>
      <c r="I846" s="1">
        <f t="shared" ref="I846:I909" si="283">H846+I845</f>
        <v>1874.3679331667011</v>
      </c>
      <c r="J846" s="1">
        <f t="shared" si="272"/>
        <v>62.478931105556704</v>
      </c>
      <c r="K846" s="7">
        <f t="shared" si="273"/>
        <v>5.1352546114156192</v>
      </c>
      <c r="L846" s="4">
        <f t="shared" si="274"/>
        <v>1254.8662073741093</v>
      </c>
      <c r="M846" s="1">
        <f t="shared" si="275"/>
        <v>1061.4334591092957</v>
      </c>
      <c r="N846" s="7">
        <f t="shared" si="276"/>
        <v>58.561596918492036</v>
      </c>
      <c r="O846" s="1">
        <f t="shared" si="277"/>
        <v>3000</v>
      </c>
      <c r="P846" s="2">
        <f t="shared" si="278"/>
        <v>1.3319569792124637</v>
      </c>
      <c r="Q846" s="2">
        <f t="shared" si="265"/>
        <v>1773.4025338363783</v>
      </c>
      <c r="S846" s="1">
        <f t="shared" si="266"/>
        <v>3000</v>
      </c>
      <c r="T846" s="1">
        <f t="shared" si="267"/>
        <v>1254.8662073741093</v>
      </c>
      <c r="V846" s="1">
        <f t="shared" si="279"/>
        <v>1254.8662073741093</v>
      </c>
      <c r="W846" s="1">
        <f t="shared" si="280"/>
        <v>3000</v>
      </c>
    </row>
    <row r="847" spans="1:23" x14ac:dyDescent="0.25">
      <c r="A847" s="2">
        <f t="shared" si="281"/>
        <v>83.499999999999531</v>
      </c>
      <c r="B847" s="7">
        <f t="shared" si="264"/>
        <v>4.5466428561898997</v>
      </c>
      <c r="C847" s="7">
        <f t="shared" si="268"/>
        <v>2.1238139280316073</v>
      </c>
      <c r="D847" s="7">
        <f t="shared" si="269"/>
        <v>58.917086328965695</v>
      </c>
      <c r="E847" s="7">
        <f t="shared" si="270"/>
        <v>1</v>
      </c>
      <c r="G847" s="4">
        <f t="shared" si="271"/>
        <v>8349.9999999999527</v>
      </c>
      <c r="H847" s="1">
        <f t="shared" si="282"/>
        <v>8.0279012789186766</v>
      </c>
      <c r="I847" s="1">
        <f t="shared" si="283"/>
        <v>1882.3958344456198</v>
      </c>
      <c r="J847" s="1">
        <f t="shared" si="272"/>
        <v>62.746527814853991</v>
      </c>
      <c r="K847" s="7">
        <f t="shared" si="273"/>
        <v>5.1572488614948488</v>
      </c>
      <c r="L847" s="4">
        <f t="shared" si="274"/>
        <v>1245.6555770383286</v>
      </c>
      <c r="M847" s="1">
        <f t="shared" si="275"/>
        <v>1061.9069640158036</v>
      </c>
      <c r="N847" s="7">
        <f t="shared" si="276"/>
        <v>58.917086328965695</v>
      </c>
      <c r="O847" s="1">
        <f t="shared" si="277"/>
        <v>3000</v>
      </c>
      <c r="P847" s="2">
        <f t="shared" si="278"/>
        <v>1.3227703320221256</v>
      </c>
      <c r="Q847" s="2">
        <f t="shared" si="265"/>
        <v>1786.3970836194371</v>
      </c>
      <c r="S847" s="1">
        <f t="shared" si="266"/>
        <v>3000</v>
      </c>
      <c r="T847" s="1">
        <f t="shared" si="267"/>
        <v>1245.6555770383286</v>
      </c>
      <c r="V847" s="1">
        <f t="shared" si="279"/>
        <v>1245.6555770383286</v>
      </c>
      <c r="W847" s="1">
        <f t="shared" si="280"/>
        <v>3000</v>
      </c>
    </row>
    <row r="848" spans="1:23" x14ac:dyDescent="0.25">
      <c r="A848" s="2">
        <f t="shared" si="281"/>
        <v>83.599999999999525</v>
      </c>
      <c r="B848" s="7">
        <f t="shared" si="264"/>
        <v>4.5132708151140521</v>
      </c>
      <c r="C848" s="7">
        <f t="shared" si="268"/>
        <v>2.1247613603052016</v>
      </c>
      <c r="D848" s="7">
        <f t="shared" si="269"/>
        <v>59.274733684707385</v>
      </c>
      <c r="E848" s="7">
        <f t="shared" si="270"/>
        <v>1</v>
      </c>
      <c r="G848" s="4">
        <f t="shared" si="271"/>
        <v>8359.9999999999527</v>
      </c>
      <c r="H848" s="1">
        <f t="shared" si="282"/>
        <v>8.0872612114851847</v>
      </c>
      <c r="I848" s="1">
        <f t="shared" si="283"/>
        <v>1890.483095657105</v>
      </c>
      <c r="J848" s="1">
        <f t="shared" si="272"/>
        <v>63.016103188570163</v>
      </c>
      <c r="K848" s="7">
        <f t="shared" si="273"/>
        <v>5.1794057415263151</v>
      </c>
      <c r="L848" s="4">
        <f t="shared" si="274"/>
        <v>1236.5125520860418</v>
      </c>
      <c r="M848" s="1">
        <f t="shared" si="275"/>
        <v>1062.3806801526007</v>
      </c>
      <c r="N848" s="7">
        <f t="shared" si="276"/>
        <v>59.274733684707385</v>
      </c>
      <c r="O848" s="1">
        <f t="shared" si="277"/>
        <v>3000</v>
      </c>
      <c r="P848" s="2">
        <f t="shared" si="278"/>
        <v>1.3136470461023972</v>
      </c>
      <c r="Q848" s="2">
        <f t="shared" si="265"/>
        <v>1799.7169534819127</v>
      </c>
      <c r="S848" s="1">
        <f t="shared" si="266"/>
        <v>3000</v>
      </c>
      <c r="T848" s="1">
        <f t="shared" si="267"/>
        <v>1236.5125520860418</v>
      </c>
      <c r="V848" s="1">
        <f t="shared" si="279"/>
        <v>1236.5125520860418</v>
      </c>
      <c r="W848" s="1">
        <f t="shared" si="280"/>
        <v>3000</v>
      </c>
    </row>
    <row r="849" spans="1:23" x14ac:dyDescent="0.25">
      <c r="A849" s="2">
        <f t="shared" si="281"/>
        <v>83.69999999999952</v>
      </c>
      <c r="B849" s="7">
        <f t="shared" si="264"/>
        <v>4.4801437224893519</v>
      </c>
      <c r="C849" s="7">
        <f t="shared" si="268"/>
        <v>2.1257092152278334</v>
      </c>
      <c r="D849" s="7">
        <f t="shared" si="269"/>
        <v>59.634552085200937</v>
      </c>
      <c r="E849" s="7">
        <f t="shared" si="270"/>
        <v>1</v>
      </c>
      <c r="G849" s="4">
        <f t="shared" si="271"/>
        <v>8369.9999999999509</v>
      </c>
      <c r="H849" s="1">
        <f t="shared" si="282"/>
        <v>8.1470600634464603</v>
      </c>
      <c r="I849" s="1">
        <f t="shared" si="283"/>
        <v>1898.6301557205513</v>
      </c>
      <c r="J849" s="1">
        <f t="shared" si="272"/>
        <v>63.287671857351711</v>
      </c>
      <c r="K849" s="7">
        <f t="shared" si="273"/>
        <v>5.2017264540289077</v>
      </c>
      <c r="L849" s="4">
        <f t="shared" si="274"/>
        <v>1227.4366362984526</v>
      </c>
      <c r="M849" s="1">
        <f t="shared" si="275"/>
        <v>1062.8546076139166</v>
      </c>
      <c r="N849" s="7">
        <f t="shared" si="276"/>
        <v>59.634552085200937</v>
      </c>
      <c r="O849" s="1">
        <f t="shared" si="277"/>
        <v>3000</v>
      </c>
      <c r="P849" s="2">
        <f t="shared" si="278"/>
        <v>1.3045866844439375</v>
      </c>
      <c r="Q849" s="2">
        <f t="shared" si="265"/>
        <v>1813.3735112546021</v>
      </c>
      <c r="S849" s="1">
        <f t="shared" si="266"/>
        <v>3000</v>
      </c>
      <c r="T849" s="1">
        <f t="shared" si="267"/>
        <v>1227.4366362984526</v>
      </c>
      <c r="V849" s="1">
        <f t="shared" si="279"/>
        <v>1227.4366362984526</v>
      </c>
      <c r="W849" s="1">
        <f t="shared" si="280"/>
        <v>3000</v>
      </c>
    </row>
    <row r="850" spans="1:23" x14ac:dyDescent="0.25">
      <c r="A850" s="2">
        <f t="shared" si="281"/>
        <v>83.799999999999514</v>
      </c>
      <c r="B850" s="7">
        <f t="shared" si="264"/>
        <v>4.4472597804112821</v>
      </c>
      <c r="C850" s="7">
        <f t="shared" si="268"/>
        <v>2.1266574929880466</v>
      </c>
      <c r="D850" s="7">
        <f t="shared" si="269"/>
        <v>59.99655470944861</v>
      </c>
      <c r="E850" s="7">
        <f t="shared" si="270"/>
        <v>1</v>
      </c>
      <c r="G850" s="4">
        <f t="shared" si="271"/>
        <v>8379.9999999999527</v>
      </c>
      <c r="H850" s="1">
        <f t="shared" si="282"/>
        <v>8.2073010802690547</v>
      </c>
      <c r="I850" s="1">
        <f t="shared" si="283"/>
        <v>1906.8374568008203</v>
      </c>
      <c r="J850" s="1">
        <f t="shared" si="272"/>
        <v>63.561248560027344</v>
      </c>
      <c r="K850" s="7">
        <f t="shared" si="273"/>
        <v>5.2242122104132065</v>
      </c>
      <c r="L850" s="4">
        <f t="shared" si="274"/>
        <v>1218.4273370989815</v>
      </c>
      <c r="M850" s="1">
        <f t="shared" si="275"/>
        <v>1063.3287464940233</v>
      </c>
      <c r="N850" s="7">
        <f t="shared" si="276"/>
        <v>59.99655470944861</v>
      </c>
      <c r="O850" s="1">
        <f t="shared" si="277"/>
        <v>3000</v>
      </c>
      <c r="P850" s="2">
        <f t="shared" si="278"/>
        <v>1.2955888130515107</v>
      </c>
      <c r="Q850" s="2">
        <f t="shared" si="265"/>
        <v>1827.3786634825931</v>
      </c>
      <c r="S850" s="1">
        <f t="shared" si="266"/>
        <v>3000</v>
      </c>
      <c r="T850" s="1">
        <f t="shared" si="267"/>
        <v>1218.4273370989815</v>
      </c>
      <c r="V850" s="1">
        <f t="shared" si="279"/>
        <v>1218.4273370989815</v>
      </c>
      <c r="W850" s="1">
        <f t="shared" si="280"/>
        <v>3000</v>
      </c>
    </row>
    <row r="851" spans="1:23" x14ac:dyDescent="0.25">
      <c r="A851" s="2">
        <f t="shared" si="281"/>
        <v>83.899999999999508</v>
      </c>
      <c r="B851" s="7">
        <f t="shared" si="264"/>
        <v>4.4146172041718055</v>
      </c>
      <c r="C851" s="7">
        <f t="shared" si="268"/>
        <v>2.1276061937744686</v>
      </c>
      <c r="D851" s="7">
        <f t="shared" si="269"/>
        <v>60.360754816453841</v>
      </c>
      <c r="E851" s="7">
        <f t="shared" si="270"/>
        <v>1</v>
      </c>
      <c r="G851" s="4">
        <f t="shared" si="271"/>
        <v>8389.9999999999509</v>
      </c>
      <c r="H851" s="1">
        <f t="shared" si="282"/>
        <v>8.2679875313993065</v>
      </c>
      <c r="I851" s="1">
        <f t="shared" si="283"/>
        <v>1915.1054443322196</v>
      </c>
      <c r="J851" s="1">
        <f t="shared" si="272"/>
        <v>63.83684814440732</v>
      </c>
      <c r="K851" s="7">
        <f t="shared" si="273"/>
        <v>5.2468642310471774</v>
      </c>
      <c r="L851" s="4">
        <f t="shared" si="274"/>
        <v>1209.4841655265222</v>
      </c>
      <c r="M851" s="1">
        <f t="shared" si="275"/>
        <v>1063.8030968872342</v>
      </c>
      <c r="N851" s="7">
        <f t="shared" si="276"/>
        <v>60.360754816453841</v>
      </c>
      <c r="O851" s="1">
        <f t="shared" si="277"/>
        <v>3000</v>
      </c>
      <c r="P851" s="2">
        <f t="shared" si="278"/>
        <v>1.2866530009231865</v>
      </c>
      <c r="Q851" s="2">
        <f t="shared" si="265"/>
        <v>1841.7448877163147</v>
      </c>
      <c r="S851" s="1">
        <f t="shared" si="266"/>
        <v>3000</v>
      </c>
      <c r="T851" s="1">
        <f t="shared" si="267"/>
        <v>1209.4841655265222</v>
      </c>
      <c r="V851" s="1">
        <f t="shared" si="279"/>
        <v>1209.4841655265222</v>
      </c>
      <c r="W851" s="1">
        <f t="shared" si="280"/>
        <v>3000</v>
      </c>
    </row>
    <row r="852" spans="1:23" x14ac:dyDescent="0.25">
      <c r="A852" s="2">
        <f t="shared" si="281"/>
        <v>83.999999999999503</v>
      </c>
      <c r="B852" s="7">
        <f t="shared" si="264"/>
        <v>4.3822142221625189</v>
      </c>
      <c r="C852" s="7">
        <f t="shared" si="268"/>
        <v>2.1285553177758114</v>
      </c>
      <c r="D852" s="7">
        <f t="shared" si="269"/>
        <v>60.727165745706927</v>
      </c>
      <c r="E852" s="7">
        <f t="shared" si="270"/>
        <v>1</v>
      </c>
      <c r="G852" s="4">
        <f t="shared" si="271"/>
        <v>8399.9999999999491</v>
      </c>
      <c r="H852" s="1">
        <f t="shared" si="282"/>
        <v>8.3291227104779626</v>
      </c>
      <c r="I852" s="1">
        <f t="shared" si="283"/>
        <v>1923.4345670426976</v>
      </c>
      <c r="J852" s="1">
        <f t="shared" si="272"/>
        <v>64.114485568089918</v>
      </c>
      <c r="K852" s="7">
        <f t="shared" si="273"/>
        <v>5.2696837453224594</v>
      </c>
      <c r="L852" s="4">
        <f t="shared" si="274"/>
        <v>1200.6066362089095</v>
      </c>
      <c r="M852" s="1">
        <f t="shared" si="275"/>
        <v>1064.2776588879058</v>
      </c>
      <c r="N852" s="7">
        <f t="shared" si="276"/>
        <v>60.727165745706927</v>
      </c>
      <c r="O852" s="1">
        <f t="shared" si="277"/>
        <v>3000</v>
      </c>
      <c r="P852" s="2">
        <f t="shared" si="278"/>
        <v>1.2777788200297018</v>
      </c>
      <c r="Q852" s="2">
        <f t="shared" si="265"/>
        <v>1856.4852671534413</v>
      </c>
      <c r="S852" s="1">
        <f t="shared" si="266"/>
        <v>3000</v>
      </c>
      <c r="T852" s="1">
        <f t="shared" si="267"/>
        <v>1200.6066362089095</v>
      </c>
      <c r="V852" s="1">
        <f t="shared" si="279"/>
        <v>1200.6066362089095</v>
      </c>
      <c r="W852" s="1">
        <f t="shared" si="280"/>
        <v>3000</v>
      </c>
    </row>
    <row r="853" spans="1:23" x14ac:dyDescent="0.25">
      <c r="A853" s="2">
        <f t="shared" si="281"/>
        <v>84.099999999999497</v>
      </c>
      <c r="B853" s="7">
        <f t="shared" si="264"/>
        <v>4.3500490757785064</v>
      </c>
      <c r="C853" s="7">
        <f t="shared" si="268"/>
        <v>2.1295048651808703</v>
      </c>
      <c r="D853" s="7">
        <f t="shared" si="269"/>
        <v>61.095800917673365</v>
      </c>
      <c r="E853" s="7">
        <f t="shared" si="270"/>
        <v>1</v>
      </c>
      <c r="G853" s="4">
        <f t="shared" si="271"/>
        <v>8409.9999999999509</v>
      </c>
      <c r="H853" s="1">
        <f t="shared" si="282"/>
        <v>8.3907099354906514</v>
      </c>
      <c r="I853" s="1">
        <f t="shared" si="283"/>
        <v>1931.8252769781882</v>
      </c>
      <c r="J853" s="1">
        <f t="shared" si="272"/>
        <v>64.394175899272938</v>
      </c>
      <c r="K853" s="7">
        <f t="shared" si="273"/>
        <v>5.2926719917210638</v>
      </c>
      <c r="L853" s="4">
        <f t="shared" si="274"/>
        <v>1191.7942673365771</v>
      </c>
      <c r="M853" s="1">
        <f t="shared" si="275"/>
        <v>1064.7524325904351</v>
      </c>
      <c r="N853" s="7">
        <f t="shared" si="276"/>
        <v>61.095800917673365</v>
      </c>
      <c r="O853" s="1">
        <f t="shared" si="277"/>
        <v>3000</v>
      </c>
      <c r="P853" s="2">
        <f t="shared" si="278"/>
        <v>1.2689658452939558</v>
      </c>
      <c r="Q853" s="2">
        <f t="shared" si="265"/>
        <v>1871.6135278337508</v>
      </c>
      <c r="S853" s="1">
        <f t="shared" si="266"/>
        <v>3000</v>
      </c>
      <c r="T853" s="1">
        <f t="shared" si="267"/>
        <v>1191.7942673365771</v>
      </c>
      <c r="V853" s="1">
        <f t="shared" si="279"/>
        <v>1191.7942673365771</v>
      </c>
      <c r="W853" s="1">
        <f t="shared" si="280"/>
        <v>3000</v>
      </c>
    </row>
    <row r="854" spans="1:23" x14ac:dyDescent="0.25">
      <c r="A854" s="2">
        <f t="shared" si="281"/>
        <v>84.199999999999491</v>
      </c>
      <c r="B854" s="7">
        <f t="shared" si="264"/>
        <v>4.318120019322885</v>
      </c>
      <c r="C854" s="7">
        <f t="shared" si="268"/>
        <v>2.1304548361785267</v>
      </c>
      <c r="D854" s="7">
        <f t="shared" si="269"/>
        <v>61.466673834285743</v>
      </c>
      <c r="E854" s="7">
        <f t="shared" si="270"/>
        <v>1</v>
      </c>
      <c r="G854" s="4">
        <f t="shared" si="271"/>
        <v>8419.9999999999491</v>
      </c>
      <c r="H854" s="1">
        <f t="shared" si="282"/>
        <v>8.4527525489476432</v>
      </c>
      <c r="I854" s="1">
        <f t="shared" si="283"/>
        <v>1940.2780295271359</v>
      </c>
      <c r="J854" s="1">
        <f t="shared" si="272"/>
        <v>64.67593431757119</v>
      </c>
      <c r="K854" s="7">
        <f t="shared" si="273"/>
        <v>5.3158302178825645</v>
      </c>
      <c r="L854" s="4">
        <f t="shared" si="274"/>
        <v>1183.0465806364068</v>
      </c>
      <c r="M854" s="1">
        <f t="shared" si="275"/>
        <v>1065.2274180892634</v>
      </c>
      <c r="N854" s="7">
        <f t="shared" si="276"/>
        <v>61.466673834285743</v>
      </c>
      <c r="O854" s="1">
        <f t="shared" si="277"/>
        <v>3000</v>
      </c>
      <c r="P854" s="2">
        <f t="shared" si="278"/>
        <v>1.2602136545706513</v>
      </c>
      <c r="Q854" s="2">
        <f t="shared" si="265"/>
        <v>1887.1440786092116</v>
      </c>
      <c r="S854" s="1">
        <f t="shared" si="266"/>
        <v>3000</v>
      </c>
      <c r="T854" s="1">
        <f t="shared" si="267"/>
        <v>1183.0465806364068</v>
      </c>
      <c r="V854" s="1">
        <f t="shared" si="279"/>
        <v>1183.0465806364068</v>
      </c>
      <c r="W854" s="1">
        <f t="shared" si="280"/>
        <v>3000</v>
      </c>
    </row>
    <row r="855" spans="1:23" x14ac:dyDescent="0.25">
      <c r="A855" s="2">
        <f t="shared" si="281"/>
        <v>84.299999999999486</v>
      </c>
      <c r="B855" s="7">
        <f t="shared" si="264"/>
        <v>4.2864253199120661</v>
      </c>
      <c r="C855" s="7">
        <f t="shared" si="268"/>
        <v>2.131405230957744</v>
      </c>
      <c r="D855" s="7">
        <f t="shared" si="269"/>
        <v>61.839798079438054</v>
      </c>
      <c r="E855" s="7">
        <f t="shared" si="270"/>
        <v>1</v>
      </c>
      <c r="G855" s="4">
        <f t="shared" si="271"/>
        <v>8429.9999999999491</v>
      </c>
      <c r="H855" s="1">
        <f t="shared" si="282"/>
        <v>8.5152539180943378</v>
      </c>
      <c r="I855" s="1">
        <f t="shared" si="283"/>
        <v>1948.7932834452301</v>
      </c>
      <c r="J855" s="1">
        <f t="shared" si="272"/>
        <v>64.959776114841006</v>
      </c>
      <c r="K855" s="7">
        <f t="shared" si="273"/>
        <v>5.3391596806718633</v>
      </c>
      <c r="L855" s="4">
        <f t="shared" si="274"/>
        <v>1174.3631013457716</v>
      </c>
      <c r="M855" s="1">
        <f t="shared" si="275"/>
        <v>1065.7026154788721</v>
      </c>
      <c r="N855" s="7">
        <f t="shared" si="276"/>
        <v>61.839798079438054</v>
      </c>
      <c r="O855" s="1">
        <f t="shared" si="277"/>
        <v>3000</v>
      </c>
      <c r="P855" s="2">
        <f t="shared" si="278"/>
        <v>1.2515218286260685</v>
      </c>
      <c r="Q855" s="2">
        <f t="shared" si="265"/>
        <v>1903.0920541338619</v>
      </c>
      <c r="S855" s="1">
        <f t="shared" si="266"/>
        <v>3000</v>
      </c>
      <c r="T855" s="1">
        <f t="shared" si="267"/>
        <v>1174.3631013457716</v>
      </c>
      <c r="V855" s="1">
        <f t="shared" si="279"/>
        <v>1174.3631013457716</v>
      </c>
      <c r="W855" s="1">
        <f t="shared" si="280"/>
        <v>3000</v>
      </c>
    </row>
    <row r="856" spans="1:23" x14ac:dyDescent="0.25">
      <c r="A856" s="2">
        <f t="shared" si="281"/>
        <v>84.39999999999948</v>
      </c>
      <c r="B856" s="7">
        <f t="shared" si="264"/>
        <v>4.2549632573817053</v>
      </c>
      <c r="C856" s="7">
        <f t="shared" si="268"/>
        <v>2.1323560497075711</v>
      </c>
      <c r="D856" s="7">
        <f t="shared" si="269"/>
        <v>62.21518731948332</v>
      </c>
      <c r="E856" s="7">
        <f t="shared" si="270"/>
        <v>1</v>
      </c>
      <c r="G856" s="4">
        <f t="shared" si="271"/>
        <v>8439.9999999999472</v>
      </c>
      <c r="H856" s="1">
        <f t="shared" si="282"/>
        <v>8.5782174350557518</v>
      </c>
      <c r="I856" s="1">
        <f t="shared" si="283"/>
        <v>1957.3715008802858</v>
      </c>
      <c r="J856" s="1">
        <f t="shared" si="272"/>
        <v>65.245716696009524</v>
      </c>
      <c r="K856" s="7">
        <f t="shared" si="273"/>
        <v>5.362661646247358</v>
      </c>
      <c r="L856" s="4">
        <f t="shared" si="274"/>
        <v>1165.7433581867685</v>
      </c>
      <c r="M856" s="1">
        <f t="shared" si="275"/>
        <v>1066.1780248537855</v>
      </c>
      <c r="N856" s="7">
        <f t="shared" si="276"/>
        <v>62.21518731948332</v>
      </c>
      <c r="O856" s="1">
        <f t="shared" si="277"/>
        <v>3000</v>
      </c>
      <c r="P856" s="2">
        <f t="shared" si="278"/>
        <v>1.2428899511179878</v>
      </c>
      <c r="Q856" s="2">
        <f t="shared" si="265"/>
        <v>1919.4733611430888</v>
      </c>
      <c r="S856" s="1">
        <f t="shared" si="266"/>
        <v>3000</v>
      </c>
      <c r="T856" s="1">
        <f t="shared" si="267"/>
        <v>1165.7433581867685</v>
      </c>
      <c r="V856" s="1">
        <f t="shared" si="279"/>
        <v>1165.7433581867685</v>
      </c>
      <c r="W856" s="1">
        <f t="shared" si="280"/>
        <v>3000</v>
      </c>
    </row>
    <row r="857" spans="1:23" x14ac:dyDescent="0.25">
      <c r="A857" s="2">
        <f t="shared" si="281"/>
        <v>84.499999999999474</v>
      </c>
      <c r="B857" s="7">
        <f t="shared" si="264"/>
        <v>4.2237321241933437</v>
      </c>
      <c r="C857" s="7">
        <f t="shared" si="268"/>
        <v>2.1333072926171415</v>
      </c>
      <c r="D857" s="7">
        <f t="shared" si="269"/>
        <v>62.592855303734112</v>
      </c>
      <c r="E857" s="7">
        <f t="shared" si="270"/>
        <v>1</v>
      </c>
      <c r="G857" s="4">
        <f t="shared" si="271"/>
        <v>8449.9999999999472</v>
      </c>
      <c r="H857" s="1">
        <f t="shared" si="282"/>
        <v>8.6416465170529353</v>
      </c>
      <c r="I857" s="1">
        <f t="shared" si="283"/>
        <v>1966.0131473973388</v>
      </c>
      <c r="J857" s="1">
        <f t="shared" si="272"/>
        <v>65.533771579911289</v>
      </c>
      <c r="K857" s="7">
        <f t="shared" si="273"/>
        <v>5.3863373901296949</v>
      </c>
      <c r="L857" s="4">
        <f t="shared" si="274"/>
        <v>1157.186883340642</v>
      </c>
      <c r="M857" s="1">
        <f t="shared" si="275"/>
        <v>1066.6536463085708</v>
      </c>
      <c r="N857" s="7">
        <f t="shared" si="276"/>
        <v>62.592855303734112</v>
      </c>
      <c r="O857" s="1">
        <f t="shared" si="277"/>
        <v>3000</v>
      </c>
      <c r="P857" s="2">
        <f t="shared" si="278"/>
        <v>1.2343176085757466</v>
      </c>
      <c r="Q857" s="2">
        <f t="shared" si="265"/>
        <v>1936.304728319727</v>
      </c>
      <c r="S857" s="1">
        <f t="shared" si="266"/>
        <v>3000</v>
      </c>
      <c r="T857" s="1">
        <f t="shared" si="267"/>
        <v>1157.186883340642</v>
      </c>
      <c r="V857" s="1">
        <f t="shared" si="279"/>
        <v>1157.186883340642</v>
      </c>
      <c r="W857" s="1">
        <f t="shared" si="280"/>
        <v>3000</v>
      </c>
    </row>
    <row r="858" spans="1:23" x14ac:dyDescent="0.25">
      <c r="A858" s="2">
        <f t="shared" si="281"/>
        <v>84.599999999999469</v>
      </c>
      <c r="B858" s="7">
        <f t="shared" si="264"/>
        <v>4.1927302253417409</v>
      </c>
      <c r="C858" s="7">
        <f t="shared" si="268"/>
        <v>2.1342589598756718</v>
      </c>
      <c r="D858" s="7">
        <f t="shared" si="269"/>
        <v>62.972815864966023</v>
      </c>
      <c r="E858" s="7">
        <f t="shared" si="270"/>
        <v>1</v>
      </c>
      <c r="G858" s="4">
        <f t="shared" si="271"/>
        <v>8459.9999999999454</v>
      </c>
      <c r="H858" s="1">
        <f t="shared" si="282"/>
        <v>8.7055446065620217</v>
      </c>
      <c r="I858" s="1">
        <f t="shared" si="283"/>
        <v>1974.7186920039007</v>
      </c>
      <c r="J858" s="1">
        <f t="shared" si="272"/>
        <v>65.823956400130029</v>
      </c>
      <c r="K858" s="7">
        <f t="shared" si="273"/>
        <v>5.4101881972709611</v>
      </c>
      <c r="L858" s="4">
        <f t="shared" si="274"/>
        <v>1148.6932124223947</v>
      </c>
      <c r="M858" s="1">
        <f t="shared" si="275"/>
        <v>1067.1294799378359</v>
      </c>
      <c r="N858" s="7">
        <f t="shared" si="276"/>
        <v>62.972815864966023</v>
      </c>
      <c r="O858" s="1">
        <f t="shared" si="277"/>
        <v>3000</v>
      </c>
      <c r="P858" s="2">
        <f t="shared" si="278"/>
        <v>1.2258043903804321</v>
      </c>
      <c r="Q858" s="2">
        <f t="shared" si="265"/>
        <v>1953.6037600755405</v>
      </c>
      <c r="S858" s="1">
        <f t="shared" si="266"/>
        <v>3000</v>
      </c>
      <c r="T858" s="1">
        <f t="shared" si="267"/>
        <v>1148.6932124223947</v>
      </c>
      <c r="V858" s="1">
        <f t="shared" si="279"/>
        <v>1148.6932124223947</v>
      </c>
      <c r="W858" s="1">
        <f t="shared" si="280"/>
        <v>3000</v>
      </c>
    </row>
    <row r="859" spans="1:23" x14ac:dyDescent="0.25">
      <c r="A859" s="2">
        <f t="shared" si="281"/>
        <v>84.699999999999463</v>
      </c>
      <c r="B859" s="7">
        <f t="shared" si="264"/>
        <v>4.1619558782628703</v>
      </c>
      <c r="C859" s="7">
        <f t="shared" si="268"/>
        <v>2.1352110516724649</v>
      </c>
      <c r="D859" s="7">
        <f t="shared" si="269"/>
        <v>63.355082919924591</v>
      </c>
      <c r="E859" s="7">
        <f t="shared" si="270"/>
        <v>1</v>
      </c>
      <c r="G859" s="4">
        <f t="shared" si="271"/>
        <v>8469.9999999999454</v>
      </c>
      <c r="H859" s="1">
        <f t="shared" si="282"/>
        <v>8.7699151715261507</v>
      </c>
      <c r="I859" s="1">
        <f t="shared" si="283"/>
        <v>1983.488607175427</v>
      </c>
      <c r="J859" s="1">
        <f t="shared" si="272"/>
        <v>66.116286905847559</v>
      </c>
      <c r="K859" s="7">
        <f t="shared" si="273"/>
        <v>5.4342153621244575</v>
      </c>
      <c r="L859" s="4">
        <f t="shared" si="274"/>
        <v>1140.2618844555811</v>
      </c>
      <c r="M859" s="1">
        <f t="shared" si="275"/>
        <v>1067.6055258362326</v>
      </c>
      <c r="N859" s="7">
        <f t="shared" si="276"/>
        <v>63.355082919924591</v>
      </c>
      <c r="O859" s="1">
        <f t="shared" si="277"/>
        <v>3000</v>
      </c>
      <c r="P859" s="2">
        <f t="shared" si="278"/>
        <v>1.2173498887452141</v>
      </c>
      <c r="Q859" s="2">
        <f t="shared" si="265"/>
        <v>1971.3889946115316</v>
      </c>
      <c r="S859" s="1">
        <f t="shared" si="266"/>
        <v>3000</v>
      </c>
      <c r="T859" s="1">
        <f t="shared" si="267"/>
        <v>1140.2618844555811</v>
      </c>
      <c r="V859" s="1">
        <f t="shared" si="279"/>
        <v>1140.2618844555811</v>
      </c>
      <c r="W859" s="1">
        <f t="shared" si="280"/>
        <v>3000</v>
      </c>
    </row>
    <row r="860" spans="1:23" x14ac:dyDescent="0.25">
      <c r="A860" s="2">
        <f t="shared" si="281"/>
        <v>84.799999999999457</v>
      </c>
      <c r="B860" s="7">
        <f t="shared" si="264"/>
        <v>4.1314074127426093</v>
      </c>
      <c r="C860" s="7">
        <f t="shared" si="268"/>
        <v>2.1361635681969067</v>
      </c>
      <c r="D860" s="7">
        <f t="shared" si="269"/>
        <v>63.739670469834827</v>
      </c>
      <c r="E860" s="7">
        <f t="shared" si="270"/>
        <v>1</v>
      </c>
      <c r="G860" s="4">
        <f t="shared" si="271"/>
        <v>8479.9999999999454</v>
      </c>
      <c r="H860" s="1">
        <f t="shared" si="282"/>
        <v>8.8347617055200338</v>
      </c>
      <c r="I860" s="1">
        <f t="shared" si="283"/>
        <v>1992.3233688809471</v>
      </c>
      <c r="J860" s="1">
        <f t="shared" si="272"/>
        <v>66.410778962698231</v>
      </c>
      <c r="K860" s="7">
        <f t="shared" si="273"/>
        <v>5.458420188714924</v>
      </c>
      <c r="L860" s="4">
        <f t="shared" si="274"/>
        <v>1131.89244184729</v>
      </c>
      <c r="M860" s="1">
        <f t="shared" si="275"/>
        <v>1068.0817840984532</v>
      </c>
      <c r="N860" s="7">
        <f t="shared" si="276"/>
        <v>63.739670469834827</v>
      </c>
      <c r="O860" s="1">
        <f t="shared" si="277"/>
        <v>3000</v>
      </c>
      <c r="P860" s="2">
        <f t="shared" si="278"/>
        <v>1.2089536986958083</v>
      </c>
      <c r="Q860" s="2">
        <f t="shared" si="265"/>
        <v>1989.6799666595396</v>
      </c>
      <c r="S860" s="1">
        <f t="shared" si="266"/>
        <v>3000</v>
      </c>
      <c r="T860" s="1">
        <f t="shared" si="267"/>
        <v>1131.89244184729</v>
      </c>
      <c r="V860" s="1">
        <f t="shared" si="279"/>
        <v>1131.89244184729</v>
      </c>
      <c r="W860" s="1">
        <f t="shared" si="280"/>
        <v>3000</v>
      </c>
    </row>
    <row r="861" spans="1:23" x14ac:dyDescent="0.25">
      <c r="A861" s="2">
        <f t="shared" si="281"/>
        <v>84.899999999999451</v>
      </c>
      <c r="B861" s="7">
        <f t="shared" si="264"/>
        <v>4.101083170826092</v>
      </c>
      <c r="C861" s="7">
        <f t="shared" si="268"/>
        <v>2.1371165096384677</v>
      </c>
      <c r="D861" s="7">
        <f t="shared" si="269"/>
        <v>64.12659260091408</v>
      </c>
      <c r="E861" s="7">
        <f t="shared" si="270"/>
        <v>1</v>
      </c>
      <c r="G861" s="4">
        <f t="shared" si="271"/>
        <v>8489.9999999999454</v>
      </c>
      <c r="H861" s="1">
        <f t="shared" si="282"/>
        <v>8.9000877279569313</v>
      </c>
      <c r="I861" s="1">
        <f t="shared" si="283"/>
        <v>2001.2234566089041</v>
      </c>
      <c r="J861" s="1">
        <f t="shared" si="272"/>
        <v>66.707448553630144</v>
      </c>
      <c r="K861" s="7">
        <f t="shared" si="273"/>
        <v>5.4828039907093267</v>
      </c>
      <c r="L861" s="4">
        <f t="shared" si="274"/>
        <v>1123.5844303633128</v>
      </c>
      <c r="M861" s="1">
        <f t="shared" si="275"/>
        <v>1068.5582548192338</v>
      </c>
      <c r="N861" s="7">
        <f t="shared" si="276"/>
        <v>64.12659260091408</v>
      </c>
      <c r="O861" s="1">
        <f t="shared" si="277"/>
        <v>3000</v>
      </c>
      <c r="P861" s="2">
        <f t="shared" si="278"/>
        <v>1.2006154180510842</v>
      </c>
      <c r="Q861" s="2">
        <f t="shared" si="265"/>
        <v>2008.497275351496</v>
      </c>
      <c r="S861" s="1">
        <f t="shared" si="266"/>
        <v>3000</v>
      </c>
      <c r="T861" s="1">
        <f t="shared" si="267"/>
        <v>1123.5844303633128</v>
      </c>
      <c r="V861" s="1">
        <f t="shared" si="279"/>
        <v>1123.5844303633128</v>
      </c>
      <c r="W861" s="1">
        <f t="shared" si="280"/>
        <v>3000</v>
      </c>
    </row>
    <row r="862" spans="1:23" x14ac:dyDescent="0.25">
      <c r="A862" s="2">
        <f t="shared" si="281"/>
        <v>84.999999999999446</v>
      </c>
      <c r="B862" s="7">
        <f t="shared" si="264"/>
        <v>4.0709815067277217</v>
      </c>
      <c r="C862" s="7">
        <f t="shared" si="268"/>
        <v>2.138069876186703</v>
      </c>
      <c r="D862" s="7">
        <f t="shared" si="269"/>
        <v>64.515863484887944</v>
      </c>
      <c r="E862" s="7">
        <f t="shared" si="270"/>
        <v>1</v>
      </c>
      <c r="G862" s="4">
        <f t="shared" si="271"/>
        <v>8499.9999999999454</v>
      </c>
      <c r="H862" s="1">
        <f t="shared" si="282"/>
        <v>8.9658967842717878</v>
      </c>
      <c r="I862" s="1">
        <f t="shared" si="283"/>
        <v>2010.1893533931759</v>
      </c>
      <c r="J862" s="1">
        <f t="shared" si="272"/>
        <v>67.006311779772531</v>
      </c>
      <c r="K862" s="7">
        <f t="shared" si="273"/>
        <v>5.5073680914881535</v>
      </c>
      <c r="L862" s="4">
        <f t="shared" si="274"/>
        <v>1115.3373991034855</v>
      </c>
      <c r="M862" s="1">
        <f t="shared" si="275"/>
        <v>1069.0349380933515</v>
      </c>
      <c r="N862" s="7">
        <f t="shared" si="276"/>
        <v>64.515863484887944</v>
      </c>
      <c r="O862" s="1">
        <f t="shared" si="277"/>
        <v>3000</v>
      </c>
      <c r="P862" s="2">
        <f t="shared" si="278"/>
        <v>1.1923346474037944</v>
      </c>
      <c r="Q862" s="2">
        <f t="shared" si="265"/>
        <v>2027.8626577119971</v>
      </c>
      <c r="S862" s="1">
        <f t="shared" si="266"/>
        <v>3000</v>
      </c>
      <c r="T862" s="1">
        <f t="shared" si="267"/>
        <v>1115.3373991034855</v>
      </c>
      <c r="V862" s="1">
        <f t="shared" si="279"/>
        <v>1115.3373991034855</v>
      </c>
      <c r="W862" s="1">
        <f t="shared" si="280"/>
        <v>3000</v>
      </c>
    </row>
    <row r="863" spans="1:23" x14ac:dyDescent="0.25">
      <c r="A863" s="2">
        <f t="shared" si="281"/>
        <v>85.09999999999944</v>
      </c>
      <c r="B863" s="7">
        <f t="shared" si="264"/>
        <v>4.0411007867418594</v>
      </c>
      <c r="C863" s="7">
        <f t="shared" si="268"/>
        <v>2.1390236680312533</v>
      </c>
      <c r="D863" s="7">
        <f t="shared" si="269"/>
        <v>64.907497379509479</v>
      </c>
      <c r="E863" s="7">
        <f t="shared" si="270"/>
        <v>1</v>
      </c>
      <c r="G863" s="4">
        <f t="shared" si="271"/>
        <v>8509.9999999999454</v>
      </c>
      <c r="H863" s="1">
        <f t="shared" si="282"/>
        <v>9.0321924461151966</v>
      </c>
      <c r="I863" s="1">
        <f t="shared" si="283"/>
        <v>2019.2215458392911</v>
      </c>
      <c r="J863" s="1">
        <f t="shared" si="272"/>
        <v>67.3073848613097</v>
      </c>
      <c r="K863" s="7">
        <f t="shared" si="273"/>
        <v>5.5321138242172356</v>
      </c>
      <c r="L863" s="4">
        <f t="shared" si="274"/>
        <v>1107.1509004772217</v>
      </c>
      <c r="M863" s="1">
        <f t="shared" si="275"/>
        <v>1069.5118340156266</v>
      </c>
      <c r="N863" s="7">
        <f t="shared" si="276"/>
        <v>64.907497379509479</v>
      </c>
      <c r="O863" s="1">
        <f t="shared" si="277"/>
        <v>3000</v>
      </c>
      <c r="P863" s="2">
        <f t="shared" si="278"/>
        <v>1.1841109901014459</v>
      </c>
      <c r="Q863" s="2">
        <f t="shared" si="265"/>
        <v>2047.7990683253911</v>
      </c>
      <c r="S863" s="1">
        <f t="shared" si="266"/>
        <v>3000</v>
      </c>
      <c r="T863" s="1">
        <f t="shared" si="267"/>
        <v>1107.1509004772217</v>
      </c>
      <c r="V863" s="1">
        <f t="shared" si="279"/>
        <v>1107.1509004772217</v>
      </c>
      <c r="W863" s="1">
        <f t="shared" si="280"/>
        <v>3000</v>
      </c>
    </row>
    <row r="864" spans="1:23" x14ac:dyDescent="0.25">
      <c r="A864" s="2">
        <f t="shared" si="281"/>
        <v>85.199999999999434</v>
      </c>
      <c r="B864" s="7">
        <f t="shared" si="264"/>
        <v>4.0114393891541402</v>
      </c>
      <c r="C864" s="7">
        <f t="shared" si="268"/>
        <v>2.1399778853618425</v>
      </c>
      <c r="D864" s="7">
        <f t="shared" si="269"/>
        <v>65.301508629081056</v>
      </c>
      <c r="E864" s="7">
        <f t="shared" si="270"/>
        <v>1</v>
      </c>
      <c r="G864" s="4">
        <f t="shared" si="271"/>
        <v>8519.9999999999436</v>
      </c>
      <c r="H864" s="1">
        <f t="shared" si="282"/>
        <v>9.0989783115456255</v>
      </c>
      <c r="I864" s="1">
        <f t="shared" si="283"/>
        <v>2028.3205241508367</v>
      </c>
      <c r="J864" s="1">
        <f t="shared" si="272"/>
        <v>67.610684138361222</v>
      </c>
      <c r="K864" s="7">
        <f t="shared" si="273"/>
        <v>5.5570425319201009</v>
      </c>
      <c r="L864" s="4">
        <f t="shared" si="274"/>
        <v>1099.0244901792166</v>
      </c>
      <c r="M864" s="1">
        <f t="shared" si="275"/>
        <v>1069.9889426809214</v>
      </c>
      <c r="N864" s="7">
        <f t="shared" si="276"/>
        <v>65.301508629081056</v>
      </c>
      <c r="O864" s="1">
        <f t="shared" si="277"/>
        <v>3000</v>
      </c>
      <c r="P864" s="2">
        <f t="shared" si="278"/>
        <v>1.1759440522272988</v>
      </c>
      <c r="Q864" s="2">
        <f t="shared" si="265"/>
        <v>2068.3307657911246</v>
      </c>
      <c r="S864" s="1">
        <f t="shared" si="266"/>
        <v>3000</v>
      </c>
      <c r="T864" s="1">
        <f t="shared" si="267"/>
        <v>1099.0244901792166</v>
      </c>
      <c r="V864" s="1">
        <f t="shared" si="279"/>
        <v>1099.0244901792166</v>
      </c>
      <c r="W864" s="1">
        <f t="shared" si="280"/>
        <v>3000</v>
      </c>
    </row>
    <row r="865" spans="1:23" x14ac:dyDescent="0.25">
      <c r="A865" s="2">
        <f t="shared" si="281"/>
        <v>85.299999999999429</v>
      </c>
      <c r="B865" s="7">
        <f t="shared" si="264"/>
        <v>3.981995704153487</v>
      </c>
      <c r="C865" s="7">
        <f t="shared" si="268"/>
        <v>2.1409325283682801</v>
      </c>
      <c r="D865" s="7">
        <f t="shared" si="269"/>
        <v>65.697911664980197</v>
      </c>
      <c r="E865" s="7">
        <f t="shared" si="270"/>
        <v>1</v>
      </c>
      <c r="G865" s="4">
        <f t="shared" si="271"/>
        <v>8529.9999999999418</v>
      </c>
      <c r="H865" s="1">
        <f t="shared" si="282"/>
        <v>9.1662580052312528</v>
      </c>
      <c r="I865" s="1">
        <f t="shared" si="283"/>
        <v>2037.4867821560679</v>
      </c>
      <c r="J865" s="1">
        <f t="shared" si="272"/>
        <v>67.916226071868934</v>
      </c>
      <c r="K865" s="7">
        <f t="shared" si="273"/>
        <v>5.5821555675508705</v>
      </c>
      <c r="L865" s="4">
        <f t="shared" si="274"/>
        <v>1090.9577271653388</v>
      </c>
      <c r="M865" s="1">
        <f t="shared" si="275"/>
        <v>1070.4662641841401</v>
      </c>
      <c r="N865" s="7">
        <f t="shared" si="276"/>
        <v>65.697911664980197</v>
      </c>
      <c r="O865" s="1">
        <f t="shared" si="277"/>
        <v>3000</v>
      </c>
      <c r="P865" s="2">
        <f t="shared" si="278"/>
        <v>1.1678334425815007</v>
      </c>
      <c r="Q865" s="2">
        <f t="shared" si="265"/>
        <v>2089.4834066520293</v>
      </c>
      <c r="S865" s="1">
        <f t="shared" si="266"/>
        <v>3000</v>
      </c>
      <c r="T865" s="1">
        <f t="shared" si="267"/>
        <v>1090.9577271653388</v>
      </c>
      <c r="V865" s="1">
        <f t="shared" si="279"/>
        <v>1090.9577271653388</v>
      </c>
      <c r="W865" s="1">
        <f t="shared" si="280"/>
        <v>3000</v>
      </c>
    </row>
    <row r="866" spans="1:23" x14ac:dyDescent="0.25">
      <c r="A866" s="2">
        <f t="shared" si="281"/>
        <v>85.399999999999423</v>
      </c>
      <c r="B866" s="7">
        <f t="shared" si="264"/>
        <v>3.952768133744708</v>
      </c>
      <c r="C866" s="7">
        <f t="shared" si="268"/>
        <v>2.141887597240459</v>
      </c>
      <c r="D866" s="7">
        <f t="shared" si="269"/>
        <v>66.096721006187892</v>
      </c>
      <c r="E866" s="7">
        <f t="shared" si="270"/>
        <v>1</v>
      </c>
      <c r="G866" s="4">
        <f t="shared" si="271"/>
        <v>8539.9999999999418</v>
      </c>
      <c r="H866" s="1">
        <f t="shared" si="282"/>
        <v>9.2340351786385302</v>
      </c>
      <c r="I866" s="1">
        <f t="shared" si="283"/>
        <v>2046.7208173347065</v>
      </c>
      <c r="J866" s="1">
        <f t="shared" si="272"/>
        <v>68.224027244490216</v>
      </c>
      <c r="K866" s="7">
        <f t="shared" si="273"/>
        <v>5.607454294067689</v>
      </c>
      <c r="L866" s="4">
        <f t="shared" si="274"/>
        <v>1082.950173628687</v>
      </c>
      <c r="M866" s="1">
        <f t="shared" si="275"/>
        <v>1070.9437986202295</v>
      </c>
      <c r="N866" s="7">
        <f t="shared" si="276"/>
        <v>66.096721006187892</v>
      </c>
      <c r="O866" s="1">
        <f t="shared" si="277"/>
        <v>3000</v>
      </c>
      <c r="P866" s="2">
        <f t="shared" si="278"/>
        <v>1.1597787726623432</v>
      </c>
      <c r="Q866" s="2">
        <f t="shared" si="265"/>
        <v>2111.2841475599585</v>
      </c>
      <c r="S866" s="1">
        <f t="shared" si="266"/>
        <v>3000</v>
      </c>
      <c r="T866" s="1">
        <f t="shared" si="267"/>
        <v>1082.950173628687</v>
      </c>
      <c r="V866" s="1">
        <f t="shared" si="279"/>
        <v>1082.950173628687</v>
      </c>
      <c r="W866" s="1">
        <f t="shared" si="280"/>
        <v>3000</v>
      </c>
    </row>
    <row r="867" spans="1:23" x14ac:dyDescent="0.25">
      <c r="A867" s="2">
        <f t="shared" si="281"/>
        <v>85.499999999999417</v>
      </c>
      <c r="B867" s="7">
        <f t="shared" si="264"/>
        <v>3.9237550916617909</v>
      </c>
      <c r="C867" s="7">
        <f t="shared" si="268"/>
        <v>2.1428430921683583</v>
      </c>
      <c r="D867" s="7">
        <f t="shared" si="269"/>
        <v>66.497951259820397</v>
      </c>
      <c r="E867" s="7">
        <f t="shared" si="270"/>
        <v>1</v>
      </c>
      <c r="G867" s="4">
        <f t="shared" si="271"/>
        <v>8549.9999999999418</v>
      </c>
      <c r="H867" s="1">
        <f t="shared" si="282"/>
        <v>9.3023135102301957</v>
      </c>
      <c r="I867" s="1">
        <f t="shared" si="283"/>
        <v>2056.0231308449365</v>
      </c>
      <c r="J867" s="1">
        <f t="shared" si="272"/>
        <v>68.534104361497882</v>
      </c>
      <c r="K867" s="7">
        <f t="shared" si="273"/>
        <v>5.632940084506675</v>
      </c>
      <c r="L867" s="4">
        <f t="shared" si="274"/>
        <v>1075.0013949758331</v>
      </c>
      <c r="M867" s="1">
        <f t="shared" si="275"/>
        <v>1071.4215460841792</v>
      </c>
      <c r="N867" s="7">
        <f t="shared" si="276"/>
        <v>66.497951259820397</v>
      </c>
      <c r="O867" s="1">
        <f t="shared" si="277"/>
        <v>3000</v>
      </c>
      <c r="P867" s="2">
        <f t="shared" si="278"/>
        <v>1.1517796566476566</v>
      </c>
      <c r="Q867" s="2">
        <f t="shared" si="265"/>
        <v>2133.7617565342562</v>
      </c>
      <c r="S867" s="1">
        <f t="shared" si="266"/>
        <v>3000</v>
      </c>
      <c r="T867" s="1">
        <f t="shared" si="267"/>
        <v>1075.0013949758331</v>
      </c>
      <c r="V867" s="1">
        <f t="shared" si="279"/>
        <v>1075.0013949758331</v>
      </c>
      <c r="W867" s="1">
        <f t="shared" si="280"/>
        <v>3000</v>
      </c>
    </row>
    <row r="868" spans="1:23" x14ac:dyDescent="0.25">
      <c r="A868" s="2">
        <f t="shared" si="281"/>
        <v>85.599999999999412</v>
      </c>
      <c r="B868" s="7">
        <f t="shared" si="264"/>
        <v>3.8949550032818037</v>
      </c>
      <c r="C868" s="7">
        <f t="shared" si="268"/>
        <v>2.1437990133420417</v>
      </c>
      <c r="D868" s="7">
        <f t="shared" si="269"/>
        <v>66.90161712166433</v>
      </c>
      <c r="E868" s="7">
        <f t="shared" si="270"/>
        <v>1</v>
      </c>
      <c r="G868" s="4">
        <f t="shared" si="271"/>
        <v>8559.9999999999418</v>
      </c>
      <c r="H868" s="1">
        <f t="shared" si="282"/>
        <v>9.3710967056733381</v>
      </c>
      <c r="I868" s="1">
        <f t="shared" si="283"/>
        <v>2065.3942275506097</v>
      </c>
      <c r="J868" s="1">
        <f t="shared" si="272"/>
        <v>68.846474251686985</v>
      </c>
      <c r="K868" s="7">
        <f t="shared" si="273"/>
        <v>5.6586143220564651</v>
      </c>
      <c r="L868" s="4">
        <f t="shared" si="274"/>
        <v>1067.110959803234</v>
      </c>
      <c r="M868" s="1">
        <f t="shared" si="275"/>
        <v>1071.8995066710208</v>
      </c>
      <c r="N868" s="7">
        <f t="shared" si="276"/>
        <v>66.90161712166433</v>
      </c>
      <c r="O868" s="1">
        <f t="shared" si="277"/>
        <v>3000</v>
      </c>
      <c r="P868" s="2">
        <f t="shared" si="278"/>
        <v>1.1438357113763262</v>
      </c>
      <c r="Q868" s="2">
        <f t="shared" si="265"/>
        <v>2156.9467342713133</v>
      </c>
      <c r="S868" s="1">
        <f t="shared" si="266"/>
        <v>3000</v>
      </c>
      <c r="T868" s="1">
        <f t="shared" si="267"/>
        <v>1067.110959803234</v>
      </c>
      <c r="V868" s="1">
        <f t="shared" si="279"/>
        <v>1067.110959803234</v>
      </c>
      <c r="W868" s="1">
        <f t="shared" si="280"/>
        <v>3000</v>
      </c>
    </row>
    <row r="869" spans="1:23" x14ac:dyDescent="0.25">
      <c r="A869" s="2">
        <f t="shared" si="281"/>
        <v>85.699999999999406</v>
      </c>
      <c r="B869" s="7">
        <f t="shared" si="264"/>
        <v>3.8663663055394379</v>
      </c>
      <c r="C869" s="7">
        <f t="shared" si="268"/>
        <v>2.1447553609516565</v>
      </c>
      <c r="D869" s="7">
        <f t="shared" si="269"/>
        <v>67.307733376714879</v>
      </c>
      <c r="E869" s="7">
        <f t="shared" si="270"/>
        <v>1</v>
      </c>
      <c r="G869" s="4">
        <f t="shared" si="271"/>
        <v>8569.9999999999418</v>
      </c>
      <c r="H869" s="1">
        <f t="shared" si="282"/>
        <v>9.4403884980338155</v>
      </c>
      <c r="I869" s="1">
        <f t="shared" si="283"/>
        <v>2074.8346160486435</v>
      </c>
      <c r="J869" s="1">
        <f t="shared" si="272"/>
        <v>69.16115386828811</v>
      </c>
      <c r="K869" s="7">
        <f t="shared" si="273"/>
        <v>5.68447840013327</v>
      </c>
      <c r="L869" s="4">
        <f t="shared" si="274"/>
        <v>1059.2784398738183</v>
      </c>
      <c r="M869" s="1">
        <f t="shared" si="275"/>
        <v>1072.3776804758284</v>
      </c>
      <c r="N869" s="7">
        <f t="shared" si="276"/>
        <v>67.307733376714879</v>
      </c>
      <c r="O869" s="1">
        <f t="shared" si="277"/>
        <v>3000</v>
      </c>
      <c r="P869" s="2">
        <f t="shared" si="278"/>
        <v>1.1359465563299396</v>
      </c>
      <c r="Q869" s="2">
        <f t="shared" si="265"/>
        <v>2180.871446580813</v>
      </c>
      <c r="S869" s="1">
        <f t="shared" si="266"/>
        <v>3000</v>
      </c>
      <c r="T869" s="1">
        <f t="shared" si="267"/>
        <v>1059.2784398738183</v>
      </c>
      <c r="V869" s="1">
        <f t="shared" si="279"/>
        <v>1059.2784398738183</v>
      </c>
      <c r="W869" s="1">
        <f t="shared" si="280"/>
        <v>3000</v>
      </c>
    </row>
    <row r="870" spans="1:23" x14ac:dyDescent="0.25">
      <c r="A870" s="2">
        <f t="shared" si="281"/>
        <v>85.7999999999994</v>
      </c>
      <c r="B870" s="7">
        <f t="shared" si="264"/>
        <v>3.837987446842174</v>
      </c>
      <c r="C870" s="7">
        <f t="shared" si="268"/>
        <v>2.1457121351874355</v>
      </c>
      <c r="D870" s="7">
        <f t="shared" si="269"/>
        <v>67.716314899717219</v>
      </c>
      <c r="E870" s="7">
        <f t="shared" si="270"/>
        <v>1</v>
      </c>
      <c r="G870" s="4">
        <f t="shared" si="271"/>
        <v>8579.99999999994</v>
      </c>
      <c r="H870" s="1">
        <f t="shared" si="282"/>
        <v>9.5101926479787995</v>
      </c>
      <c r="I870" s="1">
        <f t="shared" si="283"/>
        <v>2084.3448086966223</v>
      </c>
      <c r="J870" s="1">
        <f t="shared" si="272"/>
        <v>69.478160289887413</v>
      </c>
      <c r="K870" s="7">
        <f t="shared" si="273"/>
        <v>5.7105337224564998</v>
      </c>
      <c r="L870" s="4">
        <f t="shared" si="274"/>
        <v>1051.5034100937462</v>
      </c>
      <c r="M870" s="1">
        <f t="shared" si="275"/>
        <v>1072.8560675937179</v>
      </c>
      <c r="N870" s="7">
        <f t="shared" si="276"/>
        <v>67.716314899717219</v>
      </c>
      <c r="O870" s="1">
        <f t="shared" si="277"/>
        <v>3000</v>
      </c>
      <c r="P870" s="2">
        <f t="shared" si="278"/>
        <v>1.1281118136145609</v>
      </c>
      <c r="Q870" s="2">
        <f t="shared" si="265"/>
        <v>2205.5702691577462</v>
      </c>
      <c r="S870" s="1">
        <f t="shared" si="266"/>
        <v>3000</v>
      </c>
      <c r="T870" s="1">
        <f t="shared" si="267"/>
        <v>1051.5034100937462</v>
      </c>
      <c r="V870" s="1">
        <f t="shared" si="279"/>
        <v>1051.5034100937462</v>
      </c>
      <c r="W870" s="1">
        <f t="shared" si="280"/>
        <v>3000</v>
      </c>
    </row>
    <row r="871" spans="1:23" x14ac:dyDescent="0.25">
      <c r="A871" s="2">
        <f t="shared" si="281"/>
        <v>85.899999999999395</v>
      </c>
      <c r="B871" s="7">
        <f t="shared" si="264"/>
        <v>3.80981688698607</v>
      </c>
      <c r="C871" s="7">
        <f t="shared" si="268"/>
        <v>2.1466693362396967</v>
      </c>
      <c r="D871" s="7">
        <f t="shared" si="269"/>
        <v>68.127376655711572</v>
      </c>
      <c r="E871" s="7">
        <f t="shared" si="270"/>
        <v>1</v>
      </c>
      <c r="G871" s="4">
        <f t="shared" si="271"/>
        <v>8589.99999999994</v>
      </c>
      <c r="H871" s="1">
        <f t="shared" si="282"/>
        <v>9.5805129439895467</v>
      </c>
      <c r="I871" s="1">
        <f t="shared" si="283"/>
        <v>2093.9253216406119</v>
      </c>
      <c r="J871" s="1">
        <f t="shared" si="272"/>
        <v>69.797510721353731</v>
      </c>
      <c r="K871" s="7">
        <f t="shared" si="273"/>
        <v>5.7367817031249642</v>
      </c>
      <c r="L871" s="4">
        <f t="shared" si="274"/>
        <v>1043.7854484893342</v>
      </c>
      <c r="M871" s="1">
        <f t="shared" si="275"/>
        <v>1073.3346681198484</v>
      </c>
      <c r="N871" s="7">
        <f t="shared" si="276"/>
        <v>68.127376655711572</v>
      </c>
      <c r="O871" s="1">
        <f t="shared" si="277"/>
        <v>3000</v>
      </c>
      <c r="P871" s="2">
        <f t="shared" si="278"/>
        <v>1.1203311079426266</v>
      </c>
      <c r="Q871" s="2">
        <f t="shared" si="265"/>
        <v>2231.0797460519252</v>
      </c>
      <c r="S871" s="1">
        <f t="shared" si="266"/>
        <v>3000</v>
      </c>
      <c r="T871" s="1">
        <f t="shared" si="267"/>
        <v>1043.7854484893342</v>
      </c>
      <c r="V871" s="1">
        <f t="shared" si="279"/>
        <v>1043.7854484893342</v>
      </c>
      <c r="W871" s="1">
        <f t="shared" si="280"/>
        <v>3000</v>
      </c>
    </row>
    <row r="872" spans="1:23" x14ac:dyDescent="0.25">
      <c r="A872" s="2">
        <f t="shared" si="281"/>
        <v>85.999999999999389</v>
      </c>
      <c r="B872" s="7">
        <f t="shared" si="264"/>
        <v>3.7818530970721853</v>
      </c>
      <c r="C872" s="7">
        <f t="shared" si="268"/>
        <v>2.1476269642988428</v>
      </c>
      <c r="D872" s="7">
        <f t="shared" si="269"/>
        <v>68.540933700581164</v>
      </c>
      <c r="E872" s="7">
        <f t="shared" si="270"/>
        <v>1</v>
      </c>
      <c r="G872" s="4">
        <f t="shared" si="271"/>
        <v>8599.99999999994</v>
      </c>
      <c r="H872" s="1">
        <f t="shared" si="282"/>
        <v>9.6513532025496644</v>
      </c>
      <c r="I872" s="1">
        <f t="shared" si="283"/>
        <v>2103.5766748431615</v>
      </c>
      <c r="J872" s="1">
        <f t="shared" si="272"/>
        <v>70.119222494772046</v>
      </c>
      <c r="K872" s="7">
        <f t="shared" si="273"/>
        <v>5.763223766693593</v>
      </c>
      <c r="L872" s="4">
        <f t="shared" si="274"/>
        <v>1036.1241361841603</v>
      </c>
      <c r="M872" s="1">
        <f t="shared" si="275"/>
        <v>1073.8134821494214</v>
      </c>
      <c r="N872" s="7">
        <f t="shared" si="276"/>
        <v>68.540933700581164</v>
      </c>
      <c r="O872" s="1">
        <f t="shared" si="277"/>
        <v>3000</v>
      </c>
      <c r="P872" s="2">
        <f t="shared" si="278"/>
        <v>1.1126040666149746</v>
      </c>
      <c r="Q872" s="2">
        <f t="shared" si="265"/>
        <v>2257.4387633711303</v>
      </c>
      <c r="S872" s="1">
        <f t="shared" si="266"/>
        <v>3000</v>
      </c>
      <c r="T872" s="1">
        <f t="shared" si="267"/>
        <v>1036.1241361841603</v>
      </c>
      <c r="V872" s="1">
        <f t="shared" si="279"/>
        <v>1036.1241361841603</v>
      </c>
      <c r="W872" s="1">
        <f t="shared" si="280"/>
        <v>3000</v>
      </c>
    </row>
    <row r="873" spans="1:23" x14ac:dyDescent="0.25">
      <c r="A873" s="2">
        <f t="shared" si="281"/>
        <v>86.099999999999383</v>
      </c>
      <c r="B873" s="7">
        <f t="shared" si="264"/>
        <v>3.7540945594235784</v>
      </c>
      <c r="C873" s="7">
        <f t="shared" si="268"/>
        <v>2.1485850195553611</v>
      </c>
      <c r="D873" s="7">
        <f t="shared" si="269"/>
        <v>68.957001181603687</v>
      </c>
      <c r="E873" s="7">
        <f t="shared" si="270"/>
        <v>1</v>
      </c>
      <c r="G873" s="4">
        <f t="shared" si="271"/>
        <v>8609.9999999999382</v>
      </c>
      <c r="H873" s="1">
        <f t="shared" si="282"/>
        <v>9.7227172683678322</v>
      </c>
      <c r="I873" s="1">
        <f t="shared" si="283"/>
        <v>2113.2993921115294</v>
      </c>
      <c r="J873" s="1">
        <f t="shared" si="272"/>
        <v>70.44331307038432</v>
      </c>
      <c r="K873" s="7">
        <f t="shared" si="273"/>
        <v>5.7898613482507653</v>
      </c>
      <c r="L873" s="4">
        <f t="shared" si="274"/>
        <v>1028.519057376323</v>
      </c>
      <c r="M873" s="1">
        <f t="shared" si="275"/>
        <v>1074.2925097776806</v>
      </c>
      <c r="N873" s="7">
        <f t="shared" si="276"/>
        <v>68.957001181603687</v>
      </c>
      <c r="O873" s="1">
        <f t="shared" si="277"/>
        <v>3000</v>
      </c>
      <c r="P873" s="2">
        <f t="shared" si="278"/>
        <v>1.1049303195029843</v>
      </c>
      <c r="Q873" s="2">
        <f t="shared" si="265"/>
        <v>2284.6887399541811</v>
      </c>
      <c r="S873" s="1">
        <f t="shared" si="266"/>
        <v>3000</v>
      </c>
      <c r="T873" s="1">
        <f t="shared" si="267"/>
        <v>1028.519057376323</v>
      </c>
      <c r="V873" s="1">
        <f t="shared" si="279"/>
        <v>1028.519057376323</v>
      </c>
      <c r="W873" s="1">
        <f t="shared" si="280"/>
        <v>3000</v>
      </c>
    </row>
    <row r="874" spans="1:23" x14ac:dyDescent="0.25">
      <c r="A874" s="2">
        <f t="shared" si="281"/>
        <v>86.199999999999378</v>
      </c>
      <c r="B874" s="7">
        <f t="shared" si="264"/>
        <v>3.7265397675029552</v>
      </c>
      <c r="C874" s="7">
        <f t="shared" si="268"/>
        <v>2.1495435021998244</v>
      </c>
      <c r="D874" s="7">
        <f t="shared" si="269"/>
        <v>69.375594338006138</v>
      </c>
      <c r="E874" s="7">
        <f t="shared" si="270"/>
        <v>1</v>
      </c>
      <c r="G874" s="4">
        <f t="shared" si="271"/>
        <v>8619.9999999999363</v>
      </c>
      <c r="H874" s="1">
        <f t="shared" si="282"/>
        <v>9.794609014584843</v>
      </c>
      <c r="I874" s="1">
        <f t="shared" si="283"/>
        <v>2123.0940011261141</v>
      </c>
      <c r="J874" s="1">
        <f t="shared" si="272"/>
        <v>70.769800037537138</v>
      </c>
      <c r="K874" s="7">
        <f t="shared" si="273"/>
        <v>5.8166958934962034</v>
      </c>
      <c r="L874" s="4">
        <f t="shared" si="274"/>
        <v>1020.9697993158784</v>
      </c>
      <c r="M874" s="1">
        <f t="shared" si="275"/>
        <v>1074.7717510999121</v>
      </c>
      <c r="N874" s="7">
        <f t="shared" si="276"/>
        <v>69.375594338006138</v>
      </c>
      <c r="O874" s="1">
        <f t="shared" si="277"/>
        <v>3000</v>
      </c>
      <c r="P874" s="2">
        <f t="shared" si="278"/>
        <v>1.0973094990308525</v>
      </c>
      <c r="Q874" s="2">
        <f t="shared" si="265"/>
        <v>2312.8738369802008</v>
      </c>
      <c r="S874" s="1">
        <f t="shared" si="266"/>
        <v>3000</v>
      </c>
      <c r="T874" s="1">
        <f t="shared" si="267"/>
        <v>1020.9697993158783</v>
      </c>
      <c r="V874" s="1">
        <f t="shared" si="279"/>
        <v>1020.9697993158783</v>
      </c>
      <c r="W874" s="1">
        <f t="shared" si="280"/>
        <v>3000</v>
      </c>
    </row>
    <row r="875" spans="1:23" x14ac:dyDescent="0.25">
      <c r="A875" s="2">
        <f t="shared" si="281"/>
        <v>86.299999999999372</v>
      </c>
      <c r="B875" s="7">
        <f t="shared" si="264"/>
        <v>3.6991872258308987</v>
      </c>
      <c r="C875" s="7">
        <f t="shared" si="268"/>
        <v>2.15050241242289</v>
      </c>
      <c r="D875" s="7">
        <f t="shared" si="269"/>
        <v>69.796728501522992</v>
      </c>
      <c r="E875" s="7">
        <f t="shared" si="270"/>
        <v>1</v>
      </c>
      <c r="G875" s="4">
        <f t="shared" si="271"/>
        <v>8629.9999999999382</v>
      </c>
      <c r="H875" s="1">
        <f t="shared" si="282"/>
        <v>9.8670323429785665</v>
      </c>
      <c r="I875" s="1">
        <f t="shared" si="283"/>
        <v>2132.9610334690929</v>
      </c>
      <c r="J875" s="1">
        <f t="shared" si="272"/>
        <v>71.09870111563643</v>
      </c>
      <c r="K875" s="7">
        <f t="shared" si="273"/>
        <v>5.843728858819432</v>
      </c>
      <c r="L875" s="4">
        <f t="shared" si="274"/>
        <v>1013.4759522824381</v>
      </c>
      <c r="M875" s="1">
        <f t="shared" si="275"/>
        <v>1075.2512062114449</v>
      </c>
      <c r="N875" s="7">
        <f t="shared" si="276"/>
        <v>69.796728501522992</v>
      </c>
      <c r="O875" s="1">
        <f t="shared" si="277"/>
        <v>3000</v>
      </c>
      <c r="P875" s="2">
        <f t="shared" si="278"/>
        <v>1.0897412401579845</v>
      </c>
      <c r="Q875" s="2">
        <f t="shared" si="265"/>
        <v>2342.0411887449573</v>
      </c>
      <c r="S875" s="1">
        <f t="shared" si="266"/>
        <v>3000</v>
      </c>
      <c r="T875" s="1">
        <f t="shared" si="267"/>
        <v>1013.475952282438</v>
      </c>
      <c r="V875" s="1">
        <f t="shared" si="279"/>
        <v>1013.475952282438</v>
      </c>
      <c r="W875" s="1">
        <f t="shared" si="280"/>
        <v>3000</v>
      </c>
    </row>
    <row r="876" spans="1:23" x14ac:dyDescent="0.25">
      <c r="A876" s="2">
        <f t="shared" si="281"/>
        <v>86.399999999999366</v>
      </c>
      <c r="B876" s="7">
        <f t="shared" ref="B876:B939" si="284">IF(A876&lt;=$B$2,$B$3*EXP(A876*$B$4),IF(A876&lt;$B$7,$B$6,IF($B$8*EXP(A876*$B$9)&gt;$B$6,$B$6,$B$8*EXP(A876*$B$9))))</f>
        <v>3.6720354499047083</v>
      </c>
      <c r="C876" s="7">
        <f t="shared" si="268"/>
        <v>2.1514617504153004</v>
      </c>
      <c r="D876" s="7">
        <f t="shared" si="269"/>
        <v>70.220419096957585</v>
      </c>
      <c r="E876" s="7">
        <f t="shared" si="270"/>
        <v>1</v>
      </c>
      <c r="G876" s="4">
        <f t="shared" si="271"/>
        <v>8639.9999999999363</v>
      </c>
      <c r="H876" s="1">
        <f t="shared" si="282"/>
        <v>9.9399911841647821</v>
      </c>
      <c r="I876" s="1">
        <f t="shared" si="283"/>
        <v>2142.9010246532575</v>
      </c>
      <c r="J876" s="1">
        <f t="shared" si="272"/>
        <v>71.430034155108586</v>
      </c>
      <c r="K876" s="7">
        <f t="shared" si="273"/>
        <v>5.8709617113787882</v>
      </c>
      <c r="L876" s="4">
        <f t="shared" si="274"/>
        <v>1006.0371095629338</v>
      </c>
      <c r="M876" s="1">
        <f t="shared" si="275"/>
        <v>1075.7308752076501</v>
      </c>
      <c r="N876" s="7">
        <f t="shared" si="276"/>
        <v>70.220419096957585</v>
      </c>
      <c r="O876" s="1">
        <f t="shared" si="277"/>
        <v>3000</v>
      </c>
      <c r="P876" s="2">
        <f t="shared" si="278"/>
        <v>1.0822251803615093</v>
      </c>
      <c r="Q876" s="2">
        <f t="shared" si="265"/>
        <v>2372.2411571407879</v>
      </c>
      <c r="S876" s="1">
        <f t="shared" si="266"/>
        <v>3000</v>
      </c>
      <c r="T876" s="1">
        <f t="shared" si="267"/>
        <v>1006.0371095629338</v>
      </c>
      <c r="V876" s="1">
        <f t="shared" si="279"/>
        <v>1006.0371095629338</v>
      </c>
      <c r="W876" s="1">
        <f t="shared" si="280"/>
        <v>3000</v>
      </c>
    </row>
    <row r="877" spans="1:23" x14ac:dyDescent="0.25">
      <c r="A877" s="2">
        <f t="shared" si="281"/>
        <v>86.499999999999361</v>
      </c>
      <c r="B877" s="7">
        <f t="shared" si="284"/>
        <v>3.6450829661178288</v>
      </c>
      <c r="C877" s="7">
        <f t="shared" si="268"/>
        <v>2.1524215163678839</v>
      </c>
      <c r="D877" s="7">
        <f t="shared" si="269"/>
        <v>70.646681642747353</v>
      </c>
      <c r="E877" s="7">
        <f t="shared" si="270"/>
        <v>1</v>
      </c>
      <c r="G877" s="4">
        <f t="shared" si="271"/>
        <v>8649.9999999999345</v>
      </c>
      <c r="H877" s="1">
        <f t="shared" si="282"/>
        <v>10.013489497844665</v>
      </c>
      <c r="I877" s="1">
        <f t="shared" si="283"/>
        <v>2152.9145141511021</v>
      </c>
      <c r="J877" s="1">
        <f t="shared" si="272"/>
        <v>71.763817138370072</v>
      </c>
      <c r="K877" s="7">
        <f t="shared" si="273"/>
        <v>5.8983959291811017</v>
      </c>
      <c r="L877" s="4">
        <f t="shared" si="274"/>
        <v>998.6528674295422</v>
      </c>
      <c r="M877" s="1">
        <f t="shared" si="275"/>
        <v>1076.2107581839421</v>
      </c>
      <c r="N877" s="7">
        <f t="shared" si="276"/>
        <v>70.646681642747353</v>
      </c>
      <c r="O877" s="1">
        <f t="shared" si="277"/>
        <v>3000</v>
      </c>
      <c r="P877" s="2">
        <f t="shared" si="278"/>
        <v>1.0747609596189154</v>
      </c>
      <c r="Q877" s="2">
        <f t="shared" si="265"/>
        <v>2403.5276127300176</v>
      </c>
      <c r="S877" s="1">
        <f t="shared" si="266"/>
        <v>3000</v>
      </c>
      <c r="T877" s="1">
        <f t="shared" si="267"/>
        <v>998.65286742954231</v>
      </c>
      <c r="V877" s="1">
        <f t="shared" si="279"/>
        <v>998.65286742954231</v>
      </c>
      <c r="W877" s="1">
        <f t="shared" si="280"/>
        <v>3000</v>
      </c>
    </row>
    <row r="878" spans="1:23" x14ac:dyDescent="0.25">
      <c r="A878" s="2">
        <f t="shared" si="281"/>
        <v>86.599999999999355</v>
      </c>
      <c r="B878" s="7">
        <f t="shared" si="284"/>
        <v>3.6183283116798703</v>
      </c>
      <c r="C878" s="7">
        <f t="shared" si="268"/>
        <v>2.1533817104715522</v>
      </c>
      <c r="D878" s="7">
        <f t="shared" si="269"/>
        <v>71.07553175153204</v>
      </c>
      <c r="E878" s="7">
        <f t="shared" si="270"/>
        <v>1</v>
      </c>
      <c r="G878" s="4">
        <f t="shared" si="271"/>
        <v>8659.9999999999363</v>
      </c>
      <c r="H878" s="1">
        <f t="shared" si="282"/>
        <v>10.087531272987468</v>
      </c>
      <c r="I878" s="1">
        <f t="shared" si="283"/>
        <v>2163.0020454240898</v>
      </c>
      <c r="J878" s="1">
        <f t="shared" si="272"/>
        <v>72.100068180802992</v>
      </c>
      <c r="K878" s="7">
        <f t="shared" si="273"/>
        <v>5.9260330011618896</v>
      </c>
      <c r="L878" s="4">
        <f t="shared" si="274"/>
        <v>991.32282511777271</v>
      </c>
      <c r="M878" s="1">
        <f t="shared" si="275"/>
        <v>1076.6908552357761</v>
      </c>
      <c r="N878" s="7">
        <f t="shared" si="276"/>
        <v>71.07553175153204</v>
      </c>
      <c r="O878" s="1">
        <f t="shared" si="277"/>
        <v>3000</v>
      </c>
      <c r="P878" s="2">
        <f t="shared" si="278"/>
        <v>1.0673482203908005</v>
      </c>
      <c r="Q878" s="2">
        <f t="shared" si="265"/>
        <v>2435.9582457115243</v>
      </c>
      <c r="S878" s="1">
        <f t="shared" si="266"/>
        <v>3000</v>
      </c>
      <c r="T878" s="1">
        <f t="shared" si="267"/>
        <v>991.32282511777271</v>
      </c>
      <c r="V878" s="1">
        <f t="shared" si="279"/>
        <v>991.32282511777271</v>
      </c>
      <c r="W878" s="1">
        <f t="shared" si="280"/>
        <v>3000</v>
      </c>
    </row>
    <row r="879" spans="1:23" x14ac:dyDescent="0.25">
      <c r="A879" s="2">
        <f t="shared" si="281"/>
        <v>86.699999999999349</v>
      </c>
      <c r="B879" s="7">
        <f t="shared" si="284"/>
        <v>3.5917700345372321</v>
      </c>
      <c r="C879" s="7">
        <f t="shared" si="268"/>
        <v>2.1543423329173046</v>
      </c>
      <c r="D879" s="7">
        <f t="shared" si="269"/>
        <v>71.506985130725582</v>
      </c>
      <c r="E879" s="7">
        <f t="shared" si="270"/>
        <v>1</v>
      </c>
      <c r="G879" s="4">
        <f t="shared" si="271"/>
        <v>8669.9999999999345</v>
      </c>
      <c r="H879" s="1">
        <f t="shared" si="282"/>
        <v>10.162120528046575</v>
      </c>
      <c r="I879" s="1">
        <f t="shared" si="283"/>
        <v>2173.1641659521365</v>
      </c>
      <c r="J879" s="1">
        <f t="shared" si="272"/>
        <v>72.438805531737884</v>
      </c>
      <c r="K879" s="7">
        <f t="shared" si="273"/>
        <v>5.9538744272661273</v>
      </c>
      <c r="L879" s="4">
        <f t="shared" si="274"/>
        <v>984.04658480472108</v>
      </c>
      <c r="M879" s="1">
        <f t="shared" si="275"/>
        <v>1077.1711664586524</v>
      </c>
      <c r="N879" s="7">
        <f t="shared" si="276"/>
        <v>71.506985130725582</v>
      </c>
      <c r="O879" s="1">
        <f t="shared" si="277"/>
        <v>3000</v>
      </c>
      <c r="P879" s="2">
        <f t="shared" si="278"/>
        <v>1.0599866076037545</v>
      </c>
      <c r="Q879" s="2">
        <f t="shared" si="265"/>
        <v>2469.5949105565605</v>
      </c>
      <c r="S879" s="1">
        <f t="shared" si="266"/>
        <v>3000</v>
      </c>
      <c r="T879" s="1">
        <f t="shared" si="267"/>
        <v>984.04658480472108</v>
      </c>
      <c r="V879" s="1">
        <f t="shared" si="279"/>
        <v>984.04658480472108</v>
      </c>
      <c r="W879" s="1">
        <f t="shared" si="280"/>
        <v>3000</v>
      </c>
    </row>
    <row r="880" spans="1:23" x14ac:dyDescent="0.25">
      <c r="A880" s="2">
        <f t="shared" si="281"/>
        <v>86.799999999999343</v>
      </c>
      <c r="B880" s="7">
        <f t="shared" si="284"/>
        <v>3.5654066932942774</v>
      </c>
      <c r="C880" s="7">
        <f t="shared" si="268"/>
        <v>2.1553033838962228</v>
      </c>
      <c r="D880" s="7">
        <f t="shared" si="269"/>
        <v>71.941057583091435</v>
      </c>
      <c r="E880" s="7">
        <f t="shared" si="270"/>
        <v>1</v>
      </c>
      <c r="G880" s="4">
        <f t="shared" si="271"/>
        <v>8679.9999999999345</v>
      </c>
      <c r="H880" s="1">
        <f t="shared" si="282"/>
        <v>10.237261311212613</v>
      </c>
      <c r="I880" s="1">
        <f t="shared" si="283"/>
        <v>2183.401427263349</v>
      </c>
      <c r="J880" s="1">
        <f t="shared" si="272"/>
        <v>72.780047575444968</v>
      </c>
      <c r="K880" s="7">
        <f t="shared" si="273"/>
        <v>5.9819217185297235</v>
      </c>
      <c r="L880" s="4">
        <f t="shared" si="274"/>
        <v>976.82375158747323</v>
      </c>
      <c r="M880" s="1">
        <f t="shared" si="275"/>
        <v>1077.6516919481114</v>
      </c>
      <c r="N880" s="7">
        <f t="shared" si="276"/>
        <v>71.941057583091435</v>
      </c>
      <c r="O880" s="1">
        <f t="shared" si="277"/>
        <v>3000</v>
      </c>
      <c r="P880" s="2">
        <f t="shared" si="278"/>
        <v>1.0526757686333421</v>
      </c>
      <c r="Q880" s="2">
        <f t="shared" ref="Q880:Q943" si="285">IFERROR(N880/100*L880/(1-N880/100),L880*100)</f>
        <v>2504.5040086449681</v>
      </c>
      <c r="S880" s="1">
        <f t="shared" si="266"/>
        <v>3000</v>
      </c>
      <c r="T880" s="1">
        <f t="shared" si="267"/>
        <v>976.82375158747323</v>
      </c>
      <c r="V880" s="1">
        <f t="shared" si="279"/>
        <v>976.82375158747323</v>
      </c>
      <c r="W880" s="1">
        <f t="shared" si="280"/>
        <v>3000</v>
      </c>
    </row>
    <row r="881" spans="1:23" x14ac:dyDescent="0.25">
      <c r="A881" s="2">
        <f t="shared" si="281"/>
        <v>86.899999999999338</v>
      </c>
      <c r="B881" s="7">
        <f t="shared" si="284"/>
        <v>3.5392368571351138</v>
      </c>
      <c r="C881" s="7">
        <f t="shared" si="268"/>
        <v>2.156264863599477</v>
      </c>
      <c r="D881" s="7">
        <f t="shared" si="269"/>
        <v>72.377765007321401</v>
      </c>
      <c r="E881" s="7">
        <f t="shared" si="270"/>
        <v>1</v>
      </c>
      <c r="G881" s="4">
        <f t="shared" si="271"/>
        <v>8689.9999999999345</v>
      </c>
      <c r="H881" s="1">
        <f t="shared" si="282"/>
        <v>10.312957700589005</v>
      </c>
      <c r="I881" s="1">
        <f t="shared" si="283"/>
        <v>2193.7143849639378</v>
      </c>
      <c r="J881" s="1">
        <f t="shared" si="272"/>
        <v>73.123812832131264</v>
      </c>
      <c r="K881" s="7">
        <f t="shared" si="273"/>
        <v>6.0101763971614739</v>
      </c>
      <c r="L881" s="4">
        <f t="shared" si="274"/>
        <v>969.65393346167502</v>
      </c>
      <c r="M881" s="1">
        <f t="shared" si="275"/>
        <v>1078.1324317997385</v>
      </c>
      <c r="N881" s="7">
        <f t="shared" si="276"/>
        <v>72.377765007321401</v>
      </c>
      <c r="O881" s="1">
        <f t="shared" si="277"/>
        <v>3000</v>
      </c>
      <c r="P881" s="2">
        <f t="shared" si="278"/>
        <v>1.0454153532872175</v>
      </c>
      <c r="Q881" s="2">
        <f t="shared" si="285"/>
        <v>2540.7569138817294</v>
      </c>
      <c r="S881" s="1">
        <f t="shared" si="266"/>
        <v>3000</v>
      </c>
      <c r="T881" s="1">
        <f t="shared" si="267"/>
        <v>969.65393346167502</v>
      </c>
      <c r="V881" s="1">
        <f t="shared" si="279"/>
        <v>969.65393346167502</v>
      </c>
      <c r="W881" s="1">
        <f t="shared" si="280"/>
        <v>3000</v>
      </c>
    </row>
    <row r="882" spans="1:23" x14ac:dyDescent="0.25">
      <c r="A882" s="2">
        <f t="shared" si="281"/>
        <v>86.999999999999332</v>
      </c>
      <c r="B882" s="7">
        <f t="shared" si="284"/>
        <v>3.5132591057459392</v>
      </c>
      <c r="C882" s="7">
        <f t="shared" si="268"/>
        <v>2.1572267722183192</v>
      </c>
      <c r="D882" s="7">
        <f t="shared" si="269"/>
        <v>72.817123398617738</v>
      </c>
      <c r="E882" s="7">
        <f t="shared" si="270"/>
        <v>1</v>
      </c>
      <c r="G882" s="4">
        <f t="shared" si="271"/>
        <v>8699.9999999999327</v>
      </c>
      <c r="H882" s="1">
        <f t="shared" si="282"/>
        <v>10.389213804440889</v>
      </c>
      <c r="I882" s="1">
        <f t="shared" si="283"/>
        <v>2204.1035987683786</v>
      </c>
      <c r="J882" s="1">
        <f t="shared" si="272"/>
        <v>73.470119958945958</v>
      </c>
      <c r="K882" s="7">
        <f t="shared" si="273"/>
        <v>6.0386399966256947</v>
      </c>
      <c r="L882" s="4">
        <f t="shared" si="274"/>
        <v>962.53674130025729</v>
      </c>
      <c r="M882" s="1">
        <f t="shared" si="275"/>
        <v>1078.6133861091596</v>
      </c>
      <c r="N882" s="7">
        <f t="shared" si="276"/>
        <v>72.817123398617738</v>
      </c>
      <c r="O882" s="1">
        <f t="shared" si="277"/>
        <v>3000</v>
      </c>
      <c r="P882" s="2">
        <f t="shared" si="278"/>
        <v>1.0382050137883467</v>
      </c>
      <c r="Q882" s="2">
        <f t="shared" si="285"/>
        <v>2578.4304470337092</v>
      </c>
      <c r="S882" s="1">
        <f t="shared" si="266"/>
        <v>3000</v>
      </c>
      <c r="T882" s="1">
        <f t="shared" si="267"/>
        <v>962.53674130025729</v>
      </c>
      <c r="V882" s="1">
        <f t="shared" si="279"/>
        <v>962.53674130025729</v>
      </c>
      <c r="W882" s="1">
        <f t="shared" si="280"/>
        <v>3000</v>
      </c>
    </row>
    <row r="883" spans="1:23" x14ac:dyDescent="0.25">
      <c r="A883" s="2">
        <f t="shared" si="281"/>
        <v>87.099999999999326</v>
      </c>
      <c r="B883" s="7">
        <f t="shared" si="284"/>
        <v>3.4874720292379542</v>
      </c>
      <c r="C883" s="7">
        <f t="shared" si="268"/>
        <v>2.1581891099440895</v>
      </c>
      <c r="D883" s="7">
        <f t="shared" si="269"/>
        <v>73.259148849279384</v>
      </c>
      <c r="E883" s="7">
        <f t="shared" si="270"/>
        <v>1</v>
      </c>
      <c r="G883" s="4">
        <f t="shared" si="271"/>
        <v>8709.9999999999309</v>
      </c>
      <c r="H883" s="1">
        <f t="shared" si="282"/>
        <v>10.466033761414556</v>
      </c>
      <c r="I883" s="1">
        <f t="shared" si="283"/>
        <v>2214.5696325297931</v>
      </c>
      <c r="J883" s="1">
        <f t="shared" si="272"/>
        <v>73.818987750993102</v>
      </c>
      <c r="K883" s="7">
        <f t="shared" si="273"/>
        <v>6.0673140617254608</v>
      </c>
      <c r="L883" s="4">
        <f t="shared" si="274"/>
        <v>955.47178883231618</v>
      </c>
      <c r="M883" s="1">
        <f t="shared" si="275"/>
        <v>1079.0945549720448</v>
      </c>
      <c r="N883" s="7">
        <f t="shared" si="276"/>
        <v>73.259148849279384</v>
      </c>
      <c r="O883" s="1">
        <f t="shared" si="277"/>
        <v>3000</v>
      </c>
      <c r="P883" s="2">
        <f t="shared" si="278"/>
        <v>1.0310444047583518</v>
      </c>
      <c r="Q883" s="2">
        <f t="shared" si="285"/>
        <v>2617.6074054197643</v>
      </c>
      <c r="S883" s="1">
        <f t="shared" si="266"/>
        <v>3000</v>
      </c>
      <c r="T883" s="1">
        <f t="shared" si="267"/>
        <v>955.47178883231618</v>
      </c>
      <c r="V883" s="1">
        <f t="shared" si="279"/>
        <v>955.47178883231618</v>
      </c>
      <c r="W883" s="1">
        <f t="shared" si="280"/>
        <v>3000</v>
      </c>
    </row>
    <row r="884" spans="1:23" x14ac:dyDescent="0.25">
      <c r="A884" s="2">
        <f t="shared" si="281"/>
        <v>87.199999999999321</v>
      </c>
      <c r="B884" s="7">
        <f t="shared" si="284"/>
        <v>3.4618742280708461</v>
      </c>
      <c r="C884" s="7">
        <f t="shared" si="268"/>
        <v>2.1591518769682114</v>
      </c>
      <c r="D884" s="7">
        <f t="shared" si="269"/>
        <v>73.703857549291087</v>
      </c>
      <c r="E884" s="7">
        <f t="shared" si="270"/>
        <v>1</v>
      </c>
      <c r="G884" s="4">
        <f t="shared" si="271"/>
        <v>8719.9999999999309</v>
      </c>
      <c r="H884" s="1">
        <f t="shared" si="282"/>
        <v>10.543421740754539</v>
      </c>
      <c r="I884" s="1">
        <f t="shared" si="283"/>
        <v>2225.1130542705478</v>
      </c>
      <c r="J884" s="1">
        <f t="shared" si="272"/>
        <v>74.170435142351593</v>
      </c>
      <c r="K884" s="7">
        <f t="shared" si="273"/>
        <v>6.0962001486864326</v>
      </c>
      <c r="L884" s="4">
        <f t="shared" si="274"/>
        <v>948.45869262214978</v>
      </c>
      <c r="M884" s="1">
        <f t="shared" si="275"/>
        <v>1079.5759384841058</v>
      </c>
      <c r="N884" s="7">
        <f t="shared" si="276"/>
        <v>73.703857549291087</v>
      </c>
      <c r="O884" s="1">
        <f t="shared" si="277"/>
        <v>3000</v>
      </c>
      <c r="P884" s="2">
        <f t="shared" si="278"/>
        <v>1.0239331832009655</v>
      </c>
      <c r="Q884" s="2">
        <f t="shared" si="285"/>
        <v>2658.3771556396182</v>
      </c>
      <c r="S884" s="1">
        <f t="shared" si="266"/>
        <v>3000</v>
      </c>
      <c r="T884" s="1">
        <f t="shared" si="267"/>
        <v>948.45869262214978</v>
      </c>
      <c r="V884" s="1">
        <f t="shared" si="279"/>
        <v>948.45869262214978</v>
      </c>
      <c r="W884" s="1">
        <f t="shared" si="280"/>
        <v>3000</v>
      </c>
    </row>
    <row r="885" spans="1:23" x14ac:dyDescent="0.25">
      <c r="A885" s="2">
        <f t="shared" si="281"/>
        <v>87.299999999999315</v>
      </c>
      <c r="B885" s="7">
        <f t="shared" si="284"/>
        <v>3.4364643129768271</v>
      </c>
      <c r="C885" s="7">
        <f t="shared" si="268"/>
        <v>2.1601150734821957</v>
      </c>
      <c r="D885" s="7">
        <f t="shared" si="269"/>
        <v>74.151265786916497</v>
      </c>
      <c r="E885" s="7">
        <f t="shared" si="270"/>
        <v>1</v>
      </c>
      <c r="G885" s="4">
        <f t="shared" si="271"/>
        <v>8729.9999999999309</v>
      </c>
      <c r="H885" s="1">
        <f t="shared" si="282"/>
        <v>10.621381942529755</v>
      </c>
      <c r="I885" s="1">
        <f t="shared" si="283"/>
        <v>2235.7344362130775</v>
      </c>
      <c r="J885" s="1">
        <f t="shared" si="272"/>
        <v>74.524481207102582</v>
      </c>
      <c r="K885" s="7">
        <f t="shared" si="273"/>
        <v>6.1252998252413082</v>
      </c>
      <c r="L885" s="4">
        <f t="shared" si="274"/>
        <v>941.49707204844594</v>
      </c>
      <c r="M885" s="1">
        <f t="shared" si="275"/>
        <v>1080.0575367410979</v>
      </c>
      <c r="N885" s="7">
        <f t="shared" si="276"/>
        <v>74.151265786916497</v>
      </c>
      <c r="O885" s="1">
        <f t="shared" si="277"/>
        <v>3000</v>
      </c>
      <c r="P885" s="2">
        <f t="shared" si="278"/>
        <v>1.0168710084856005</v>
      </c>
      <c r="Q885" s="2">
        <f t="shared" si="285"/>
        <v>2700.8362982714871</v>
      </c>
      <c r="S885" s="1">
        <f t="shared" si="266"/>
        <v>3000</v>
      </c>
      <c r="T885" s="1">
        <f t="shared" si="267"/>
        <v>941.49707204844594</v>
      </c>
      <c r="V885" s="1">
        <f t="shared" si="279"/>
        <v>941.49707204844594</v>
      </c>
      <c r="W885" s="1">
        <f t="shared" si="280"/>
        <v>3000</v>
      </c>
    </row>
    <row r="886" spans="1:23" x14ac:dyDescent="0.25">
      <c r="A886" s="2">
        <f t="shared" si="281"/>
        <v>87.399999999999309</v>
      </c>
      <c r="B886" s="7">
        <f t="shared" si="284"/>
        <v>3.4112409048852461</v>
      </c>
      <c r="C886" s="7">
        <f t="shared" si="268"/>
        <v>2.161078699677637</v>
      </c>
      <c r="D886" s="7">
        <f t="shared" si="269"/>
        <v>74.60138994929477</v>
      </c>
      <c r="E886" s="7">
        <f t="shared" si="270"/>
        <v>1</v>
      </c>
      <c r="G886" s="4">
        <f t="shared" si="271"/>
        <v>8739.9999999999309</v>
      </c>
      <c r="H886" s="1">
        <f t="shared" si="282"/>
        <v>10.699918597871017</v>
      </c>
      <c r="I886" s="1">
        <f t="shared" si="283"/>
        <v>2246.4343548109487</v>
      </c>
      <c r="J886" s="1">
        <f t="shared" si="272"/>
        <v>74.881145160364952</v>
      </c>
      <c r="K886" s="7">
        <f t="shared" si="273"/>
        <v>6.1546146707149276</v>
      </c>
      <c r="L886" s="4">
        <f t="shared" si="274"/>
        <v>934.5865492836291</v>
      </c>
      <c r="M886" s="1">
        <f t="shared" si="275"/>
        <v>1080.5393498388185</v>
      </c>
      <c r="N886" s="7">
        <f t="shared" si="276"/>
        <v>74.60138994929477</v>
      </c>
      <c r="O886" s="1">
        <f t="shared" si="277"/>
        <v>3000</v>
      </c>
      <c r="P886" s="2">
        <f t="shared" si="278"/>
        <v>1.0098575423310374</v>
      </c>
      <c r="Q886" s="2">
        <f t="shared" si="285"/>
        <v>2745.0894149437086</v>
      </c>
      <c r="S886" s="1">
        <f t="shared" si="266"/>
        <v>3000</v>
      </c>
      <c r="T886" s="1">
        <f t="shared" si="267"/>
        <v>934.5865492836291</v>
      </c>
      <c r="V886" s="1">
        <f t="shared" si="279"/>
        <v>934.5865492836291</v>
      </c>
      <c r="W886" s="1">
        <f t="shared" si="280"/>
        <v>3000</v>
      </c>
    </row>
    <row r="887" spans="1:23" x14ac:dyDescent="0.25">
      <c r="A887" s="2">
        <f t="shared" si="281"/>
        <v>87.499999999999304</v>
      </c>
      <c r="B887" s="7">
        <f t="shared" si="284"/>
        <v>3.3862026348477259</v>
      </c>
      <c r="C887" s="7">
        <f t="shared" si="268"/>
        <v>2.1620427557462158</v>
      </c>
      <c r="D887" s="7">
        <f t="shared" si="269"/>
        <v>75.054246523040561</v>
      </c>
      <c r="E887" s="7">
        <f t="shared" si="270"/>
        <v>1</v>
      </c>
      <c r="G887" s="4">
        <f t="shared" si="271"/>
        <v>8749.9999999999309</v>
      </c>
      <c r="H887" s="1">
        <f t="shared" si="282"/>
        <v>10.779035969193075</v>
      </c>
      <c r="I887" s="1">
        <f t="shared" si="283"/>
        <v>2257.2133907801417</v>
      </c>
      <c r="J887" s="1">
        <f t="shared" si="272"/>
        <v>75.240446359338051</v>
      </c>
      <c r="K887" s="7">
        <f t="shared" si="273"/>
        <v>6.1841462761099777</v>
      </c>
      <c r="L887" s="4">
        <f t="shared" si="274"/>
        <v>927.72674927334958</v>
      </c>
      <c r="M887" s="1">
        <f t="shared" si="275"/>
        <v>1081.0213778731079</v>
      </c>
      <c r="N887" s="7">
        <f t="shared" si="276"/>
        <v>75.054246523040561</v>
      </c>
      <c r="O887" s="1">
        <f t="shared" si="277"/>
        <v>3000</v>
      </c>
      <c r="P887" s="2">
        <f t="shared" si="278"/>
        <v>1.0028924487892157</v>
      </c>
      <c r="Q887" s="2">
        <f t="shared" si="285"/>
        <v>2791.2499099413039</v>
      </c>
      <c r="S887" s="1">
        <f t="shared" si="266"/>
        <v>3000</v>
      </c>
      <c r="T887" s="1">
        <f t="shared" si="267"/>
        <v>927.72674927334958</v>
      </c>
      <c r="V887" s="1">
        <f t="shared" si="279"/>
        <v>927.72674927334958</v>
      </c>
      <c r="W887" s="1">
        <f t="shared" si="280"/>
        <v>3000</v>
      </c>
    </row>
    <row r="888" spans="1:23" x14ac:dyDescent="0.25">
      <c r="A888" s="2">
        <f t="shared" si="281"/>
        <v>87.599999999999298</v>
      </c>
      <c r="B888" s="7">
        <f t="shared" si="284"/>
        <v>3.3613481439638782</v>
      </c>
      <c r="C888" s="7">
        <f t="shared" si="268"/>
        <v>2.1630072418796988</v>
      </c>
      <c r="D888" s="7">
        <f t="shared" si="269"/>
        <v>75.509852094848227</v>
      </c>
      <c r="E888" s="7">
        <f t="shared" si="270"/>
        <v>1</v>
      </c>
      <c r="G888" s="4">
        <f t="shared" si="271"/>
        <v>8759.9999999999309</v>
      </c>
      <c r="H888" s="1">
        <f t="shared" si="282"/>
        <v>10.858738350427839</v>
      </c>
      <c r="I888" s="1">
        <f t="shared" si="283"/>
        <v>2268.0721291305695</v>
      </c>
      <c r="J888" s="1">
        <f t="shared" si="272"/>
        <v>75.602404304352319</v>
      </c>
      <c r="K888" s="7">
        <f t="shared" si="273"/>
        <v>6.2138962441933412</v>
      </c>
      <c r="L888" s="4">
        <f t="shared" si="274"/>
        <v>920.91729971613097</v>
      </c>
      <c r="M888" s="1">
        <f t="shared" si="275"/>
        <v>1081.5036209398495</v>
      </c>
      <c r="N888" s="7">
        <f t="shared" si="276"/>
        <v>75.509852094848227</v>
      </c>
      <c r="O888" s="1">
        <f t="shared" si="277"/>
        <v>3000</v>
      </c>
      <c r="P888" s="2">
        <f t="shared" si="278"/>
        <v>0.99597539422914427</v>
      </c>
      <c r="Q888" s="2">
        <f t="shared" si="285"/>
        <v>2839.440960604567</v>
      </c>
      <c r="S888" s="1">
        <f t="shared" si="266"/>
        <v>3000</v>
      </c>
      <c r="T888" s="1">
        <f t="shared" si="267"/>
        <v>920.91729971613097</v>
      </c>
      <c r="V888" s="1">
        <f t="shared" si="279"/>
        <v>920.91729971613097</v>
      </c>
      <c r="W888" s="1">
        <f t="shared" si="280"/>
        <v>3000</v>
      </c>
    </row>
    <row r="889" spans="1:23" x14ac:dyDescent="0.25">
      <c r="A889" s="2">
        <f t="shared" si="281"/>
        <v>87.699999999999292</v>
      </c>
      <c r="B889" s="7">
        <f t="shared" si="284"/>
        <v>3.3366760833075477</v>
      </c>
      <c r="C889" s="7">
        <f t="shared" si="268"/>
        <v>2.1639721582699369</v>
      </c>
      <c r="D889" s="7">
        <f t="shared" si="269"/>
        <v>75.968223352099145</v>
      </c>
      <c r="E889" s="7">
        <f t="shared" si="270"/>
        <v>1</v>
      </c>
      <c r="G889" s="4">
        <f t="shared" si="271"/>
        <v>8769.9999999999291</v>
      </c>
      <c r="H889" s="1">
        <f t="shared" si="282"/>
        <v>10.939030067255434</v>
      </c>
      <c r="I889" s="1">
        <f t="shared" si="283"/>
        <v>2279.0111591978248</v>
      </c>
      <c r="J889" s="1">
        <f t="shared" si="272"/>
        <v>75.967038639927495</v>
      </c>
      <c r="K889" s="7">
        <f t="shared" si="273"/>
        <v>6.2438661895830814</v>
      </c>
      <c r="L889" s="4">
        <f t="shared" si="274"/>
        <v>914.1578310431637</v>
      </c>
      <c r="M889" s="1">
        <f t="shared" si="275"/>
        <v>1081.9860791349686</v>
      </c>
      <c r="N889" s="7">
        <f t="shared" si="276"/>
        <v>75.968223352099145</v>
      </c>
      <c r="O889" s="1">
        <f t="shared" si="277"/>
        <v>3000</v>
      </c>
      <c r="P889" s="2">
        <f t="shared" si="278"/>
        <v>0.98910604732091967</v>
      </c>
      <c r="Q889" s="2">
        <f t="shared" si="285"/>
        <v>2889.7965932878146</v>
      </c>
      <c r="S889" s="1">
        <f t="shared" si="266"/>
        <v>3000</v>
      </c>
      <c r="T889" s="1">
        <f t="shared" si="267"/>
        <v>914.15783104316381</v>
      </c>
      <c r="V889" s="1">
        <f t="shared" si="279"/>
        <v>914.15783104316381</v>
      </c>
      <c r="W889" s="1">
        <f t="shared" si="280"/>
        <v>3000</v>
      </c>
    </row>
    <row r="890" spans="1:23" x14ac:dyDescent="0.25">
      <c r="A890" s="2">
        <f t="shared" si="281"/>
        <v>87.799999999999287</v>
      </c>
      <c r="B890" s="7">
        <f t="shared" si="284"/>
        <v>3.3121851138536034</v>
      </c>
      <c r="C890" s="7">
        <f t="shared" si="268"/>
        <v>2.1649375051088686</v>
      </c>
      <c r="D890" s="7">
        <f t="shared" si="269"/>
        <v>76.429377083472914</v>
      </c>
      <c r="E890" s="7">
        <f t="shared" si="270"/>
        <v>1</v>
      </c>
      <c r="G890" s="4">
        <f t="shared" si="271"/>
        <v>8779.9999999999291</v>
      </c>
      <c r="H890" s="1">
        <f t="shared" si="282"/>
        <v>11.019915477348917</v>
      </c>
      <c r="I890" s="1">
        <f t="shared" si="283"/>
        <v>2290.0310746751738</v>
      </c>
      <c r="J890" s="1">
        <f t="shared" si="272"/>
        <v>76.334369155839127</v>
      </c>
      <c r="K890" s="7">
        <f t="shared" si="273"/>
        <v>6.2740577388360927</v>
      </c>
      <c r="L890" s="4">
        <f t="shared" si="274"/>
        <v>907.44797639824731</v>
      </c>
      <c r="M890" s="1">
        <f t="shared" si="275"/>
        <v>1082.4687525544343</v>
      </c>
      <c r="N890" s="7">
        <f t="shared" si="276"/>
        <v>76.429377083472914</v>
      </c>
      <c r="O890" s="1">
        <f t="shared" si="277"/>
        <v>3000</v>
      </c>
      <c r="P890" s="2">
        <f t="shared" si="278"/>
        <v>0.98228407901985648</v>
      </c>
      <c r="Q890" s="2">
        <f t="shared" si="285"/>
        <v>2942.462904667052</v>
      </c>
      <c r="S890" s="1">
        <f t="shared" si="266"/>
        <v>3000</v>
      </c>
      <c r="T890" s="1">
        <f t="shared" si="267"/>
        <v>907.44797639824731</v>
      </c>
      <c r="V890" s="1">
        <f t="shared" si="279"/>
        <v>907.44797639824731</v>
      </c>
      <c r="W890" s="1">
        <f t="shared" si="280"/>
        <v>3000</v>
      </c>
    </row>
    <row r="891" spans="1:23" x14ac:dyDescent="0.25">
      <c r="A891" s="2">
        <f t="shared" si="281"/>
        <v>87.899999999999281</v>
      </c>
      <c r="B891" s="7">
        <f t="shared" si="284"/>
        <v>3.2878739064052658</v>
      </c>
      <c r="C891" s="7">
        <f t="shared" si="268"/>
        <v>2.1659032825885163</v>
      </c>
      <c r="D891" s="7">
        <f t="shared" si="269"/>
        <v>76.893330179562284</v>
      </c>
      <c r="E891" s="7">
        <f t="shared" si="270"/>
        <v>1</v>
      </c>
      <c r="G891" s="4">
        <f t="shared" si="271"/>
        <v>8789.9999999999272</v>
      </c>
      <c r="H891" s="1">
        <f t="shared" si="282"/>
        <v>11.101398970588853</v>
      </c>
      <c r="I891" s="1">
        <f t="shared" si="283"/>
        <v>2301.1324736457627</v>
      </c>
      <c r="J891" s="1">
        <f t="shared" si="272"/>
        <v>76.704415788192094</v>
      </c>
      <c r="K891" s="7">
        <f t="shared" si="273"/>
        <v>6.3044725305363363</v>
      </c>
      <c r="L891" s="4">
        <f t="shared" si="274"/>
        <v>900.78737161788081</v>
      </c>
      <c r="M891" s="1">
        <f t="shared" si="275"/>
        <v>1082.951641294258</v>
      </c>
      <c r="N891" s="7">
        <f t="shared" si="276"/>
        <v>76.893330179562284</v>
      </c>
      <c r="O891" s="1">
        <f t="shared" si="277"/>
        <v>3000</v>
      </c>
      <c r="P891" s="2">
        <f t="shared" si="278"/>
        <v>0.97550916255072484</v>
      </c>
      <c r="Q891" s="2">
        <f t="shared" si="285"/>
        <v>2997.5994518314224</v>
      </c>
      <c r="S891" s="1">
        <f t="shared" si="266"/>
        <v>3000</v>
      </c>
      <c r="T891" s="1">
        <f t="shared" si="267"/>
        <v>900.78737161788092</v>
      </c>
      <c r="V891" s="1">
        <f t="shared" si="279"/>
        <v>900.78737161788092</v>
      </c>
      <c r="W891" s="1">
        <f t="shared" si="280"/>
        <v>3000</v>
      </c>
    </row>
    <row r="892" spans="1:23" x14ac:dyDescent="0.25">
      <c r="A892" s="2">
        <f t="shared" si="281"/>
        <v>87.999999999999275</v>
      </c>
      <c r="B892" s="7">
        <f t="shared" si="284"/>
        <v>3.2637411415219626</v>
      </c>
      <c r="C892" s="7">
        <f t="shared" si="268"/>
        <v>2.1668694909009885</v>
      </c>
      <c r="D892" s="7">
        <f t="shared" si="269"/>
        <v>77.360099633491942</v>
      </c>
      <c r="E892" s="7">
        <f t="shared" si="270"/>
        <v>1</v>
      </c>
      <c r="G892" s="4">
        <f t="shared" si="271"/>
        <v>8799.9999999999272</v>
      </c>
      <c r="H892" s="1">
        <f t="shared" si="282"/>
        <v>11.183484969331589</v>
      </c>
      <c r="I892" s="1">
        <f t="shared" si="283"/>
        <v>2312.3159586150941</v>
      </c>
      <c r="J892" s="1">
        <f t="shared" si="272"/>
        <v>77.07719862050314</v>
      </c>
      <c r="K892" s="7">
        <f t="shared" si="273"/>
        <v>6.3351122153838197</v>
      </c>
      <c r="L892" s="4">
        <f t="shared" si="274"/>
        <v>894.17565521149675</v>
      </c>
      <c r="M892" s="1">
        <f t="shared" si="275"/>
        <v>1083.4347454504941</v>
      </c>
      <c r="N892" s="7">
        <f t="shared" si="276"/>
        <v>77.360099633491942</v>
      </c>
      <c r="O892" s="1">
        <f t="shared" si="277"/>
        <v>3000</v>
      </c>
      <c r="P892" s="2">
        <f t="shared" si="278"/>
        <v>0.96878097339209679</v>
      </c>
      <c r="Q892" s="2">
        <f t="shared" si="285"/>
        <v>3055.3808390135391</v>
      </c>
      <c r="S892" s="1">
        <f t="shared" si="266"/>
        <v>3000</v>
      </c>
      <c r="T892" s="1">
        <f t="shared" si="267"/>
        <v>894.17565521149675</v>
      </c>
      <c r="V892" s="1">
        <f t="shared" si="279"/>
        <v>894.17565521149675</v>
      </c>
      <c r="W892" s="1">
        <f t="shared" si="280"/>
        <v>3000</v>
      </c>
    </row>
    <row r="893" spans="1:23" x14ac:dyDescent="0.25">
      <c r="A893" s="2">
        <f t="shared" si="281"/>
        <v>88.09999999999927</v>
      </c>
      <c r="B893" s="7">
        <f t="shared" si="284"/>
        <v>3.2397855094477337</v>
      </c>
      <c r="C893" s="7">
        <f t="shared" si="268"/>
        <v>2.167836130238479</v>
      </c>
      <c r="D893" s="7">
        <f t="shared" si="269"/>
        <v>77.829702541540527</v>
      </c>
      <c r="E893" s="7">
        <f t="shared" si="270"/>
        <v>1</v>
      </c>
      <c r="G893" s="4">
        <f t="shared" si="271"/>
        <v>8809.9999999999272</v>
      </c>
      <c r="H893" s="1">
        <f t="shared" si="282"/>
        <v>11.266177928619085</v>
      </c>
      <c r="I893" s="1">
        <f t="shared" si="283"/>
        <v>2323.5821365437132</v>
      </c>
      <c r="J893" s="1">
        <f t="shared" si="272"/>
        <v>77.452737884790437</v>
      </c>
      <c r="K893" s="7">
        <f t="shared" si="273"/>
        <v>6.3659784562841457</v>
      </c>
      <c r="L893" s="4">
        <f t="shared" si="274"/>
        <v>887.61246834184499</v>
      </c>
      <c r="M893" s="1">
        <f t="shared" si="275"/>
        <v>1083.9180651192396</v>
      </c>
      <c r="N893" s="7">
        <f t="shared" si="276"/>
        <v>77.829702541540527</v>
      </c>
      <c r="O893" s="1">
        <f t="shared" si="277"/>
        <v>3000</v>
      </c>
      <c r="P893" s="2">
        <f t="shared" si="278"/>
        <v>0.96209918926080495</v>
      </c>
      <c r="Q893" s="2">
        <f t="shared" si="285"/>
        <v>3115.9985341941651</v>
      </c>
      <c r="S893" s="1">
        <f t="shared" si="266"/>
        <v>3000</v>
      </c>
      <c r="T893" s="1">
        <f t="shared" si="267"/>
        <v>887.61246834184499</v>
      </c>
      <c r="V893" s="1">
        <f t="shared" si="279"/>
        <v>887.61246834184499</v>
      </c>
      <c r="W893" s="1">
        <f t="shared" si="280"/>
        <v>3000</v>
      </c>
    </row>
    <row r="894" spans="1:23" x14ac:dyDescent="0.25">
      <c r="A894" s="2">
        <f t="shared" si="281"/>
        <v>88.199999999999264</v>
      </c>
      <c r="B894" s="7">
        <f t="shared" si="284"/>
        <v>3.2160057100401263</v>
      </c>
      <c r="C894" s="7">
        <f t="shared" si="268"/>
        <v>2.1688032007932683</v>
      </c>
      <c r="D894" s="7">
        <f t="shared" si="269"/>
        <v>78.302156103767345</v>
      </c>
      <c r="E894" s="7">
        <f t="shared" si="270"/>
        <v>1</v>
      </c>
      <c r="G894" s="4">
        <f t="shared" si="271"/>
        <v>8819.9999999999272</v>
      </c>
      <c r="H894" s="1">
        <f t="shared" si="282"/>
        <v>11.349482336442923</v>
      </c>
      <c r="I894" s="1">
        <f t="shared" si="283"/>
        <v>2334.9316188801563</v>
      </c>
      <c r="J894" s="1">
        <f t="shared" si="272"/>
        <v>77.831053962671874</v>
      </c>
      <c r="K894" s="7">
        <f t="shared" si="273"/>
        <v>6.3970729284387842</v>
      </c>
      <c r="L894" s="4">
        <f t="shared" si="274"/>
        <v>881.09745480551419</v>
      </c>
      <c r="M894" s="1">
        <f t="shared" si="275"/>
        <v>1084.4016003966342</v>
      </c>
      <c r="N894" s="7">
        <f t="shared" si="276"/>
        <v>78.302156103767345</v>
      </c>
      <c r="O894" s="1">
        <f t="shared" si="277"/>
        <v>3000</v>
      </c>
      <c r="P894" s="2">
        <f t="shared" si="278"/>
        <v>0.95546349009650056</v>
      </c>
      <c r="Q894" s="2">
        <f t="shared" si="285"/>
        <v>3179.6629553958737</v>
      </c>
      <c r="S894" s="1">
        <f t="shared" si="266"/>
        <v>3000</v>
      </c>
      <c r="T894" s="1">
        <f t="shared" si="267"/>
        <v>881.09745480551408</v>
      </c>
      <c r="V894" s="1">
        <f t="shared" si="279"/>
        <v>881.09745480551408</v>
      </c>
      <c r="W894" s="1">
        <f t="shared" si="280"/>
        <v>3000</v>
      </c>
    </row>
    <row r="895" spans="1:23" x14ac:dyDescent="0.25">
      <c r="A895" s="2">
        <f t="shared" si="281"/>
        <v>88.299999999999258</v>
      </c>
      <c r="B895" s="7">
        <f t="shared" si="284"/>
        <v>3.1924004526996455</v>
      </c>
      <c r="C895" s="7">
        <f t="shared" si="268"/>
        <v>2.1697707027577229</v>
      </c>
      <c r="D895" s="7">
        <f t="shared" si="269"/>
        <v>78.777477624641961</v>
      </c>
      <c r="E895" s="7">
        <f t="shared" si="270"/>
        <v>1</v>
      </c>
      <c r="G895" s="4">
        <f t="shared" si="271"/>
        <v>8829.9999999999254</v>
      </c>
      <c r="H895" s="1">
        <f t="shared" si="282"/>
        <v>11.433402713975696</v>
      </c>
      <c r="I895" s="1">
        <f t="shared" si="283"/>
        <v>2346.365021594132</v>
      </c>
      <c r="J895" s="1">
        <f t="shared" si="272"/>
        <v>78.212167386471066</v>
      </c>
      <c r="K895" s="7">
        <f t="shared" si="273"/>
        <v>6.4283973194359785</v>
      </c>
      <c r="L895" s="4">
        <f t="shared" si="274"/>
        <v>874.6302610136014</v>
      </c>
      <c r="M895" s="1">
        <f t="shared" si="275"/>
        <v>1084.8853513788615</v>
      </c>
      <c r="N895" s="7">
        <f t="shared" si="276"/>
        <v>78.777477624641961</v>
      </c>
      <c r="O895" s="1">
        <f t="shared" si="277"/>
        <v>3000</v>
      </c>
      <c r="P895" s="2">
        <f t="shared" si="278"/>
        <v>0.94887355804632623</v>
      </c>
      <c r="Q895" s="2">
        <f t="shared" si="285"/>
        <v>3246.6058745607193</v>
      </c>
      <c r="S895" s="1">
        <f t="shared" si="266"/>
        <v>3000</v>
      </c>
      <c r="T895" s="1">
        <f t="shared" si="267"/>
        <v>874.6302610136014</v>
      </c>
      <c r="V895" s="1">
        <f t="shared" si="279"/>
        <v>874.6302610136014</v>
      </c>
      <c r="W895" s="1">
        <f t="shared" si="280"/>
        <v>3000</v>
      </c>
    </row>
    <row r="896" spans="1:23" x14ac:dyDescent="0.25">
      <c r="A896" s="2">
        <f t="shared" si="281"/>
        <v>88.399999999999253</v>
      </c>
      <c r="B896" s="7">
        <f t="shared" si="284"/>
        <v>3.1689684562997065</v>
      </c>
      <c r="C896" s="7">
        <f t="shared" si="268"/>
        <v>2.1707386363242933</v>
      </c>
      <c r="D896" s="7">
        <f t="shared" si="269"/>
        <v>79.25568451367819</v>
      </c>
      <c r="E896" s="7">
        <f t="shared" si="270"/>
        <v>1</v>
      </c>
      <c r="G896" s="4">
        <f t="shared" si="271"/>
        <v>8839.9999999999254</v>
      </c>
      <c r="H896" s="1">
        <f t="shared" si="282"/>
        <v>11.517943615828782</v>
      </c>
      <c r="I896" s="1">
        <f t="shared" si="283"/>
        <v>2357.8829652099607</v>
      </c>
      <c r="J896" s="1">
        <f t="shared" si="272"/>
        <v>78.596098840332019</v>
      </c>
      <c r="K896" s="7">
        <f t="shared" si="273"/>
        <v>6.4599533293423583</v>
      </c>
      <c r="L896" s="4">
        <f t="shared" si="274"/>
        <v>868.21053597252239</v>
      </c>
      <c r="M896" s="1">
        <f t="shared" si="275"/>
        <v>1085.3693181621466</v>
      </c>
      <c r="N896" s="7">
        <f t="shared" si="276"/>
        <v>79.25568451367819</v>
      </c>
      <c r="O896" s="1">
        <f t="shared" si="277"/>
        <v>3000</v>
      </c>
      <c r="P896" s="2">
        <f t="shared" si="278"/>
        <v>0.94232907744968841</v>
      </c>
      <c r="Q896" s="2">
        <f t="shared" si="285"/>
        <v>3317.0831968816419</v>
      </c>
      <c r="S896" s="1">
        <f t="shared" si="266"/>
        <v>3000</v>
      </c>
      <c r="T896" s="1">
        <f t="shared" si="267"/>
        <v>868.21053597252228</v>
      </c>
      <c r="V896" s="1">
        <f t="shared" si="279"/>
        <v>868.21053597252228</v>
      </c>
      <c r="W896" s="1">
        <f t="shared" si="280"/>
        <v>3000</v>
      </c>
    </row>
    <row r="897" spans="1:23" x14ac:dyDescent="0.25">
      <c r="A897" s="2">
        <f t="shared" si="281"/>
        <v>88.499999999999247</v>
      </c>
      <c r="B897" s="7">
        <f t="shared" si="284"/>
        <v>3.1457084491171048</v>
      </c>
      <c r="C897" s="7">
        <f t="shared" si="268"/>
        <v>2.1717070016855171</v>
      </c>
      <c r="D897" s="7">
        <f t="shared" si="269"/>
        <v>79.736794286071657</v>
      </c>
      <c r="E897" s="7">
        <f t="shared" si="270"/>
        <v>1</v>
      </c>
      <c r="G897" s="4">
        <f t="shared" si="271"/>
        <v>8849.9999999999254</v>
      </c>
      <c r="H897" s="1">
        <f t="shared" si="282"/>
        <v>11.60310963027878</v>
      </c>
      <c r="I897" s="1">
        <f t="shared" si="283"/>
        <v>2369.4860748402393</v>
      </c>
      <c r="J897" s="1">
        <f t="shared" si="272"/>
        <v>78.982869161341313</v>
      </c>
      <c r="K897" s="7">
        <f t="shared" si="273"/>
        <v>6.4917426707951762</v>
      </c>
      <c r="L897" s="4">
        <f t="shared" si="274"/>
        <v>861.83793126496016</v>
      </c>
      <c r="M897" s="1">
        <f t="shared" si="275"/>
        <v>1085.8535008427586</v>
      </c>
      <c r="N897" s="7">
        <f t="shared" si="276"/>
        <v>79.736794286071657</v>
      </c>
      <c r="O897" s="1">
        <f t="shared" si="277"/>
        <v>3000</v>
      </c>
      <c r="P897" s="2">
        <f t="shared" si="278"/>
        <v>0.9358297348231378</v>
      </c>
      <c r="Q897" s="2">
        <f t="shared" si="285"/>
        <v>3391.3781858302609</v>
      </c>
      <c r="S897" s="1">
        <f t="shared" si="266"/>
        <v>3000</v>
      </c>
      <c r="T897" s="1">
        <f t="shared" si="267"/>
        <v>861.83793126496016</v>
      </c>
      <c r="V897" s="1">
        <f t="shared" si="279"/>
        <v>861.83793126496016</v>
      </c>
      <c r="W897" s="1">
        <f t="shared" si="280"/>
        <v>3000</v>
      </c>
    </row>
    <row r="898" spans="1:23" x14ac:dyDescent="0.25">
      <c r="A898" s="2">
        <f t="shared" si="281"/>
        <v>88.599999999999241</v>
      </c>
      <c r="B898" s="7">
        <f t="shared" si="284"/>
        <v>3.1226191687629954</v>
      </c>
      <c r="C898" s="7">
        <f t="shared" si="268"/>
        <v>2.1726757990340184</v>
      </c>
      <c r="D898" s="7">
        <f t="shared" si="269"/>
        <v>80.220824563341438</v>
      </c>
      <c r="E898" s="7">
        <f t="shared" si="270"/>
        <v>1</v>
      </c>
      <c r="G898" s="4">
        <f t="shared" si="271"/>
        <v>8859.9999999999254</v>
      </c>
      <c r="H898" s="1">
        <f t="shared" si="282"/>
        <v>11.688905379537276</v>
      </c>
      <c r="I898" s="1">
        <f t="shared" si="283"/>
        <v>2381.1749802197764</v>
      </c>
      <c r="J898" s="1">
        <f t="shared" si="272"/>
        <v>79.372499340659218</v>
      </c>
      <c r="K898" s="7">
        <f t="shared" si="273"/>
        <v>6.5237670690952783</v>
      </c>
      <c r="L898" s="4">
        <f t="shared" si="274"/>
        <v>855.51210103095775</v>
      </c>
      <c r="M898" s="1">
        <f t="shared" si="275"/>
        <v>1086.3378995170092</v>
      </c>
      <c r="N898" s="7">
        <f t="shared" si="276"/>
        <v>80.220824563341438</v>
      </c>
      <c r="O898" s="1">
        <f t="shared" si="277"/>
        <v>3000</v>
      </c>
      <c r="P898" s="2">
        <f t="shared" si="278"/>
        <v>0.92937521884535401</v>
      </c>
      <c r="Q898" s="2">
        <f t="shared" si="285"/>
        <v>3469.8052195554142</v>
      </c>
      <c r="S898" s="1">
        <f t="shared" si="266"/>
        <v>3000</v>
      </c>
      <c r="T898" s="1">
        <f t="shared" si="267"/>
        <v>855.51210103095764</v>
      </c>
      <c r="V898" s="1">
        <f t="shared" si="279"/>
        <v>855.51210103095764</v>
      </c>
      <c r="W898" s="1">
        <f t="shared" si="280"/>
        <v>3000</v>
      </c>
    </row>
    <row r="899" spans="1:23" x14ac:dyDescent="0.25">
      <c r="A899" s="2">
        <f t="shared" si="281"/>
        <v>88.699999999999235</v>
      </c>
      <c r="B899" s="7">
        <f t="shared" si="284"/>
        <v>3.0996993621143778</v>
      </c>
      <c r="C899" s="7">
        <f t="shared" si="268"/>
        <v>2.1736450285625062</v>
      </c>
      <c r="D899" s="7">
        <f t="shared" si="269"/>
        <v>80.707793073975196</v>
      </c>
      <c r="E899" s="7">
        <f t="shared" si="270"/>
        <v>1</v>
      </c>
      <c r="G899" s="4">
        <f t="shared" si="271"/>
        <v>8869.9999999999236</v>
      </c>
      <c r="H899" s="1">
        <f t="shared" si="282"/>
        <v>11.775335519989222</v>
      </c>
      <c r="I899" s="1">
        <f t="shared" si="283"/>
        <v>2392.9503157397658</v>
      </c>
      <c r="J899" s="1">
        <f t="shared" si="272"/>
        <v>79.765010524658862</v>
      </c>
      <c r="K899" s="7">
        <f t="shared" si="273"/>
        <v>6.5560282623007282</v>
      </c>
      <c r="L899" s="4">
        <f t="shared" si="274"/>
        <v>849.23270194914448</v>
      </c>
      <c r="M899" s="1">
        <f t="shared" si="275"/>
        <v>1086.822514281253</v>
      </c>
      <c r="N899" s="7">
        <f t="shared" si="276"/>
        <v>80.707793073975196</v>
      </c>
      <c r="O899" s="1">
        <f t="shared" si="277"/>
        <v>3000</v>
      </c>
      <c r="P899" s="2">
        <f t="shared" si="278"/>
        <v>0.92296522034223116</v>
      </c>
      <c r="Q899" s="2">
        <f t="shared" si="285"/>
        <v>3552.7141836793035</v>
      </c>
      <c r="S899" s="1">
        <f t="shared" si="266"/>
        <v>3000</v>
      </c>
      <c r="T899" s="1">
        <f t="shared" si="267"/>
        <v>849.2327019491446</v>
      </c>
      <c r="V899" s="1">
        <f t="shared" si="279"/>
        <v>849.2327019491446</v>
      </c>
      <c r="W899" s="1">
        <f t="shared" si="280"/>
        <v>3000</v>
      </c>
    </row>
    <row r="900" spans="1:23" x14ac:dyDescent="0.25">
      <c r="A900" s="2">
        <f t="shared" si="281"/>
        <v>88.79999999999923</v>
      </c>
      <c r="B900" s="7">
        <f t="shared" si="284"/>
        <v>3.076947785246086</v>
      </c>
      <c r="C900" s="7">
        <f t="shared" si="268"/>
        <v>2.1746146904637755</v>
      </c>
      <c r="D900" s="7">
        <f t="shared" si="269"/>
        <v>81.197717654078957</v>
      </c>
      <c r="E900" s="7">
        <f t="shared" si="270"/>
        <v>1</v>
      </c>
      <c r="G900" s="4">
        <f t="shared" si="271"/>
        <v>8879.9999999999236</v>
      </c>
      <c r="H900" s="1">
        <f t="shared" si="282"/>
        <v>11.862404742458388</v>
      </c>
      <c r="I900" s="1">
        <f t="shared" si="283"/>
        <v>2404.812720482224</v>
      </c>
      <c r="J900" s="1">
        <f t="shared" si="272"/>
        <v>80.160424016074131</v>
      </c>
      <c r="K900" s="7">
        <f t="shared" si="273"/>
        <v>6.588528001321162</v>
      </c>
      <c r="L900" s="4">
        <f t="shared" si="274"/>
        <v>842.99939321810564</v>
      </c>
      <c r="M900" s="1">
        <f t="shared" si="275"/>
        <v>1087.3073452318877</v>
      </c>
      <c r="N900" s="7">
        <f t="shared" si="276"/>
        <v>81.197717654078957</v>
      </c>
      <c r="O900" s="1">
        <f t="shared" si="277"/>
        <v>3000</v>
      </c>
      <c r="P900" s="2">
        <f t="shared" si="278"/>
        <v>0.91659943227207052</v>
      </c>
      <c r="Q900" s="2">
        <f t="shared" si="285"/>
        <v>3640.4956299325577</v>
      </c>
      <c r="S900" s="1">
        <f t="shared" si="266"/>
        <v>3000</v>
      </c>
      <c r="T900" s="1">
        <f t="shared" si="267"/>
        <v>842.99939321810575</v>
      </c>
      <c r="V900" s="1">
        <f t="shared" si="279"/>
        <v>842.99939321810575</v>
      </c>
      <c r="W900" s="1">
        <f t="shared" si="280"/>
        <v>3000</v>
      </c>
    </row>
    <row r="901" spans="1:23" x14ac:dyDescent="0.25">
      <c r="A901" s="2">
        <f t="shared" si="281"/>
        <v>88.899999999999224</v>
      </c>
      <c r="B901" s="7">
        <f t="shared" si="284"/>
        <v>3.0543632033632848</v>
      </c>
      <c r="C901" s="7">
        <f t="shared" si="268"/>
        <v>2.1755847849307077</v>
      </c>
      <c r="D901" s="7">
        <f t="shared" si="269"/>
        <v>81.69061624803004</v>
      </c>
      <c r="E901" s="7">
        <f t="shared" si="270"/>
        <v>1</v>
      </c>
      <c r="G901" s="4">
        <f t="shared" si="271"/>
        <v>8889.9999999999218</v>
      </c>
      <c r="H901" s="1">
        <f t="shared" si="282"/>
        <v>11.950117772438363</v>
      </c>
      <c r="I901" s="1">
        <f t="shared" si="283"/>
        <v>2416.7628382546623</v>
      </c>
      <c r="J901" s="1">
        <f t="shared" si="272"/>
        <v>80.558761275155405</v>
      </c>
      <c r="K901" s="7">
        <f t="shared" si="273"/>
        <v>6.6212680500127732</v>
      </c>
      <c r="L901" s="4">
        <f t="shared" si="274"/>
        <v>836.81183653788628</v>
      </c>
      <c r="M901" s="1">
        <f t="shared" si="275"/>
        <v>1087.7923924653539</v>
      </c>
      <c r="N901" s="7">
        <f t="shared" si="276"/>
        <v>81.69061624803004</v>
      </c>
      <c r="O901" s="1">
        <f t="shared" si="277"/>
        <v>3000</v>
      </c>
      <c r="P901" s="2">
        <f t="shared" si="278"/>
        <v>0.91027754971087393</v>
      </c>
      <c r="Q901" s="2">
        <f t="shared" si="285"/>
        <v>3733.5868610580992</v>
      </c>
      <c r="S901" s="1">
        <f t="shared" si="266"/>
        <v>3000</v>
      </c>
      <c r="T901" s="1">
        <f t="shared" si="267"/>
        <v>836.81183653788628</v>
      </c>
      <c r="V901" s="1">
        <f t="shared" si="279"/>
        <v>836.81183653788628</v>
      </c>
      <c r="W901" s="1">
        <f t="shared" si="280"/>
        <v>3000</v>
      </c>
    </row>
    <row r="902" spans="1:23" x14ac:dyDescent="0.25">
      <c r="A902" s="2">
        <f t="shared" si="281"/>
        <v>88.999999999999218</v>
      </c>
      <c r="B902" s="7">
        <f t="shared" si="284"/>
        <v>3.0319443907344397</v>
      </c>
      <c r="C902" s="7">
        <f t="shared" si="268"/>
        <v>2.1765553121562702</v>
      </c>
      <c r="D902" s="7">
        <f t="shared" si="269"/>
        <v>82.186506909134451</v>
      </c>
      <c r="E902" s="7">
        <f t="shared" si="270"/>
        <v>1</v>
      </c>
      <c r="G902" s="4">
        <f t="shared" si="271"/>
        <v>8899.99999999992</v>
      </c>
      <c r="H902" s="1">
        <f t="shared" si="282"/>
        <v>12.038479370379159</v>
      </c>
      <c r="I902" s="1">
        <f t="shared" si="283"/>
        <v>2428.8013176250415</v>
      </c>
      <c r="J902" s="1">
        <f t="shared" si="272"/>
        <v>80.960043920834721</v>
      </c>
      <c r="K902" s="7">
        <f t="shared" si="273"/>
        <v>6.6542501852740861</v>
      </c>
      <c r="L902" s="4">
        <f t="shared" si="274"/>
        <v>830.66969609162732</v>
      </c>
      <c r="M902" s="1">
        <f t="shared" si="275"/>
        <v>1088.2776560781351</v>
      </c>
      <c r="N902" s="7">
        <f t="shared" si="276"/>
        <v>82.186506909134451</v>
      </c>
      <c r="O902" s="1">
        <f t="shared" si="277"/>
        <v>3000</v>
      </c>
      <c r="P902" s="2">
        <f t="shared" si="278"/>
        <v>0.90399926983773304</v>
      </c>
      <c r="Q902" s="2">
        <f t="shared" si="285"/>
        <v>3832.4791420078486</v>
      </c>
      <c r="S902" s="1">
        <f t="shared" si="266"/>
        <v>3000</v>
      </c>
      <c r="T902" s="1">
        <f t="shared" si="267"/>
        <v>830.66969609162732</v>
      </c>
      <c r="V902" s="1">
        <f t="shared" si="279"/>
        <v>830.66969609162732</v>
      </c>
      <c r="W902" s="1">
        <f t="shared" si="280"/>
        <v>3000</v>
      </c>
    </row>
    <row r="903" spans="1:23" x14ac:dyDescent="0.25">
      <c r="A903" s="2">
        <f t="shared" si="281"/>
        <v>89.099999999999213</v>
      </c>
      <c r="B903" s="7">
        <f t="shared" si="284"/>
        <v>3.0096901306248016</v>
      </c>
      <c r="C903" s="7">
        <f t="shared" si="268"/>
        <v>2.1775262723335165</v>
      </c>
      <c r="D903" s="7">
        <f t="shared" si="269"/>
        <v>82.685407800288118</v>
      </c>
      <c r="E903" s="7">
        <f t="shared" si="270"/>
        <v>1</v>
      </c>
      <c r="G903" s="4">
        <f t="shared" si="271"/>
        <v>8909.9999999999218</v>
      </c>
      <c r="H903" s="1">
        <f t="shared" si="282"/>
        <v>12.127494331926243</v>
      </c>
      <c r="I903" s="1">
        <f t="shared" si="283"/>
        <v>2440.9288119569678</v>
      </c>
      <c r="J903" s="1">
        <f t="shared" si="272"/>
        <v>81.364293731898925</v>
      </c>
      <c r="K903" s="7">
        <f t="shared" si="273"/>
        <v>6.6874761971423773</v>
      </c>
      <c r="L903" s="4">
        <f t="shared" si="274"/>
        <v>824.57263852734297</v>
      </c>
      <c r="M903" s="1">
        <f t="shared" si="275"/>
        <v>1088.7631361667582</v>
      </c>
      <c r="N903" s="7">
        <f t="shared" si="276"/>
        <v>82.685407800288118</v>
      </c>
      <c r="O903" s="1">
        <f t="shared" si="277"/>
        <v>3000</v>
      </c>
      <c r="P903" s="2">
        <f t="shared" si="278"/>
        <v>0.89776429192032858</v>
      </c>
      <c r="Q903" s="2">
        <f t="shared" si="285"/>
        <v>3937.7262883920203</v>
      </c>
      <c r="S903" s="1">
        <f t="shared" si="266"/>
        <v>3000</v>
      </c>
      <c r="T903" s="1">
        <f t="shared" si="267"/>
        <v>824.57263852734286</v>
      </c>
      <c r="V903" s="1">
        <f t="shared" si="279"/>
        <v>824.57263852734286</v>
      </c>
      <c r="W903" s="1">
        <f t="shared" si="280"/>
        <v>3000</v>
      </c>
    </row>
    <row r="904" spans="1:23" x14ac:dyDescent="0.25">
      <c r="A904" s="2">
        <f t="shared" si="281"/>
        <v>89.199999999999207</v>
      </c>
      <c r="B904" s="7">
        <f t="shared" si="284"/>
        <v>2.9875992152303703</v>
      </c>
      <c r="C904" s="7">
        <f t="shared" si="268"/>
        <v>2.1784976656555863</v>
      </c>
      <c r="D904" s="7">
        <f t="shared" si="269"/>
        <v>83.18733719464214</v>
      </c>
      <c r="E904" s="7">
        <f t="shared" si="270"/>
        <v>1</v>
      </c>
      <c r="G904" s="4">
        <f t="shared" si="271"/>
        <v>8919.99999999992</v>
      </c>
      <c r="H904" s="1">
        <f t="shared" si="282"/>
        <v>12.217167488169556</v>
      </c>
      <c r="I904" s="1">
        <f t="shared" si="283"/>
        <v>2453.1459794451375</v>
      </c>
      <c r="J904" s="1">
        <f t="shared" si="272"/>
        <v>81.771532648171245</v>
      </c>
      <c r="K904" s="7">
        <f t="shared" si="273"/>
        <v>6.7209478888907874</v>
      </c>
      <c r="L904" s="4">
        <f t="shared" si="274"/>
        <v>818.52033293982754</v>
      </c>
      <c r="M904" s="1">
        <f t="shared" si="275"/>
        <v>1089.2488328277932</v>
      </c>
      <c r="N904" s="7">
        <f t="shared" si="276"/>
        <v>83.18733719464214</v>
      </c>
      <c r="O904" s="1">
        <f t="shared" si="277"/>
        <v>3000</v>
      </c>
      <c r="P904" s="2">
        <f t="shared" si="278"/>
        <v>0.89157231730052389</v>
      </c>
      <c r="Q904" s="2">
        <f t="shared" si="285"/>
        <v>4049.9549491492266</v>
      </c>
      <c r="S904" s="1">
        <f t="shared" si="266"/>
        <v>3000</v>
      </c>
      <c r="T904" s="1">
        <f t="shared" si="267"/>
        <v>818.52033293982743</v>
      </c>
      <c r="V904" s="1">
        <f t="shared" si="279"/>
        <v>818.52033293982743</v>
      </c>
      <c r="W904" s="1">
        <f t="shared" si="280"/>
        <v>3000</v>
      </c>
    </row>
    <row r="905" spans="1:23" x14ac:dyDescent="0.25">
      <c r="A905" s="2">
        <f t="shared" si="281"/>
        <v>89.299999999999201</v>
      </c>
      <c r="B905" s="7">
        <f t="shared" si="284"/>
        <v>2.9656704456123428</v>
      </c>
      <c r="C905" s="7">
        <f t="shared" si="268"/>
        <v>2.1794694923157043</v>
      </c>
      <c r="D905" s="7">
        <f t="shared" si="269"/>
        <v>83.692313476271821</v>
      </c>
      <c r="E905" s="7">
        <f t="shared" si="270"/>
        <v>1</v>
      </c>
      <c r="G905" s="4">
        <f t="shared" si="271"/>
        <v>8929.99999999992</v>
      </c>
      <c r="H905" s="1">
        <f t="shared" si="282"/>
        <v>12.307503705949902</v>
      </c>
      <c r="I905" s="1">
        <f t="shared" si="283"/>
        <v>2465.4534831510873</v>
      </c>
      <c r="J905" s="1">
        <f t="shared" si="272"/>
        <v>82.181782771702913</v>
      </c>
      <c r="K905" s="7">
        <f t="shared" si="273"/>
        <v>6.7546670771262667</v>
      </c>
      <c r="L905" s="4">
        <f t="shared" si="274"/>
        <v>812.51245085269659</v>
      </c>
      <c r="M905" s="1">
        <f t="shared" si="275"/>
        <v>1089.7347461578522</v>
      </c>
      <c r="N905" s="7">
        <f t="shared" si="276"/>
        <v>83.692313476271821</v>
      </c>
      <c r="O905" s="1">
        <f t="shared" si="277"/>
        <v>3000</v>
      </c>
      <c r="P905" s="2">
        <f t="shared" si="278"/>
        <v>0.88542304938005767</v>
      </c>
      <c r="Q905" s="2">
        <f t="shared" si="285"/>
        <v>4169.8769866096081</v>
      </c>
      <c r="S905" s="1">
        <f t="shared" si="266"/>
        <v>3000</v>
      </c>
      <c r="T905" s="1">
        <f t="shared" si="267"/>
        <v>812.5124508526967</v>
      </c>
      <c r="V905" s="1">
        <f t="shared" si="279"/>
        <v>812.5124508526967</v>
      </c>
      <c r="W905" s="1">
        <f t="shared" si="280"/>
        <v>3000</v>
      </c>
    </row>
    <row r="906" spans="1:23" x14ac:dyDescent="0.25">
      <c r="A906" s="2">
        <f t="shared" si="281"/>
        <v>89.399999999999196</v>
      </c>
      <c r="B906" s="7">
        <f t="shared" si="284"/>
        <v>2.9439026316320418</v>
      </c>
      <c r="C906" s="7">
        <f t="shared" si="268"/>
        <v>2.1804417525071833</v>
      </c>
      <c r="D906" s="7">
        <f t="shared" si="269"/>
        <v>84.200355140850505</v>
      </c>
      <c r="E906" s="7">
        <f t="shared" si="270"/>
        <v>1</v>
      </c>
      <c r="G906" s="4">
        <f t="shared" si="271"/>
        <v>8939.99999999992</v>
      </c>
      <c r="H906" s="1">
        <f t="shared" si="282"/>
        <v>12.398507888070034</v>
      </c>
      <c r="I906" s="1">
        <f t="shared" si="283"/>
        <v>2477.8519910391574</v>
      </c>
      <c r="J906" s="1">
        <f t="shared" si="272"/>
        <v>82.59506636797191</v>
      </c>
      <c r="K906" s="7">
        <f t="shared" si="273"/>
        <v>6.7886355918881023</v>
      </c>
      <c r="L906" s="4">
        <f t="shared" si="274"/>
        <v>806.54866620055941</v>
      </c>
      <c r="M906" s="1">
        <f t="shared" si="275"/>
        <v>1090.2208762535915</v>
      </c>
      <c r="N906" s="7">
        <f t="shared" si="276"/>
        <v>84.200355140850505</v>
      </c>
      <c r="O906" s="1">
        <f t="shared" si="277"/>
        <v>3000</v>
      </c>
      <c r="P906" s="2">
        <f t="shared" si="278"/>
        <v>0.87931619360633939</v>
      </c>
      <c r="Q906" s="2">
        <f t="shared" si="285"/>
        <v>4298.3044706311275</v>
      </c>
      <c r="S906" s="1">
        <f t="shared" si="266"/>
        <v>3000</v>
      </c>
      <c r="T906" s="1">
        <f t="shared" si="267"/>
        <v>806.54866620055941</v>
      </c>
      <c r="V906" s="1">
        <f t="shared" si="279"/>
        <v>806.54866620055941</v>
      </c>
      <c r="W906" s="1">
        <f t="shared" si="280"/>
        <v>3000</v>
      </c>
    </row>
    <row r="907" spans="1:23" x14ac:dyDescent="0.25">
      <c r="A907" s="2">
        <f t="shared" si="281"/>
        <v>89.49999999999919</v>
      </c>
      <c r="B907" s="7">
        <f t="shared" si="284"/>
        <v>2.9222945918863248</v>
      </c>
      <c r="C907" s="7">
        <f t="shared" si="268"/>
        <v>2.1814144464234211</v>
      </c>
      <c r="D907" s="7">
        <f t="shared" si="269"/>
        <v>84.711480796326626</v>
      </c>
      <c r="E907" s="7">
        <f t="shared" si="270"/>
        <v>1</v>
      </c>
      <c r="G907" s="4">
        <f t="shared" si="271"/>
        <v>8949.99999999992</v>
      </c>
      <c r="H907" s="1">
        <f t="shared" si="282"/>
        <v>12.490184973596193</v>
      </c>
      <c r="I907" s="1">
        <f t="shared" si="283"/>
        <v>2490.3421760127535</v>
      </c>
      <c r="J907" s="1">
        <f t="shared" si="272"/>
        <v>83.011405867091781</v>
      </c>
      <c r="K907" s="7">
        <f t="shared" si="273"/>
        <v>6.8228552767472701</v>
      </c>
      <c r="L907" s="4">
        <f t="shared" si="274"/>
        <v>800.62865531132195</v>
      </c>
      <c r="M907" s="1">
        <f t="shared" si="275"/>
        <v>1090.7072232117105</v>
      </c>
      <c r="N907" s="7">
        <f t="shared" si="276"/>
        <v>84.711480796326626</v>
      </c>
      <c r="O907" s="1">
        <f t="shared" si="277"/>
        <v>3000</v>
      </c>
      <c r="P907" s="2">
        <f t="shared" si="278"/>
        <v>0.87325145745833765</v>
      </c>
      <c r="Q907" s="2">
        <f t="shared" si="285"/>
        <v>4436.1679542579986</v>
      </c>
      <c r="S907" s="1">
        <f t="shared" si="266"/>
        <v>3000</v>
      </c>
      <c r="T907" s="1">
        <f t="shared" si="267"/>
        <v>800.62865531132195</v>
      </c>
      <c r="V907" s="1">
        <f t="shared" si="279"/>
        <v>800.62865531132195</v>
      </c>
      <c r="W907" s="1">
        <f t="shared" si="280"/>
        <v>3000</v>
      </c>
    </row>
    <row r="908" spans="1:23" x14ac:dyDescent="0.25">
      <c r="A908" s="2">
        <f t="shared" si="281"/>
        <v>89.599999999999184</v>
      </c>
      <c r="B908" s="7">
        <f t="shared" si="284"/>
        <v>2.9008451536434703</v>
      </c>
      <c r="C908" s="7">
        <f t="shared" si="268"/>
        <v>2.182387574257902</v>
      </c>
      <c r="D908" s="7">
        <f t="shared" si="269"/>
        <v>85.225709163605458</v>
      </c>
      <c r="E908" s="7">
        <f t="shared" si="270"/>
        <v>1</v>
      </c>
      <c r="G908" s="4">
        <f t="shared" si="271"/>
        <v>8959.9999999999181</v>
      </c>
      <c r="H908" s="1">
        <f t="shared" si="282"/>
        <v>12.582539938110536</v>
      </c>
      <c r="I908" s="1">
        <f t="shared" si="283"/>
        <v>2502.9247159508641</v>
      </c>
      <c r="J908" s="1">
        <f t="shared" si="272"/>
        <v>83.430823865028799</v>
      </c>
      <c r="K908" s="7">
        <f t="shared" si="273"/>
        <v>6.8573279889064773</v>
      </c>
      <c r="L908" s="4">
        <f t="shared" si="274"/>
        <v>794.75209688862208</v>
      </c>
      <c r="M908" s="1">
        <f t="shared" si="275"/>
        <v>1091.193787128951</v>
      </c>
      <c r="N908" s="7">
        <f t="shared" si="276"/>
        <v>85.225709163605458</v>
      </c>
      <c r="O908" s="1">
        <f t="shared" si="277"/>
        <v>3000</v>
      </c>
      <c r="P908" s="2">
        <f t="shared" si="278"/>
        <v>0.86722855043257052</v>
      </c>
      <c r="Q908" s="2">
        <f t="shared" si="285"/>
        <v>4584.5389004894287</v>
      </c>
      <c r="S908" s="1">
        <f t="shared" ref="S908:S971" si="286">E908*$H$3</f>
        <v>3000</v>
      </c>
      <c r="T908" s="1">
        <f t="shared" ref="T908:T971" si="287">B908/100*$H$2/365*1000000</f>
        <v>794.75209688862208</v>
      </c>
      <c r="V908" s="1">
        <f t="shared" si="279"/>
        <v>794.75209688862208</v>
      </c>
      <c r="W908" s="1">
        <f t="shared" si="280"/>
        <v>3000</v>
      </c>
    </row>
    <row r="909" spans="1:23" x14ac:dyDescent="0.25">
      <c r="A909" s="2">
        <f t="shared" si="281"/>
        <v>89.699999999999179</v>
      </c>
      <c r="B909" s="7">
        <f t="shared" si="284"/>
        <v>2.8795531527795211</v>
      </c>
      <c r="C909" s="7">
        <f t="shared" ref="C909:C972" si="288">IF($C$5&lt;$C$7,IF(A909&lt;=$C$2,$C$3*EXP(A909*$C$4),IF(A909&lt;=$C$7,$C$6,IF($C$8*EXP(A909*$C$9)&gt;$C$6,$C$6,$C$8*EXP(A909*$C$9)))),IF(A909&lt;=$C$2,$C$3*EXP(A909*$C$4),IF(A909&lt;=$C$5,$C$6,IF($C$8*EXP(A909*$C$9)&gt;$C$6,$C$6,$C$8*EXP(A909*$C$9)))))</f>
        <v>2.1833611362041969</v>
      </c>
      <c r="D909" s="7">
        <f t="shared" ref="D909:D972" si="289">IF(IF($D$5&lt;$D$7,IF(A909&lt;=$D$2,$D$3*EXP(A909*$D$4),IF(A909&lt;=$D$7,$D$6,IF($D$8*EXP(A909*$D$9)&gt;$D$6,$D$6,$D$8*EXP(A909*$D$9)))),IF(A909&lt;=$D$2,$D$3*EXP(A909*$D$4),IF(A909&lt;=$D$5,$D$6,IF($D$8*EXP(A909*$D$9)&gt;$D$6,$D$6,$D$8*EXP(A909*$D$9)))))&lt;=100,IF($D$5&lt;$D$7,IF(A909&lt;=$D$2,$D$3*EXP(A909*$D$4),IF(A909&lt;=$D$7,$D$6,IF($D$8*EXP(A909*$D$9)&gt;$D$6,$D$6,$D$8*EXP(A909*$D$9)))),IF(A909&lt;=$D$2,$D$3*EXP(A909*$D$4),IF(A909&lt;=$D$5,$D$6,IF($D$8*EXP(A909*$D$9)&gt;$D$6,$D$6,$D$8*EXP(A909*$D$9))))),100)</f>
        <v>85.743059077234648</v>
      </c>
      <c r="E909" s="7">
        <f t="shared" ref="E909:E972" si="290">IF($E$5&lt;$E$7,IF(A909&lt;=$E$2,$E$3*EXP(A909*$E$4),IF(A909&lt;=$E$7,$E$6,IF($E$8*EXP(A909*$E$9)&gt;$E$6,$E$6,$E$8*EXP(A909*$E$9)))),IF(A909&lt;=$E$2,$E$3*EXP(A909*$E$4),IF(A909&lt;=$E$5,$E$6,IF($E$8*EXP(A909*$E$9)&gt;$E$6,$E$6,$E$8*EXP(A909*$E$9)))))</f>
        <v>1</v>
      </c>
      <c r="G909" s="4">
        <f t="shared" ref="G909:G972" si="291">A909/100*$H$2*1000</f>
        <v>8969.9999999999163</v>
      </c>
      <c r="H909" s="1">
        <f t="shared" si="282"/>
        <v>12.675577793992559</v>
      </c>
      <c r="I909" s="1">
        <f t="shared" si="283"/>
        <v>2515.6002937448566</v>
      </c>
      <c r="J909" s="1">
        <f t="shared" ref="J909:J972" si="292">I909/30</f>
        <v>83.853343124828555</v>
      </c>
      <c r="K909" s="7">
        <f t="shared" ref="K909:K972" si="293">I909/365</f>
        <v>6.8920555993009769</v>
      </c>
      <c r="L909" s="4">
        <f t="shared" ref="L909:L972" si="294">IF(A909&gt;$B$2,IF(AND(B909/100*$H$2/365*1000000&gt;=$H$5,O909&gt;=$H$6,M909&lt;=$L$4,N909&lt;=$L$5),B909/100*$H$2/365*1000000*$L$6/100,#N/A),B909/100*$H$2/365*1000000*$L$6/100)</f>
        <v>788.91867199438934</v>
      </c>
      <c r="M909" s="1">
        <f t="shared" ref="M909:M972" si="295">C909*$H$4</f>
        <v>1091.6805681020985</v>
      </c>
      <c r="N909" s="7">
        <f t="shared" ref="N909:N972" si="296">D909</f>
        <v>85.743059077234648</v>
      </c>
      <c r="O909" s="1">
        <f t="shared" ref="O909:O972" si="297">E909*$H$3</f>
        <v>3000</v>
      </c>
      <c r="P909" s="2">
        <f t="shared" ref="P909:P972" si="298">L909*M909/1000000</f>
        <v>0.8612471840291881</v>
      </c>
      <c r="Q909" s="2">
        <f t="shared" si="285"/>
        <v>4744.6574034640662</v>
      </c>
      <c r="S909" s="1">
        <f t="shared" si="286"/>
        <v>3000</v>
      </c>
      <c r="T909" s="1">
        <f t="shared" si="287"/>
        <v>788.91867199438923</v>
      </c>
      <c r="V909" s="1">
        <f t="shared" ref="V909:V972" si="299">T909</f>
        <v>788.91867199438923</v>
      </c>
      <c r="W909" s="1">
        <f t="shared" ref="W909:W972" si="300">S909</f>
        <v>3000</v>
      </c>
    </row>
    <row r="910" spans="1:23" x14ac:dyDescent="0.25">
      <c r="A910" s="2">
        <f t="shared" ref="A910:A973" si="301">A909+0.1</f>
        <v>89.799999999999173</v>
      </c>
      <c r="B910" s="7">
        <f t="shared" si="284"/>
        <v>2.8584174337151085</v>
      </c>
      <c r="C910" s="7">
        <f t="shared" si="288"/>
        <v>2.1843351324559626</v>
      </c>
      <c r="D910" s="7">
        <f t="shared" si="289"/>
        <v>86.263549486094277</v>
      </c>
      <c r="E910" s="7">
        <f t="shared" si="290"/>
        <v>1</v>
      </c>
      <c r="G910" s="4">
        <f t="shared" si="291"/>
        <v>8979.9999999999163</v>
      </c>
      <c r="H910" s="1">
        <f t="shared" ref="H910:H973" si="302">(G910-G909)*1000/L910</f>
        <v>12.769303590679774</v>
      </c>
      <c r="I910" s="1">
        <f t="shared" ref="I910:I973" si="303">H910+I909</f>
        <v>2528.3695973355361</v>
      </c>
      <c r="J910" s="1">
        <f t="shared" si="292"/>
        <v>84.2789865778512</v>
      </c>
      <c r="K910" s="7">
        <f t="shared" si="293"/>
        <v>6.9270399927000987</v>
      </c>
      <c r="L910" s="4">
        <f t="shared" si="294"/>
        <v>783.12806403153661</v>
      </c>
      <c r="M910" s="1">
        <f t="shared" si="295"/>
        <v>1092.1675662279813</v>
      </c>
      <c r="N910" s="7">
        <f t="shared" si="296"/>
        <v>86.263549486094277</v>
      </c>
      <c r="O910" s="1">
        <f t="shared" si="297"/>
        <v>3000</v>
      </c>
      <c r="P910" s="2">
        <f t="shared" si="298"/>
        <v>0.85530707173815401</v>
      </c>
      <c r="Q910" s="2">
        <f t="shared" si="285"/>
        <v>4917.9667219814755</v>
      </c>
      <c r="S910" s="1">
        <f t="shared" si="286"/>
        <v>3000</v>
      </c>
      <c r="T910" s="1">
        <f t="shared" si="287"/>
        <v>783.12806403153661</v>
      </c>
      <c r="V910" s="1">
        <f t="shared" si="299"/>
        <v>783.12806403153661</v>
      </c>
      <c r="W910" s="1">
        <f t="shared" si="300"/>
        <v>3000</v>
      </c>
    </row>
    <row r="911" spans="1:23" x14ac:dyDescent="0.25">
      <c r="A911" s="2">
        <f t="shared" si="301"/>
        <v>89.899999999999167</v>
      </c>
      <c r="B911" s="7">
        <f t="shared" si="284"/>
        <v>2.8374368493527382</v>
      </c>
      <c r="C911" s="7">
        <f t="shared" si="288"/>
        <v>2.1853095632069426</v>
      </c>
      <c r="D911" s="7">
        <f t="shared" si="289"/>
        <v>86.787199454090498</v>
      </c>
      <c r="E911" s="7">
        <f t="shared" si="290"/>
        <v>1</v>
      </c>
      <c r="G911" s="4">
        <f t="shared" si="291"/>
        <v>8989.9999999999163</v>
      </c>
      <c r="H911" s="1">
        <f t="shared" si="302"/>
        <v>12.863722414941568</v>
      </c>
      <c r="I911" s="1">
        <f t="shared" si="303"/>
        <v>2541.2333197504777</v>
      </c>
      <c r="J911" s="1">
        <f t="shared" si="292"/>
        <v>84.707777325015925</v>
      </c>
      <c r="K911" s="7">
        <f t="shared" si="293"/>
        <v>6.962283067809528</v>
      </c>
      <c r="L911" s="4">
        <f t="shared" si="294"/>
        <v>777.37995872677755</v>
      </c>
      <c r="M911" s="1">
        <f t="shared" si="295"/>
        <v>1092.6547816034713</v>
      </c>
      <c r="N911" s="7">
        <f t="shared" si="296"/>
        <v>86.787199454090498</v>
      </c>
      <c r="O911" s="1">
        <f t="shared" si="297"/>
        <v>3000</v>
      </c>
      <c r="P911" s="2">
        <f t="shared" si="298"/>
        <v>0.84940792902552265</v>
      </c>
      <c r="Q911" s="2">
        <f t="shared" si="285"/>
        <v>5106.1566618834813</v>
      </c>
      <c r="S911" s="1">
        <f t="shared" si="286"/>
        <v>3000</v>
      </c>
      <c r="T911" s="1">
        <f t="shared" si="287"/>
        <v>777.37995872677755</v>
      </c>
      <c r="V911" s="1">
        <f t="shared" si="299"/>
        <v>777.37995872677755</v>
      </c>
      <c r="W911" s="1">
        <f t="shared" si="300"/>
        <v>3000</v>
      </c>
    </row>
    <row r="912" spans="1:23" x14ac:dyDescent="0.25">
      <c r="A912" s="2">
        <f t="shared" si="301"/>
        <v>89.999999999999162</v>
      </c>
      <c r="B912" s="7">
        <f t="shared" si="284"/>
        <v>2.8166102610145294</v>
      </c>
      <c r="C912" s="7">
        <f t="shared" si="288"/>
        <v>2.1862844286509673</v>
      </c>
      <c r="D912" s="7">
        <f t="shared" si="289"/>
        <v>87.314028160854335</v>
      </c>
      <c r="E912" s="7">
        <f t="shared" si="290"/>
        <v>1</v>
      </c>
      <c r="G912" s="4">
        <f t="shared" si="291"/>
        <v>8999.9999999999163</v>
      </c>
      <c r="H912" s="1">
        <f t="shared" si="302"/>
        <v>12.958839391166915</v>
      </c>
      <c r="I912" s="1">
        <f t="shared" si="303"/>
        <v>2554.1921591416444</v>
      </c>
      <c r="J912" s="1">
        <f t="shared" si="292"/>
        <v>85.139738638054808</v>
      </c>
      <c r="K912" s="7">
        <f t="shared" si="293"/>
        <v>6.9977867373743683</v>
      </c>
      <c r="L912" s="4">
        <f t="shared" si="294"/>
        <v>771.67404411356949</v>
      </c>
      <c r="M912" s="1">
        <f t="shared" si="295"/>
        <v>1093.1422143254836</v>
      </c>
      <c r="N912" s="7">
        <f t="shared" si="296"/>
        <v>87.314028160854335</v>
      </c>
      <c r="O912" s="1">
        <f t="shared" si="297"/>
        <v>3000</v>
      </c>
      <c r="P912" s="2">
        <f t="shared" si="298"/>
        <v>0.84354947331980823</v>
      </c>
      <c r="Q912" s="2">
        <f t="shared" si="285"/>
        <v>5311.2185706436303</v>
      </c>
      <c r="S912" s="1">
        <f t="shared" si="286"/>
        <v>3000</v>
      </c>
      <c r="T912" s="1">
        <f t="shared" si="287"/>
        <v>771.67404411356961</v>
      </c>
      <c r="V912" s="1">
        <f t="shared" si="299"/>
        <v>771.67404411356961</v>
      </c>
      <c r="W912" s="1">
        <f t="shared" si="300"/>
        <v>3000</v>
      </c>
    </row>
    <row r="913" spans="1:23" x14ac:dyDescent="0.25">
      <c r="A913" s="2">
        <f t="shared" si="301"/>
        <v>90.099999999999156</v>
      </c>
      <c r="B913" s="7">
        <f t="shared" si="284"/>
        <v>2.7959365383804182</v>
      </c>
      <c r="C913" s="7">
        <f t="shared" si="288"/>
        <v>2.1872597289819526</v>
      </c>
      <c r="D913" s="7">
        <f t="shared" si="289"/>
        <v>87.844054902443773</v>
      </c>
      <c r="E913" s="7">
        <f t="shared" si="290"/>
        <v>1</v>
      </c>
      <c r="G913" s="4">
        <f t="shared" si="291"/>
        <v>9009.9999999999163</v>
      </c>
      <c r="H913" s="1">
        <f t="shared" si="302"/>
        <v>13.054659681633224</v>
      </c>
      <c r="I913" s="1">
        <f t="shared" si="303"/>
        <v>2567.2468188232779</v>
      </c>
      <c r="J913" s="1">
        <f t="shared" si="292"/>
        <v>85.574893960775924</v>
      </c>
      <c r="K913" s="7">
        <f t="shared" si="293"/>
        <v>7.033552928282953</v>
      </c>
      <c r="L913" s="4">
        <f t="shared" si="294"/>
        <v>766.0100105151829</v>
      </c>
      <c r="M913" s="1">
        <f t="shared" si="295"/>
        <v>1093.6298644909764</v>
      </c>
      <c r="N913" s="7">
        <f t="shared" si="296"/>
        <v>87.844054902443773</v>
      </c>
      <c r="O913" s="1">
        <f t="shared" si="297"/>
        <v>3000</v>
      </c>
      <c r="P913" s="2">
        <f t="shared" si="298"/>
        <v>0.83773142399845091</v>
      </c>
      <c r="Q913" s="2">
        <f t="shared" si="285"/>
        <v>5535.5157397876683</v>
      </c>
      <c r="S913" s="1">
        <f t="shared" si="286"/>
        <v>3000</v>
      </c>
      <c r="T913" s="1">
        <f t="shared" si="287"/>
        <v>766.01001051518301</v>
      </c>
      <c r="V913" s="1">
        <f t="shared" si="299"/>
        <v>766.01001051518301</v>
      </c>
      <c r="W913" s="1">
        <f t="shared" si="300"/>
        <v>3000</v>
      </c>
    </row>
    <row r="914" spans="1:23" x14ac:dyDescent="0.25">
      <c r="A914" s="2">
        <f t="shared" si="301"/>
        <v>90.19999999999915</v>
      </c>
      <c r="B914" s="7">
        <f t="shared" si="284"/>
        <v>2.7754145594268089</v>
      </c>
      <c r="C914" s="7">
        <f t="shared" si="288"/>
        <v>2.1882354643939013</v>
      </c>
      <c r="D914" s="7">
        <f t="shared" si="289"/>
        <v>88.377299092050649</v>
      </c>
      <c r="E914" s="7">
        <f t="shared" si="290"/>
        <v>1</v>
      </c>
      <c r="G914" s="4">
        <f t="shared" si="291"/>
        <v>9019.9999999999145</v>
      </c>
      <c r="H914" s="1">
        <f t="shared" si="302"/>
        <v>13.151188486786458</v>
      </c>
      <c r="I914" s="1">
        <f t="shared" si="303"/>
        <v>2580.3980073100643</v>
      </c>
      <c r="J914" s="1">
        <f t="shared" si="292"/>
        <v>86.013266910335474</v>
      </c>
      <c r="K914" s="7">
        <f t="shared" si="293"/>
        <v>7.0695835816714085</v>
      </c>
      <c r="L914" s="4">
        <f t="shared" si="294"/>
        <v>760.38755052789293</v>
      </c>
      <c r="M914" s="1">
        <f t="shared" si="295"/>
        <v>1094.1177321969506</v>
      </c>
      <c r="N914" s="7">
        <f t="shared" si="296"/>
        <v>88.377299092050649</v>
      </c>
      <c r="O914" s="1">
        <f t="shared" si="297"/>
        <v>3000</v>
      </c>
      <c r="P914" s="2">
        <f t="shared" si="298"/>
        <v>0.83195350237437238</v>
      </c>
      <c r="Q914" s="2">
        <f t="shared" si="285"/>
        <v>5781.8744981137088</v>
      </c>
      <c r="S914" s="1">
        <f t="shared" si="286"/>
        <v>3000</v>
      </c>
      <c r="T914" s="1">
        <f t="shared" si="287"/>
        <v>760.38755052789293</v>
      </c>
      <c r="V914" s="1">
        <f t="shared" si="299"/>
        <v>760.38755052789293</v>
      </c>
      <c r="W914" s="1">
        <f t="shared" si="300"/>
        <v>3000</v>
      </c>
    </row>
    <row r="915" spans="1:23" x14ac:dyDescent="0.25">
      <c r="A915" s="2">
        <f t="shared" si="301"/>
        <v>90.299999999999145</v>
      </c>
      <c r="B915" s="7">
        <f t="shared" si="284"/>
        <v>2.7550432103656872</v>
      </c>
      <c r="C915" s="7">
        <f t="shared" si="288"/>
        <v>2.1892116350809028</v>
      </c>
      <c r="D915" s="7">
        <f t="shared" si="289"/>
        <v>88.913780260711718</v>
      </c>
      <c r="E915" s="7">
        <f t="shared" si="290"/>
        <v>1</v>
      </c>
      <c r="G915" s="4">
        <f t="shared" si="291"/>
        <v>9029.9999999999145</v>
      </c>
      <c r="H915" s="1">
        <f t="shared" si="302"/>
        <v>13.248431045535298</v>
      </c>
      <c r="I915" s="1">
        <f t="shared" si="303"/>
        <v>2593.6464383555995</v>
      </c>
      <c r="J915" s="1">
        <f t="shared" si="292"/>
        <v>86.454881278519977</v>
      </c>
      <c r="K915" s="7">
        <f t="shared" si="293"/>
        <v>7.1058806530290397</v>
      </c>
      <c r="L915" s="4">
        <f t="shared" si="294"/>
        <v>754.80635900429775</v>
      </c>
      <c r="M915" s="1">
        <f t="shared" si="295"/>
        <v>1094.6058175404514</v>
      </c>
      <c r="N915" s="7">
        <f t="shared" si="296"/>
        <v>88.913780260711718</v>
      </c>
      <c r="O915" s="1">
        <f t="shared" si="297"/>
        <v>3000</v>
      </c>
      <c r="P915" s="2">
        <f t="shared" si="298"/>
        <v>0.82621543168263079</v>
      </c>
      <c r="Q915" s="2">
        <f t="shared" si="285"/>
        <v>6053.7034554760257</v>
      </c>
      <c r="S915" s="1">
        <f t="shared" si="286"/>
        <v>3000</v>
      </c>
      <c r="T915" s="1">
        <f t="shared" si="287"/>
        <v>754.80635900429775</v>
      </c>
      <c r="V915" s="1">
        <f t="shared" si="299"/>
        <v>754.80635900429775</v>
      </c>
      <c r="W915" s="1">
        <f t="shared" si="300"/>
        <v>3000</v>
      </c>
    </row>
    <row r="916" spans="1:23" x14ac:dyDescent="0.25">
      <c r="A916" s="2">
        <f t="shared" si="301"/>
        <v>90.399999999999139</v>
      </c>
      <c r="B916" s="7">
        <f t="shared" si="284"/>
        <v>2.7348213855841585</v>
      </c>
      <c r="C916" s="7">
        <f t="shared" si="288"/>
        <v>2.190188241237133</v>
      </c>
      <c r="D916" s="7">
        <f t="shared" si="289"/>
        <v>89.453518058023789</v>
      </c>
      <c r="E916" s="7">
        <f t="shared" si="290"/>
        <v>1</v>
      </c>
      <c r="G916" s="4">
        <f t="shared" si="291"/>
        <v>9039.9999999999145</v>
      </c>
      <c r="H916" s="1">
        <f t="shared" si="302"/>
        <v>13.346392635511583</v>
      </c>
      <c r="I916" s="1">
        <f t="shared" si="303"/>
        <v>2606.9928309911111</v>
      </c>
      <c r="J916" s="1">
        <f t="shared" si="292"/>
        <v>86.899761033037038</v>
      </c>
      <c r="K916" s="7">
        <f t="shared" si="293"/>
        <v>7.1424461123044143</v>
      </c>
      <c r="L916" s="4">
        <f t="shared" si="294"/>
        <v>749.26613303675583</v>
      </c>
      <c r="M916" s="1">
        <f t="shared" si="295"/>
        <v>1095.0941206185664</v>
      </c>
      <c r="N916" s="7">
        <f t="shared" si="296"/>
        <v>89.453518058023789</v>
      </c>
      <c r="O916" s="1">
        <f t="shared" si="297"/>
        <v>3000</v>
      </c>
      <c r="P916" s="2">
        <f t="shared" si="298"/>
        <v>0.82051693706715989</v>
      </c>
      <c r="Q916" s="2">
        <f t="shared" si="285"/>
        <v>6355.1515975297771</v>
      </c>
      <c r="S916" s="1">
        <f t="shared" si="286"/>
        <v>3000</v>
      </c>
      <c r="T916" s="1">
        <f t="shared" si="287"/>
        <v>749.26613303675572</v>
      </c>
      <c r="V916" s="1">
        <f t="shared" si="299"/>
        <v>749.26613303675572</v>
      </c>
      <c r="W916" s="1">
        <f t="shared" si="300"/>
        <v>3000</v>
      </c>
    </row>
    <row r="917" spans="1:23" x14ac:dyDescent="0.25">
      <c r="A917" s="2">
        <f t="shared" si="301"/>
        <v>90.499999999999133</v>
      </c>
      <c r="B917" s="7">
        <f t="shared" si="284"/>
        <v>2.7147479875844516</v>
      </c>
      <c r="C917" s="7">
        <f t="shared" si="288"/>
        <v>2.1911652830568547</v>
      </c>
      <c r="D917" s="7">
        <f t="shared" si="289"/>
        <v>89.99653225286383</v>
      </c>
      <c r="E917" s="7">
        <f t="shared" si="290"/>
        <v>1</v>
      </c>
      <c r="G917" s="4">
        <f t="shared" si="291"/>
        <v>9049.9999999999145</v>
      </c>
      <c r="H917" s="1">
        <f t="shared" si="302"/>
        <v>13.44507857338067</v>
      </c>
      <c r="I917" s="1">
        <f t="shared" si="303"/>
        <v>2620.4379095644917</v>
      </c>
      <c r="J917" s="1">
        <f t="shared" si="292"/>
        <v>87.347930318816395</v>
      </c>
      <c r="K917" s="7">
        <f t="shared" si="293"/>
        <v>7.1792819440123061</v>
      </c>
      <c r="L917" s="4">
        <f t="shared" si="294"/>
        <v>743.7665719409456</v>
      </c>
      <c r="M917" s="1">
        <f t="shared" si="295"/>
        <v>1095.5826415284273</v>
      </c>
      <c r="N917" s="7">
        <f t="shared" si="296"/>
        <v>89.99653225286383</v>
      </c>
      <c r="O917" s="1">
        <f t="shared" si="297"/>
        <v>3000</v>
      </c>
      <c r="P917" s="2">
        <f t="shared" si="298"/>
        <v>0.81485774556760415</v>
      </c>
      <c r="Q917" s="2">
        <f t="shared" si="285"/>
        <v>6691.3208471580319</v>
      </c>
      <c r="S917" s="1">
        <f t="shared" si="286"/>
        <v>3000</v>
      </c>
      <c r="T917" s="1">
        <f t="shared" si="287"/>
        <v>743.7665719409456</v>
      </c>
      <c r="V917" s="1">
        <f t="shared" si="299"/>
        <v>743.7665719409456</v>
      </c>
      <c r="W917" s="1">
        <f t="shared" si="300"/>
        <v>3000</v>
      </c>
    </row>
    <row r="918" spans="1:23" x14ac:dyDescent="0.25">
      <c r="A918" s="2">
        <f t="shared" si="301"/>
        <v>90.599999999999127</v>
      </c>
      <c r="B918" s="7">
        <f t="shared" si="284"/>
        <v>2.6948219269243534</v>
      </c>
      <c r="C918" s="7">
        <f t="shared" si="288"/>
        <v>2.1921427607344173</v>
      </c>
      <c r="D918" s="7">
        <f t="shared" si="289"/>
        <v>90.542842734112696</v>
      </c>
      <c r="E918" s="7">
        <f t="shared" si="290"/>
        <v>1</v>
      </c>
      <c r="G918" s="4">
        <f t="shared" si="291"/>
        <v>9059.9999999999127</v>
      </c>
      <c r="H918" s="1">
        <f t="shared" si="302"/>
        <v>13.54449421511552</v>
      </c>
      <c r="I918" s="1">
        <f t="shared" si="303"/>
        <v>2633.9824037796075</v>
      </c>
      <c r="J918" s="1">
        <f t="shared" si="292"/>
        <v>87.799413459320249</v>
      </c>
      <c r="K918" s="7">
        <f t="shared" si="293"/>
        <v>7.2163901473413903</v>
      </c>
      <c r="L918" s="4">
        <f t="shared" si="294"/>
        <v>738.30737723954883</v>
      </c>
      <c r="M918" s="1">
        <f t="shared" si="295"/>
        <v>1096.0713803672086</v>
      </c>
      <c r="N918" s="7">
        <f t="shared" si="296"/>
        <v>90.542842734112696</v>
      </c>
      <c r="O918" s="1">
        <f t="shared" si="297"/>
        <v>3000</v>
      </c>
      <c r="P918" s="2">
        <f t="shared" si="298"/>
        <v>0.80923758610624563</v>
      </c>
      <c r="Q918" s="2">
        <f t="shared" si="285"/>
        <v>7068.5563184999774</v>
      </c>
      <c r="S918" s="1">
        <f t="shared" si="286"/>
        <v>3000</v>
      </c>
      <c r="T918" s="1">
        <f t="shared" si="287"/>
        <v>738.30737723954883</v>
      </c>
      <c r="V918" s="1">
        <f t="shared" si="299"/>
        <v>738.30737723954883</v>
      </c>
      <c r="W918" s="1">
        <f t="shared" si="300"/>
        <v>3000</v>
      </c>
    </row>
    <row r="919" spans="1:23" x14ac:dyDescent="0.25">
      <c r="A919" s="2">
        <f t="shared" si="301"/>
        <v>90.699999999999122</v>
      </c>
      <c r="B919" s="7">
        <f t="shared" si="284"/>
        <v>2.6750421221580778</v>
      </c>
      <c r="C919" s="7">
        <f t="shared" si="288"/>
        <v>2.193120674464256</v>
      </c>
      <c r="D919" s="7">
        <f t="shared" si="289"/>
        <v>91.092469511383783</v>
      </c>
      <c r="E919" s="7">
        <f t="shared" si="290"/>
        <v>1</v>
      </c>
      <c r="G919" s="4">
        <f t="shared" si="291"/>
        <v>9069.9999999999127</v>
      </c>
      <c r="H919" s="1">
        <f t="shared" si="302"/>
        <v>13.644644956302141</v>
      </c>
      <c r="I919" s="1">
        <f t="shared" si="303"/>
        <v>2647.6270487359097</v>
      </c>
      <c r="J919" s="1">
        <f t="shared" si="292"/>
        <v>88.254234957863659</v>
      </c>
      <c r="K919" s="7">
        <f t="shared" si="293"/>
        <v>7.253772736262766</v>
      </c>
      <c r="L919" s="4">
        <f t="shared" si="294"/>
        <v>732.88825264604884</v>
      </c>
      <c r="M919" s="1">
        <f t="shared" si="295"/>
        <v>1096.5603372321279</v>
      </c>
      <c r="N919" s="7">
        <f t="shared" si="296"/>
        <v>91.092469511383783</v>
      </c>
      <c r="O919" s="1">
        <f t="shared" si="297"/>
        <v>3000</v>
      </c>
      <c r="P919" s="2">
        <f t="shared" si="298"/>
        <v>0.80365618947501627</v>
      </c>
      <c r="Q919" s="2">
        <f t="shared" si="285"/>
        <v>7494.8495427246917</v>
      </c>
      <c r="S919" s="1">
        <f t="shared" si="286"/>
        <v>3000</v>
      </c>
      <c r="T919" s="1">
        <f t="shared" si="287"/>
        <v>732.88825264604873</v>
      </c>
      <c r="V919" s="1">
        <f t="shared" si="299"/>
        <v>732.88825264604873</v>
      </c>
      <c r="W919" s="1">
        <f t="shared" si="300"/>
        <v>3000</v>
      </c>
    </row>
    <row r="920" spans="1:23" x14ac:dyDescent="0.25">
      <c r="A920" s="2">
        <f t="shared" si="301"/>
        <v>90.799999999999116</v>
      </c>
      <c r="B920" s="7">
        <f t="shared" si="284"/>
        <v>2.6554074997775787</v>
      </c>
      <c r="C920" s="7">
        <f t="shared" si="288"/>
        <v>2.1940990244408947</v>
      </c>
      <c r="D920" s="7">
        <f t="shared" si="289"/>
        <v>91.645432715755788</v>
      </c>
      <c r="E920" s="7">
        <f t="shared" si="290"/>
        <v>1</v>
      </c>
      <c r="G920" s="4">
        <f t="shared" si="291"/>
        <v>9079.9999999999109</v>
      </c>
      <c r="H920" s="1">
        <f t="shared" si="302"/>
        <v>13.745536232405257</v>
      </c>
      <c r="I920" s="1">
        <f t="shared" si="303"/>
        <v>2661.3725849683151</v>
      </c>
      <c r="J920" s="1">
        <f t="shared" si="292"/>
        <v>88.712419498943831</v>
      </c>
      <c r="K920" s="7">
        <f t="shared" si="293"/>
        <v>7.2914317396392194</v>
      </c>
      <c r="L920" s="4">
        <f t="shared" si="294"/>
        <v>727.50890404865163</v>
      </c>
      <c r="M920" s="1">
        <f t="shared" si="295"/>
        <v>1097.0495122204472</v>
      </c>
      <c r="N920" s="7">
        <f t="shared" si="296"/>
        <v>91.645432715755788</v>
      </c>
      <c r="O920" s="1">
        <f t="shared" si="297"/>
        <v>3000</v>
      </c>
      <c r="P920" s="2">
        <f t="shared" si="298"/>
        <v>0.79811328832260542</v>
      </c>
      <c r="Q920" s="2">
        <f t="shared" si="285"/>
        <v>7980.4095230451512</v>
      </c>
      <c r="S920" s="1">
        <f t="shared" si="286"/>
        <v>3000</v>
      </c>
      <c r="T920" s="1">
        <f t="shared" si="287"/>
        <v>727.50890404865163</v>
      </c>
      <c r="V920" s="1">
        <f t="shared" si="299"/>
        <v>727.50890404865163</v>
      </c>
      <c r="W920" s="1">
        <f t="shared" si="300"/>
        <v>3000</v>
      </c>
    </row>
    <row r="921" spans="1:23" x14ac:dyDescent="0.25">
      <c r="A921" s="2">
        <f t="shared" si="301"/>
        <v>90.89999999999911</v>
      </c>
      <c r="B921" s="7">
        <f t="shared" si="284"/>
        <v>2.6359169941542793</v>
      </c>
      <c r="C921" s="7">
        <f t="shared" si="288"/>
        <v>2.1950778108589417</v>
      </c>
      <c r="D921" s="7">
        <f t="shared" si="289"/>
        <v>92.201752600510233</v>
      </c>
      <c r="E921" s="7">
        <f t="shared" si="290"/>
        <v>1</v>
      </c>
      <c r="G921" s="4">
        <f t="shared" si="291"/>
        <v>9089.9999999999109</v>
      </c>
      <c r="H921" s="1">
        <f t="shared" si="302"/>
        <v>13.847173519100453</v>
      </c>
      <c r="I921" s="1">
        <f t="shared" si="303"/>
        <v>2675.2197584874157</v>
      </c>
      <c r="J921" s="1">
        <f t="shared" si="292"/>
        <v>89.173991949580525</v>
      </c>
      <c r="K921" s="7">
        <f t="shared" si="293"/>
        <v>7.3293692013353855</v>
      </c>
      <c r="L921" s="4">
        <f t="shared" si="294"/>
        <v>722.1690394943231</v>
      </c>
      <c r="M921" s="1">
        <f t="shared" si="295"/>
        <v>1097.5389054294708</v>
      </c>
      <c r="N921" s="7">
        <f t="shared" si="296"/>
        <v>92.201752600510233</v>
      </c>
      <c r="O921" s="1">
        <f t="shared" si="297"/>
        <v>3000</v>
      </c>
      <c r="P921" s="2">
        <f t="shared" si="298"/>
        <v>0.79260861714165165</v>
      </c>
      <c r="Q921" s="2">
        <f t="shared" si="285"/>
        <v>8538.4891891940115</v>
      </c>
      <c r="S921" s="1">
        <f t="shared" si="286"/>
        <v>3000</v>
      </c>
      <c r="T921" s="1">
        <f t="shared" si="287"/>
        <v>722.1690394943231</v>
      </c>
      <c r="V921" s="1">
        <f t="shared" si="299"/>
        <v>722.1690394943231</v>
      </c>
      <c r="W921" s="1">
        <f t="shared" si="300"/>
        <v>3000</v>
      </c>
    </row>
    <row r="922" spans="1:23" x14ac:dyDescent="0.25">
      <c r="A922" s="2">
        <f t="shared" si="301"/>
        <v>90.999999999999105</v>
      </c>
      <c r="B922" s="7">
        <f t="shared" si="284"/>
        <v>2.6165695474812498</v>
      </c>
      <c r="C922" s="7">
        <f t="shared" si="288"/>
        <v>2.1960570339130938</v>
      </c>
      <c r="D922" s="7">
        <f t="shared" si="289"/>
        <v>92.761449541872892</v>
      </c>
      <c r="E922" s="7">
        <f t="shared" si="290"/>
        <v>1</v>
      </c>
      <c r="G922" s="4">
        <f t="shared" si="291"/>
        <v>9099.9999999999109</v>
      </c>
      <c r="H922" s="1">
        <f t="shared" si="302"/>
        <v>13.949562332534008</v>
      </c>
      <c r="I922" s="1">
        <f t="shared" si="303"/>
        <v>2689.1693208199495</v>
      </c>
      <c r="J922" s="1">
        <f t="shared" si="292"/>
        <v>89.638977360664981</v>
      </c>
      <c r="K922" s="7">
        <f t="shared" si="293"/>
        <v>7.3675871803286288</v>
      </c>
      <c r="L922" s="4">
        <f t="shared" si="294"/>
        <v>716.86836917294522</v>
      </c>
      <c r="M922" s="1">
        <f t="shared" si="295"/>
        <v>1098.0285169565468</v>
      </c>
      <c r="N922" s="7">
        <f t="shared" si="296"/>
        <v>92.761449541872892</v>
      </c>
      <c r="O922" s="1">
        <f t="shared" si="297"/>
        <v>3000</v>
      </c>
      <c r="P922" s="2">
        <f t="shared" si="298"/>
        <v>0.78714191225602737</v>
      </c>
      <c r="Q922" s="2">
        <f t="shared" si="285"/>
        <v>9186.6112476345625</v>
      </c>
      <c r="S922" s="1">
        <f t="shared" si="286"/>
        <v>3000</v>
      </c>
      <c r="T922" s="1">
        <f t="shared" si="287"/>
        <v>716.86836917294522</v>
      </c>
      <c r="V922" s="1">
        <f t="shared" si="299"/>
        <v>716.86836917294522</v>
      </c>
      <c r="W922" s="1">
        <f t="shared" si="300"/>
        <v>3000</v>
      </c>
    </row>
    <row r="923" spans="1:23" x14ac:dyDescent="0.25">
      <c r="A923" s="2">
        <f t="shared" si="301"/>
        <v>91.099999999999099</v>
      </c>
      <c r="B923" s="7">
        <f t="shared" si="284"/>
        <v>2.5973641097157834</v>
      </c>
      <c r="C923" s="7">
        <f t="shared" si="288"/>
        <v>2.1970366937981343</v>
      </c>
      <c r="D923" s="7">
        <f t="shared" si="289"/>
        <v>93.324544039760625</v>
      </c>
      <c r="E923" s="7">
        <f t="shared" si="290"/>
        <v>1</v>
      </c>
      <c r="G923" s="4">
        <f t="shared" si="291"/>
        <v>9109.9999999999109</v>
      </c>
      <c r="H923" s="1">
        <f t="shared" si="302"/>
        <v>14.052708229649793</v>
      </c>
      <c r="I923" s="1">
        <f t="shared" si="303"/>
        <v>2703.2220290495993</v>
      </c>
      <c r="J923" s="1">
        <f t="shared" si="292"/>
        <v>90.107400968319979</v>
      </c>
      <c r="K923" s="7">
        <f t="shared" si="293"/>
        <v>7.40608775082082</v>
      </c>
      <c r="L923" s="4">
        <f t="shared" si="294"/>
        <v>711.60660540158449</v>
      </c>
      <c r="M923" s="1">
        <f t="shared" si="295"/>
        <v>1098.5183468990672</v>
      </c>
      <c r="N923" s="7">
        <f t="shared" si="296"/>
        <v>93.324544039760625</v>
      </c>
      <c r="O923" s="1">
        <f t="shared" si="297"/>
        <v>3000</v>
      </c>
      <c r="P923" s="2">
        <f t="shared" si="298"/>
        <v>0.78171291180820546</v>
      </c>
      <c r="Q923" s="2">
        <f t="shared" si="285"/>
        <v>9948.4383359490148</v>
      </c>
      <c r="S923" s="1">
        <f t="shared" si="286"/>
        <v>3000</v>
      </c>
      <c r="T923" s="1">
        <f t="shared" si="287"/>
        <v>711.60660540158449</v>
      </c>
      <c r="V923" s="1">
        <f t="shared" si="299"/>
        <v>711.60660540158449</v>
      </c>
      <c r="W923" s="1">
        <f t="shared" si="300"/>
        <v>3000</v>
      </c>
    </row>
    <row r="924" spans="1:23" x14ac:dyDescent="0.25">
      <c r="A924" s="2">
        <f t="shared" si="301"/>
        <v>91.199999999999093</v>
      </c>
      <c r="B924" s="7">
        <f t="shared" si="284"/>
        <v>2.5782996385224144</v>
      </c>
      <c r="C924" s="7">
        <f t="shared" si="288"/>
        <v>2.198016790708933</v>
      </c>
      <c r="D924" s="7">
        <f t="shared" si="289"/>
        <v>93.891056718531885</v>
      </c>
      <c r="E924" s="7">
        <f t="shared" si="290"/>
        <v>1</v>
      </c>
      <c r="G924" s="4">
        <f t="shared" si="291"/>
        <v>9119.9999999999091</v>
      </c>
      <c r="H924" s="1">
        <f t="shared" si="302"/>
        <v>14.156616808475748</v>
      </c>
      <c r="I924" s="1">
        <f t="shared" si="303"/>
        <v>2717.3786458580753</v>
      </c>
      <c r="J924" s="1">
        <f t="shared" si="292"/>
        <v>90.579288195269172</v>
      </c>
      <c r="K924" s="7">
        <f t="shared" si="293"/>
        <v>7.4448730023508913</v>
      </c>
      <c r="L924" s="4">
        <f t="shared" si="294"/>
        <v>706.38346260888068</v>
      </c>
      <c r="M924" s="1">
        <f t="shared" si="295"/>
        <v>1099.0083953544665</v>
      </c>
      <c r="N924" s="7">
        <f t="shared" si="296"/>
        <v>93.891056718531885</v>
      </c>
      <c r="O924" s="1">
        <f t="shared" si="297"/>
        <v>3000</v>
      </c>
      <c r="P924" s="2">
        <f t="shared" si="298"/>
        <v>0.77632135574671779</v>
      </c>
      <c r="Q924" s="2">
        <f t="shared" si="285"/>
        <v>10856.720499278304</v>
      </c>
      <c r="S924" s="1">
        <f t="shared" si="286"/>
        <v>3000</v>
      </c>
      <c r="T924" s="1">
        <f t="shared" si="287"/>
        <v>706.38346260888068</v>
      </c>
      <c r="V924" s="1">
        <f t="shared" si="299"/>
        <v>706.38346260888068</v>
      </c>
      <c r="W924" s="1">
        <f t="shared" si="300"/>
        <v>3000</v>
      </c>
    </row>
    <row r="925" spans="1:23" x14ac:dyDescent="0.25">
      <c r="A925" s="2">
        <f t="shared" si="301"/>
        <v>91.299999999999088</v>
      </c>
      <c r="B925" s="7">
        <f t="shared" si="284"/>
        <v>2.5593750992163473</v>
      </c>
      <c r="C925" s="7">
        <f t="shared" si="288"/>
        <v>2.1989973248404469</v>
      </c>
      <c r="D925" s="7">
        <f t="shared" si="289"/>
        <v>94.461008327742192</v>
      </c>
      <c r="E925" s="7">
        <f t="shared" si="290"/>
        <v>1</v>
      </c>
      <c r="G925" s="4">
        <f t="shared" si="291"/>
        <v>9129.9999999999109</v>
      </c>
      <c r="H925" s="1">
        <f t="shared" si="302"/>
        <v>14.261293708445679</v>
      </c>
      <c r="I925" s="1">
        <f t="shared" si="303"/>
        <v>2731.6399395665208</v>
      </c>
      <c r="J925" s="1">
        <f t="shared" si="292"/>
        <v>91.054664652217355</v>
      </c>
      <c r="K925" s="7">
        <f t="shared" si="293"/>
        <v>7.4839450399082761</v>
      </c>
      <c r="L925" s="4">
        <f t="shared" si="294"/>
        <v>701.19865731954735</v>
      </c>
      <c r="M925" s="1">
        <f t="shared" si="295"/>
        <v>1099.4986624202234</v>
      </c>
      <c r="N925" s="7">
        <f t="shared" si="296"/>
        <v>94.461008327742192</v>
      </c>
      <c r="O925" s="1">
        <f t="shared" si="297"/>
        <v>3000</v>
      </c>
      <c r="P925" s="2">
        <f t="shared" si="298"/>
        <v>0.77096698581369882</v>
      </c>
      <c r="Q925" s="2">
        <f t="shared" si="285"/>
        <v>11958.120923020679</v>
      </c>
      <c r="S925" s="1">
        <f t="shared" si="286"/>
        <v>3000</v>
      </c>
      <c r="T925" s="1">
        <f t="shared" si="287"/>
        <v>701.19865731954735</v>
      </c>
      <c r="V925" s="1">
        <f t="shared" si="299"/>
        <v>701.19865731954735</v>
      </c>
      <c r="W925" s="1">
        <f t="shared" si="300"/>
        <v>3000</v>
      </c>
    </row>
    <row r="926" spans="1:23" x14ac:dyDescent="0.25">
      <c r="A926" s="2">
        <f t="shared" si="301"/>
        <v>91.399999999999082</v>
      </c>
      <c r="B926" s="7">
        <f t="shared" si="284"/>
        <v>2.5405894647073008</v>
      </c>
      <c r="C926" s="7">
        <f t="shared" si="288"/>
        <v>2.1999782963877195</v>
      </c>
      <c r="D926" s="7">
        <f t="shared" si="289"/>
        <v>95.034419742904134</v>
      </c>
      <c r="E926" s="7">
        <f t="shared" si="290"/>
        <v>1</v>
      </c>
      <c r="G926" s="4">
        <f t="shared" si="291"/>
        <v>9139.9999999999091</v>
      </c>
      <c r="H926" s="1">
        <f t="shared" si="302"/>
        <v>14.366744610664004</v>
      </c>
      <c r="I926" s="1">
        <f t="shared" si="303"/>
        <v>2746.006684177185</v>
      </c>
      <c r="J926" s="1">
        <f t="shared" si="292"/>
        <v>91.533556139239494</v>
      </c>
      <c r="K926" s="7">
        <f t="shared" si="293"/>
        <v>7.5233059840470817</v>
      </c>
      <c r="L926" s="4">
        <f t="shared" si="294"/>
        <v>696.05190813898651</v>
      </c>
      <c r="M926" s="1">
        <f t="shared" si="295"/>
        <v>1099.9891481938598</v>
      </c>
      <c r="N926" s="7">
        <f t="shared" si="296"/>
        <v>95.034419742904134</v>
      </c>
      <c r="O926" s="1">
        <f t="shared" si="297"/>
        <v>3000</v>
      </c>
      <c r="P926" s="2">
        <f t="shared" si="298"/>
        <v>0.76564954553251452</v>
      </c>
      <c r="Q926" s="2">
        <f t="shared" si="285"/>
        <v>13321.482238939205</v>
      </c>
      <c r="S926" s="1">
        <f t="shared" si="286"/>
        <v>3000</v>
      </c>
      <c r="T926" s="1">
        <f t="shared" si="287"/>
        <v>696.05190813898651</v>
      </c>
      <c r="V926" s="1">
        <f t="shared" si="299"/>
        <v>696.05190813898651</v>
      </c>
      <c r="W926" s="1">
        <f t="shared" si="300"/>
        <v>3000</v>
      </c>
    </row>
    <row r="927" spans="1:23" x14ac:dyDescent="0.25">
      <c r="A927" s="2">
        <f t="shared" si="301"/>
        <v>91.499999999999076</v>
      </c>
      <c r="B927" s="7">
        <f t="shared" si="284"/>
        <v>2.5219417154437642</v>
      </c>
      <c r="C927" s="7">
        <f t="shared" si="288"/>
        <v>2.2009597055458827</v>
      </c>
      <c r="D927" s="7">
        <f t="shared" si="289"/>
        <v>95.611311966252103</v>
      </c>
      <c r="E927" s="7">
        <f t="shared" si="290"/>
        <v>1</v>
      </c>
      <c r="G927" s="4">
        <f t="shared" si="291"/>
        <v>9149.9999999999054</v>
      </c>
      <c r="H927" s="1">
        <f t="shared" si="302"/>
        <v>14.472975238273555</v>
      </c>
      <c r="I927" s="1">
        <f t="shared" si="303"/>
        <v>2760.4796594154586</v>
      </c>
      <c r="J927" s="1">
        <f t="shared" si="292"/>
        <v>92.015988647181956</v>
      </c>
      <c r="K927" s="7">
        <f t="shared" si="293"/>
        <v>7.5629579710012562</v>
      </c>
      <c r="L927" s="4">
        <f t="shared" si="294"/>
        <v>690.94293573801735</v>
      </c>
      <c r="M927" s="1">
        <f t="shared" si="295"/>
        <v>1100.4798527729413</v>
      </c>
      <c r="N927" s="7">
        <f t="shared" si="296"/>
        <v>95.611311966252103</v>
      </c>
      <c r="O927" s="1">
        <f t="shared" si="297"/>
        <v>3000</v>
      </c>
      <c r="P927" s="2">
        <f t="shared" si="298"/>
        <v>0.76036878019547716</v>
      </c>
      <c r="Q927" s="2">
        <f t="shared" si="285"/>
        <v>15052.78116642739</v>
      </c>
      <c r="S927" s="1">
        <f t="shared" si="286"/>
        <v>3000</v>
      </c>
      <c r="T927" s="1">
        <f t="shared" si="287"/>
        <v>690.94293573801747</v>
      </c>
      <c r="V927" s="1">
        <f t="shared" si="299"/>
        <v>690.94293573801747</v>
      </c>
      <c r="W927" s="1">
        <f t="shared" si="300"/>
        <v>3000</v>
      </c>
    </row>
    <row r="928" spans="1:23" x14ac:dyDescent="0.25">
      <c r="A928" s="2">
        <f t="shared" si="301"/>
        <v>91.599999999999071</v>
      </c>
      <c r="B928" s="7">
        <f t="shared" si="284"/>
        <v>2.5034308393576619</v>
      </c>
      <c r="C928" s="7">
        <f t="shared" si="288"/>
        <v>2.2019415525101538</v>
      </c>
      <c r="D928" s="7">
        <f t="shared" si="289"/>
        <v>95.761589999999998</v>
      </c>
      <c r="E928" s="7">
        <f t="shared" si="290"/>
        <v>1</v>
      </c>
      <c r="G928" s="4">
        <f t="shared" si="291"/>
        <v>9159.9999999999072</v>
      </c>
      <c r="H928" s="1">
        <f t="shared" si="302"/>
        <v>14.579991356730241</v>
      </c>
      <c r="I928" s="1">
        <f t="shared" si="303"/>
        <v>2775.0596507721889</v>
      </c>
      <c r="J928" s="1">
        <f t="shared" si="292"/>
        <v>92.501988359072968</v>
      </c>
      <c r="K928" s="7">
        <f t="shared" si="293"/>
        <v>7.6029031528005175</v>
      </c>
      <c r="L928" s="4">
        <f t="shared" si="294"/>
        <v>685.87146283771551</v>
      </c>
      <c r="M928" s="1">
        <f t="shared" si="295"/>
        <v>1100.970776255077</v>
      </c>
      <c r="N928" s="7">
        <f t="shared" si="296"/>
        <v>95.761589999999998</v>
      </c>
      <c r="O928" s="1">
        <f t="shared" si="297"/>
        <v>3000</v>
      </c>
      <c r="P928" s="2">
        <f t="shared" si="298"/>
        <v>0.75512443685164488</v>
      </c>
      <c r="Q928" s="2">
        <f t="shared" si="285"/>
        <v>15496.410639123042</v>
      </c>
      <c r="S928" s="1">
        <f t="shared" si="286"/>
        <v>3000</v>
      </c>
      <c r="T928" s="1">
        <f t="shared" si="287"/>
        <v>685.87146283771551</v>
      </c>
      <c r="V928" s="1">
        <f t="shared" si="299"/>
        <v>685.87146283771551</v>
      </c>
      <c r="W928" s="1">
        <f t="shared" si="300"/>
        <v>3000</v>
      </c>
    </row>
    <row r="929" spans="1:23" x14ac:dyDescent="0.25">
      <c r="A929" s="2">
        <f t="shared" si="301"/>
        <v>91.699999999999065</v>
      </c>
      <c r="B929" s="7">
        <f t="shared" si="284"/>
        <v>2.4850558318094329</v>
      </c>
      <c r="C929" s="7">
        <f t="shared" si="288"/>
        <v>2.2029238374758378</v>
      </c>
      <c r="D929" s="7">
        <f t="shared" si="289"/>
        <v>95.761589999999998</v>
      </c>
      <c r="E929" s="7">
        <f t="shared" si="290"/>
        <v>1</v>
      </c>
      <c r="G929" s="4">
        <f t="shared" si="291"/>
        <v>9169.9999999999054</v>
      </c>
      <c r="H929" s="1">
        <f t="shared" si="302"/>
        <v>14.687798774089021</v>
      </c>
      <c r="I929" s="1">
        <f t="shared" si="303"/>
        <v>2789.7474495462779</v>
      </c>
      <c r="J929" s="1">
        <f t="shared" si="292"/>
        <v>92.991581651542603</v>
      </c>
      <c r="K929" s="7">
        <f t="shared" si="293"/>
        <v>7.643143697387063</v>
      </c>
      <c r="L929" s="4">
        <f t="shared" si="294"/>
        <v>680.83721419436517</v>
      </c>
      <c r="M929" s="1">
        <f t="shared" si="295"/>
        <v>1101.4619187379189</v>
      </c>
      <c r="N929" s="7">
        <f t="shared" si="296"/>
        <v>95.761589999999998</v>
      </c>
      <c r="O929" s="1">
        <f t="shared" si="297"/>
        <v>3000</v>
      </c>
      <c r="P929" s="2">
        <f t="shared" si="298"/>
        <v>0.74991626429470504</v>
      </c>
      <c r="Q929" s="2">
        <f t="shared" si="285"/>
        <v>15382.668067134355</v>
      </c>
      <c r="S929" s="1">
        <f t="shared" si="286"/>
        <v>3000</v>
      </c>
      <c r="T929" s="1">
        <f t="shared" si="287"/>
        <v>680.83721419436517</v>
      </c>
      <c r="V929" s="1">
        <f t="shared" si="299"/>
        <v>680.83721419436517</v>
      </c>
      <c r="W929" s="1">
        <f t="shared" si="300"/>
        <v>3000</v>
      </c>
    </row>
    <row r="930" spans="1:23" x14ac:dyDescent="0.25">
      <c r="A930" s="2">
        <f t="shared" si="301"/>
        <v>91.799999999999059</v>
      </c>
      <c r="B930" s="7">
        <f t="shared" si="284"/>
        <v>2.4668156955334957</v>
      </c>
      <c r="C930" s="7">
        <f t="shared" si="288"/>
        <v>2.2039065606383272</v>
      </c>
      <c r="D930" s="7">
        <f t="shared" si="289"/>
        <v>95.761589999999998</v>
      </c>
      <c r="E930" s="7">
        <f t="shared" si="290"/>
        <v>1</v>
      </c>
      <c r="G930" s="4">
        <f t="shared" si="291"/>
        <v>9179.9999999999054</v>
      </c>
      <c r="H930" s="1">
        <f t="shared" si="302"/>
        <v>14.796403341396038</v>
      </c>
      <c r="I930" s="1">
        <f t="shared" si="303"/>
        <v>2804.5438528876739</v>
      </c>
      <c r="J930" s="1">
        <f t="shared" si="292"/>
        <v>93.484795096255795</v>
      </c>
      <c r="K930" s="7">
        <f t="shared" si="293"/>
        <v>7.6836817887333533</v>
      </c>
      <c r="L930" s="4">
        <f t="shared" si="294"/>
        <v>675.83991658451919</v>
      </c>
      <c r="M930" s="1">
        <f t="shared" si="295"/>
        <v>1101.9532803191637</v>
      </c>
      <c r="N930" s="7">
        <f t="shared" si="296"/>
        <v>95.761589999999998</v>
      </c>
      <c r="O930" s="1">
        <f t="shared" si="297"/>
        <v>3000</v>
      </c>
      <c r="P930" s="2">
        <f t="shared" si="298"/>
        <v>0.74474401305094096</v>
      </c>
      <c r="Q930" s="2">
        <f t="shared" si="285"/>
        <v>15269.760357681505</v>
      </c>
      <c r="S930" s="1">
        <f t="shared" si="286"/>
        <v>3000</v>
      </c>
      <c r="T930" s="1">
        <f t="shared" si="287"/>
        <v>675.8399165845193</v>
      </c>
      <c r="V930" s="1">
        <f t="shared" si="299"/>
        <v>675.8399165845193</v>
      </c>
      <c r="W930" s="1">
        <f t="shared" si="300"/>
        <v>3000</v>
      </c>
    </row>
    <row r="931" spans="1:23" x14ac:dyDescent="0.25">
      <c r="A931" s="2">
        <f t="shared" si="301"/>
        <v>91.899999999999054</v>
      </c>
      <c r="B931" s="7">
        <f t="shared" si="284"/>
        <v>2.4487094405841288</v>
      </c>
      <c r="C931" s="7">
        <f t="shared" si="288"/>
        <v>2.2048897221931014</v>
      </c>
      <c r="D931" s="7">
        <f t="shared" si="289"/>
        <v>95.761589999999998</v>
      </c>
      <c r="E931" s="7">
        <f t="shared" si="290"/>
        <v>1</v>
      </c>
      <c r="G931" s="4">
        <f t="shared" si="291"/>
        <v>9189.9999999999054</v>
      </c>
      <c r="H931" s="1">
        <f t="shared" si="302"/>
        <v>14.905810952929187</v>
      </c>
      <c r="I931" s="1">
        <f t="shared" si="303"/>
        <v>2819.4496638406031</v>
      </c>
      <c r="J931" s="1">
        <f t="shared" si="292"/>
        <v>93.981655461353441</v>
      </c>
      <c r="K931" s="7">
        <f t="shared" si="293"/>
        <v>7.7245196269605563</v>
      </c>
      <c r="L931" s="4">
        <f t="shared" si="294"/>
        <v>670.87929879017213</v>
      </c>
      <c r="M931" s="1">
        <f t="shared" si="295"/>
        <v>1102.4448610965508</v>
      </c>
      <c r="N931" s="7">
        <f t="shared" si="296"/>
        <v>95.761589999999998</v>
      </c>
      <c r="O931" s="1">
        <f t="shared" si="297"/>
        <v>3000</v>
      </c>
      <c r="P931" s="2">
        <f t="shared" si="298"/>
        <v>0.73960743536728268</v>
      </c>
      <c r="Q931" s="2">
        <f t="shared" si="285"/>
        <v>15157.681382931783</v>
      </c>
      <c r="S931" s="1">
        <f t="shared" si="286"/>
        <v>3000</v>
      </c>
      <c r="T931" s="1">
        <f t="shared" si="287"/>
        <v>670.87929879017224</v>
      </c>
      <c r="V931" s="1">
        <f t="shared" si="299"/>
        <v>670.87929879017224</v>
      </c>
      <c r="W931" s="1">
        <f t="shared" si="300"/>
        <v>3000</v>
      </c>
    </row>
    <row r="932" spans="1:23" x14ac:dyDescent="0.25">
      <c r="A932" s="2">
        <f t="shared" si="301"/>
        <v>91.999999999999048</v>
      </c>
      <c r="B932" s="7">
        <f t="shared" si="284"/>
        <v>2.4307360842817443</v>
      </c>
      <c r="C932" s="7">
        <f t="shared" si="288"/>
        <v>2.205873322335727</v>
      </c>
      <c r="D932" s="7">
        <f t="shared" si="289"/>
        <v>95.761589999999998</v>
      </c>
      <c r="E932" s="7">
        <f t="shared" si="290"/>
        <v>1</v>
      </c>
      <c r="G932" s="4">
        <f t="shared" si="291"/>
        <v>9199.9999999999054</v>
      </c>
      <c r="H932" s="1">
        <f t="shared" si="302"/>
        <v>15.016027546563267</v>
      </c>
      <c r="I932" s="1">
        <f t="shared" si="303"/>
        <v>2834.4656913871663</v>
      </c>
      <c r="J932" s="1">
        <f t="shared" si="292"/>
        <v>94.482189712905537</v>
      </c>
      <c r="K932" s="7">
        <f t="shared" si="293"/>
        <v>7.7656594284579903</v>
      </c>
      <c r="L932" s="4">
        <f t="shared" si="294"/>
        <v>665.95509158403945</v>
      </c>
      <c r="M932" s="1">
        <f t="shared" si="295"/>
        <v>1102.9366611678636</v>
      </c>
      <c r="N932" s="7">
        <f t="shared" si="296"/>
        <v>95.761589999999998</v>
      </c>
      <c r="O932" s="1">
        <f t="shared" si="297"/>
        <v>3000</v>
      </c>
      <c r="P932" s="2">
        <f t="shared" si="298"/>
        <v>0.73450628519943928</v>
      </c>
      <c r="Q932" s="2">
        <f t="shared" si="285"/>
        <v>15046.425060030337</v>
      </c>
      <c r="S932" s="1">
        <f t="shared" si="286"/>
        <v>3000</v>
      </c>
      <c r="T932" s="1">
        <f t="shared" si="287"/>
        <v>665.95509158403945</v>
      </c>
      <c r="V932" s="1">
        <f t="shared" si="299"/>
        <v>665.95509158403945</v>
      </c>
      <c r="W932" s="1">
        <f t="shared" si="300"/>
        <v>3000</v>
      </c>
    </row>
    <row r="933" spans="1:23" x14ac:dyDescent="0.25">
      <c r="A933" s="2">
        <f t="shared" si="301"/>
        <v>92.099999999999042</v>
      </c>
      <c r="B933" s="7">
        <f t="shared" si="284"/>
        <v>2.4128946511595544</v>
      </c>
      <c r="C933" s="7">
        <f t="shared" si="288"/>
        <v>2.2068573612618572</v>
      </c>
      <c r="D933" s="7">
        <f t="shared" si="289"/>
        <v>95.761589999999998</v>
      </c>
      <c r="E933" s="7">
        <f t="shared" si="290"/>
        <v>1</v>
      </c>
      <c r="G933" s="4">
        <f t="shared" si="291"/>
        <v>9209.9999999999036</v>
      </c>
      <c r="H933" s="1">
        <f t="shared" si="302"/>
        <v>15.12705910407349</v>
      </c>
      <c r="I933" s="1">
        <f t="shared" si="303"/>
        <v>2849.5927504912397</v>
      </c>
      <c r="J933" s="1">
        <f t="shared" si="292"/>
        <v>94.986425016374653</v>
      </c>
      <c r="K933" s="7">
        <f t="shared" si="293"/>
        <v>7.8071034260033967</v>
      </c>
      <c r="L933" s="4">
        <f t="shared" si="294"/>
        <v>661.06702771494633</v>
      </c>
      <c r="M933" s="1">
        <f t="shared" si="295"/>
        <v>1103.4286806309285</v>
      </c>
      <c r="N933" s="7">
        <f t="shared" si="296"/>
        <v>95.761589999999998</v>
      </c>
      <c r="O933" s="1">
        <f t="shared" si="297"/>
        <v>3000</v>
      </c>
      <c r="P933" s="2">
        <f t="shared" si="298"/>
        <v>0.72944031820011268</v>
      </c>
      <c r="Q933" s="2">
        <f t="shared" si="285"/>
        <v>14935.985350770048</v>
      </c>
      <c r="S933" s="1">
        <f t="shared" si="286"/>
        <v>3000</v>
      </c>
      <c r="T933" s="1">
        <f t="shared" si="287"/>
        <v>661.06702771494633</v>
      </c>
      <c r="V933" s="1">
        <f t="shared" si="299"/>
        <v>661.06702771494633</v>
      </c>
      <c r="W933" s="1">
        <f t="shared" si="300"/>
        <v>3000</v>
      </c>
    </row>
    <row r="934" spans="1:23" x14ac:dyDescent="0.25">
      <c r="A934" s="2">
        <f t="shared" si="301"/>
        <v>92.199999999999037</v>
      </c>
      <c r="B934" s="7">
        <f t="shared" si="284"/>
        <v>2.3951841729106267</v>
      </c>
      <c r="C934" s="7">
        <f t="shared" si="288"/>
        <v>2.2078418391672341</v>
      </c>
      <c r="D934" s="7">
        <f t="shared" si="289"/>
        <v>95.761589999999998</v>
      </c>
      <c r="E934" s="7">
        <f t="shared" si="290"/>
        <v>1</v>
      </c>
      <c r="G934" s="4">
        <f t="shared" si="291"/>
        <v>9219.9999999999036</v>
      </c>
      <c r="H934" s="1">
        <f t="shared" si="302"/>
        <v>15.238911651476563</v>
      </c>
      <c r="I934" s="1">
        <f t="shared" si="303"/>
        <v>2864.8316621427161</v>
      </c>
      <c r="J934" s="1">
        <f t="shared" si="292"/>
        <v>95.494388738090535</v>
      </c>
      <c r="K934" s="7">
        <f t="shared" si="293"/>
        <v>7.848853868884154</v>
      </c>
      <c r="L934" s="4">
        <f t="shared" si="294"/>
        <v>656.21484189332227</v>
      </c>
      <c r="M934" s="1">
        <f t="shared" si="295"/>
        <v>1103.920919583617</v>
      </c>
      <c r="N934" s="7">
        <f t="shared" si="296"/>
        <v>95.761589999999998</v>
      </c>
      <c r="O934" s="1">
        <f t="shared" si="297"/>
        <v>3000</v>
      </c>
      <c r="P934" s="2">
        <f t="shared" si="298"/>
        <v>0.72440929170729418</v>
      </c>
      <c r="Q934" s="2">
        <f t="shared" si="285"/>
        <v>14826.3562612638</v>
      </c>
      <c r="S934" s="1">
        <f t="shared" si="286"/>
        <v>3000</v>
      </c>
      <c r="T934" s="1">
        <f t="shared" si="287"/>
        <v>656.21484189332227</v>
      </c>
      <c r="V934" s="1">
        <f t="shared" si="299"/>
        <v>656.21484189332227</v>
      </c>
      <c r="W934" s="1">
        <f t="shared" si="300"/>
        <v>3000</v>
      </c>
    </row>
    <row r="935" spans="1:23" x14ac:dyDescent="0.25">
      <c r="A935" s="2">
        <f t="shared" si="301"/>
        <v>92.299999999999031</v>
      </c>
      <c r="B935" s="7">
        <f t="shared" si="284"/>
        <v>2.3776036883353355</v>
      </c>
      <c r="C935" s="7">
        <f t="shared" si="288"/>
        <v>2.2088267562476851</v>
      </c>
      <c r="D935" s="7">
        <f t="shared" si="289"/>
        <v>95.761589999999998</v>
      </c>
      <c r="E935" s="7">
        <f t="shared" si="290"/>
        <v>1</v>
      </c>
      <c r="G935" s="4">
        <f t="shared" si="291"/>
        <v>9229.9999999999036</v>
      </c>
      <c r="H935" s="1">
        <f t="shared" si="302"/>
        <v>15.351591259330208</v>
      </c>
      <c r="I935" s="1">
        <f t="shared" si="303"/>
        <v>2880.1832534020464</v>
      </c>
      <c r="J935" s="1">
        <f t="shared" si="292"/>
        <v>96.006108446734885</v>
      </c>
      <c r="K935" s="7">
        <f t="shared" si="293"/>
        <v>7.890913023019305</v>
      </c>
      <c r="L935" s="4">
        <f t="shared" si="294"/>
        <v>651.39827077680422</v>
      </c>
      <c r="M935" s="1">
        <f t="shared" si="295"/>
        <v>1104.4133781238424</v>
      </c>
      <c r="N935" s="7">
        <f t="shared" si="296"/>
        <v>95.761589999999998</v>
      </c>
      <c r="O935" s="1">
        <f t="shared" si="297"/>
        <v>3000</v>
      </c>
      <c r="P935" s="2">
        <f t="shared" si="298"/>
        <v>0.71941296473263983</v>
      </c>
      <c r="Q935" s="2">
        <f t="shared" si="285"/>
        <v>14717.531841619206</v>
      </c>
      <c r="S935" s="1">
        <f t="shared" si="286"/>
        <v>3000</v>
      </c>
      <c r="T935" s="1">
        <f t="shared" si="287"/>
        <v>651.39827077680422</v>
      </c>
      <c r="V935" s="1">
        <f t="shared" si="299"/>
        <v>651.39827077680422</v>
      </c>
      <c r="W935" s="1">
        <f t="shared" si="300"/>
        <v>3000</v>
      </c>
    </row>
    <row r="936" spans="1:23" x14ac:dyDescent="0.25">
      <c r="A936" s="2">
        <f t="shared" si="301"/>
        <v>92.399999999999025</v>
      </c>
      <c r="B936" s="7">
        <f t="shared" si="284"/>
        <v>2.3601522432891975</v>
      </c>
      <c r="C936" s="7">
        <f t="shared" si="288"/>
        <v>2.2098121126991268</v>
      </c>
      <c r="D936" s="7">
        <f t="shared" si="289"/>
        <v>95.761589999999998</v>
      </c>
      <c r="E936" s="7">
        <f t="shared" si="290"/>
        <v>1</v>
      </c>
      <c r="G936" s="4">
        <f t="shared" si="291"/>
        <v>9239.9999999999018</v>
      </c>
      <c r="H936" s="1">
        <f t="shared" si="302"/>
        <v>15.465104043087315</v>
      </c>
      <c r="I936" s="1">
        <f t="shared" si="303"/>
        <v>2895.6483574451336</v>
      </c>
      <c r="J936" s="1">
        <f t="shared" si="292"/>
        <v>96.521611914837791</v>
      </c>
      <c r="K936" s="7">
        <f t="shared" si="293"/>
        <v>7.9332831710825573</v>
      </c>
      <c r="L936" s="4">
        <f t="shared" si="294"/>
        <v>646.61705295594447</v>
      </c>
      <c r="M936" s="1">
        <f t="shared" si="295"/>
        <v>1104.9060563495634</v>
      </c>
      <c r="N936" s="7">
        <f t="shared" si="296"/>
        <v>95.761589999999998</v>
      </c>
      <c r="O936" s="1">
        <f t="shared" si="297"/>
        <v>3000</v>
      </c>
      <c r="P936" s="2">
        <f t="shared" si="298"/>
        <v>0.71445109794992945</v>
      </c>
      <c r="Q936" s="2">
        <f t="shared" si="285"/>
        <v>14609.506185615688</v>
      </c>
      <c r="S936" s="1">
        <f t="shared" si="286"/>
        <v>3000</v>
      </c>
      <c r="T936" s="1">
        <f t="shared" si="287"/>
        <v>646.61705295594447</v>
      </c>
      <c r="V936" s="1">
        <f t="shared" si="299"/>
        <v>646.61705295594447</v>
      </c>
      <c r="W936" s="1">
        <f t="shared" si="300"/>
        <v>3000</v>
      </c>
    </row>
    <row r="937" spans="1:23" x14ac:dyDescent="0.25">
      <c r="A937" s="2">
        <f t="shared" si="301"/>
        <v>92.499999999999019</v>
      </c>
      <c r="B937" s="7">
        <f t="shared" si="284"/>
        <v>2.3428288906310768</v>
      </c>
      <c r="C937" s="7">
        <f t="shared" si="288"/>
        <v>2.2107979087175615</v>
      </c>
      <c r="D937" s="7">
        <f t="shared" si="289"/>
        <v>95.761589999999998</v>
      </c>
      <c r="E937" s="7">
        <f t="shared" si="290"/>
        <v>1</v>
      </c>
      <c r="G937" s="4">
        <f t="shared" si="291"/>
        <v>9249.9999999999018</v>
      </c>
      <c r="H937" s="1">
        <f t="shared" si="302"/>
        <v>15.579456163428208</v>
      </c>
      <c r="I937" s="1">
        <f t="shared" si="303"/>
        <v>2911.227813608562</v>
      </c>
      <c r="J937" s="1">
        <f t="shared" si="292"/>
        <v>97.040927120285403</v>
      </c>
      <c r="K937" s="7">
        <f t="shared" si="293"/>
        <v>7.9759666126261974</v>
      </c>
      <c r="L937" s="4">
        <f t="shared" si="294"/>
        <v>641.87092894002103</v>
      </c>
      <c r="M937" s="1">
        <f t="shared" si="295"/>
        <v>1105.3989543587809</v>
      </c>
      <c r="N937" s="7">
        <f t="shared" si="296"/>
        <v>95.761589999999998</v>
      </c>
      <c r="O937" s="1">
        <f t="shared" si="297"/>
        <v>3000</v>
      </c>
      <c r="P937" s="2">
        <f t="shared" si="298"/>
        <v>0.70952345368359859</v>
      </c>
      <c r="Q937" s="2">
        <f t="shared" si="285"/>
        <v>14502.273430383888</v>
      </c>
      <c r="S937" s="1">
        <f t="shared" si="286"/>
        <v>3000</v>
      </c>
      <c r="T937" s="1">
        <f t="shared" si="287"/>
        <v>641.87092894002103</v>
      </c>
      <c r="V937" s="1">
        <f t="shared" si="299"/>
        <v>641.87092894002103</v>
      </c>
      <c r="W937" s="1">
        <f t="shared" si="300"/>
        <v>3000</v>
      </c>
    </row>
    <row r="938" spans="1:23" x14ac:dyDescent="0.25">
      <c r="A938" s="2">
        <f t="shared" si="301"/>
        <v>92.599999999999014</v>
      </c>
      <c r="B938" s="7">
        <f t="shared" si="284"/>
        <v>2.3256326901717905</v>
      </c>
      <c r="C938" s="7">
        <f t="shared" si="288"/>
        <v>2.2117841444990809</v>
      </c>
      <c r="D938" s="7">
        <f t="shared" si="289"/>
        <v>95.761589999999998</v>
      </c>
      <c r="E938" s="7">
        <f t="shared" si="290"/>
        <v>1</v>
      </c>
      <c r="G938" s="4">
        <f t="shared" si="291"/>
        <v>9259.9999999999018</v>
      </c>
      <c r="H938" s="1">
        <f t="shared" si="302"/>
        <v>15.694653826569581</v>
      </c>
      <c r="I938" s="1">
        <f t="shared" si="303"/>
        <v>2926.9224674351317</v>
      </c>
      <c r="J938" s="1">
        <f t="shared" si="292"/>
        <v>97.564082247837717</v>
      </c>
      <c r="K938" s="7">
        <f t="shared" si="293"/>
        <v>8.0189656642058402</v>
      </c>
      <c r="L938" s="4">
        <f t="shared" si="294"/>
        <v>637.15964114295627</v>
      </c>
      <c r="M938" s="1">
        <f t="shared" si="295"/>
        <v>1105.8920722495404</v>
      </c>
      <c r="N938" s="7">
        <f t="shared" si="296"/>
        <v>95.761589999999998</v>
      </c>
      <c r="O938" s="1">
        <f t="shared" si="297"/>
        <v>3000</v>
      </c>
      <c r="P938" s="2">
        <f t="shared" si="298"/>
        <v>0.70462979589735741</v>
      </c>
      <c r="Q938" s="2">
        <f t="shared" si="285"/>
        <v>14395.82775608751</v>
      </c>
      <c r="S938" s="1">
        <f t="shared" si="286"/>
        <v>3000</v>
      </c>
      <c r="T938" s="1">
        <f t="shared" si="287"/>
        <v>637.15964114295627</v>
      </c>
      <c r="V938" s="1">
        <f t="shared" si="299"/>
        <v>637.15964114295627</v>
      </c>
      <c r="W938" s="1">
        <f t="shared" si="300"/>
        <v>3000</v>
      </c>
    </row>
    <row r="939" spans="1:23" x14ac:dyDescent="0.25">
      <c r="A939" s="2">
        <f t="shared" si="301"/>
        <v>92.699999999999008</v>
      </c>
      <c r="B939" s="7">
        <f t="shared" si="284"/>
        <v>2.3085627086230778</v>
      </c>
      <c r="C939" s="7">
        <f t="shared" si="288"/>
        <v>2.2127708202398617</v>
      </c>
      <c r="D939" s="7">
        <f t="shared" si="289"/>
        <v>95.761589999999998</v>
      </c>
      <c r="E939" s="7">
        <f t="shared" si="290"/>
        <v>1</v>
      </c>
      <c r="G939" s="4">
        <f t="shared" si="291"/>
        <v>9269.9999999999</v>
      </c>
      <c r="H939" s="1">
        <f t="shared" si="302"/>
        <v>15.810703284626594</v>
      </c>
      <c r="I939" s="1">
        <f t="shared" si="303"/>
        <v>2942.7331707197582</v>
      </c>
      <c r="J939" s="1">
        <f t="shared" si="292"/>
        <v>98.091105690658608</v>
      </c>
      <c r="K939" s="7">
        <f t="shared" si="293"/>
        <v>8.0622826595061863</v>
      </c>
      <c r="L939" s="4">
        <f t="shared" si="294"/>
        <v>632.48293386933631</v>
      </c>
      <c r="M939" s="1">
        <f t="shared" si="295"/>
        <v>1106.3854101199308</v>
      </c>
      <c r="N939" s="7">
        <f t="shared" si="296"/>
        <v>95.761589999999998</v>
      </c>
      <c r="O939" s="1">
        <f t="shared" si="297"/>
        <v>3000</v>
      </c>
      <c r="P939" s="2">
        <f t="shared" si="298"/>
        <v>0.69976989018288283</v>
      </c>
      <c r="Q939" s="2">
        <f t="shared" si="285"/>
        <v>14290.163385607444</v>
      </c>
      <c r="S939" s="1">
        <f t="shared" si="286"/>
        <v>3000</v>
      </c>
      <c r="T939" s="1">
        <f t="shared" si="287"/>
        <v>632.48293386933631</v>
      </c>
      <c r="V939" s="1">
        <f t="shared" si="299"/>
        <v>632.48293386933631</v>
      </c>
      <c r="W939" s="1">
        <f t="shared" si="300"/>
        <v>3000</v>
      </c>
    </row>
    <row r="940" spans="1:23" x14ac:dyDescent="0.25">
      <c r="A940" s="2">
        <f t="shared" si="301"/>
        <v>92.799999999999002</v>
      </c>
      <c r="B940" s="7">
        <f t="shared" ref="B940:B1003" si="304">IF(A940&lt;=$B$2,$B$3*EXP(A940*$B$4),IF(A940&lt;$B$7,$B$6,IF($B$8*EXP(A940*$B$9)&gt;$B$6,$B$6,$B$8*EXP(A940*$B$9))))</f>
        <v>2.2916180195469482</v>
      </c>
      <c r="C940" s="7">
        <f t="shared" si="288"/>
        <v>2.2137579361361706</v>
      </c>
      <c r="D940" s="7">
        <f t="shared" si="289"/>
        <v>95.761589999999998</v>
      </c>
      <c r="E940" s="7">
        <f t="shared" si="290"/>
        <v>1</v>
      </c>
      <c r="G940" s="4">
        <f t="shared" si="291"/>
        <v>9279.9999999999</v>
      </c>
      <c r="H940" s="1">
        <f t="shared" si="302"/>
        <v>15.92761083595251</v>
      </c>
      <c r="I940" s="1">
        <f t="shared" si="303"/>
        <v>2958.6607815557109</v>
      </c>
      <c r="J940" s="1">
        <f t="shared" si="292"/>
        <v>98.622026051857034</v>
      </c>
      <c r="K940" s="7">
        <f t="shared" si="293"/>
        <v>8.105919949467701</v>
      </c>
      <c r="L940" s="4">
        <f t="shared" si="294"/>
        <v>627.84055330053366</v>
      </c>
      <c r="M940" s="1">
        <f t="shared" si="295"/>
        <v>1106.8789680680852</v>
      </c>
      <c r="N940" s="7">
        <f t="shared" si="296"/>
        <v>95.761589999999998</v>
      </c>
      <c r="O940" s="1">
        <f t="shared" si="297"/>
        <v>3000</v>
      </c>
      <c r="P940" s="2">
        <f t="shared" si="298"/>
        <v>0.69494350374859037</v>
      </c>
      <c r="Q940" s="2">
        <f t="shared" si="285"/>
        <v>14185.274584228237</v>
      </c>
      <c r="S940" s="1">
        <f t="shared" si="286"/>
        <v>3000</v>
      </c>
      <c r="T940" s="1">
        <f t="shared" si="287"/>
        <v>627.84055330053366</v>
      </c>
      <c r="V940" s="1">
        <f t="shared" si="299"/>
        <v>627.84055330053366</v>
      </c>
      <c r="W940" s="1">
        <f t="shared" si="300"/>
        <v>3000</v>
      </c>
    </row>
    <row r="941" spans="1:23" x14ac:dyDescent="0.25">
      <c r="A941" s="2">
        <f t="shared" si="301"/>
        <v>92.899999999998997</v>
      </c>
      <c r="B941" s="7">
        <f t="shared" si="304"/>
        <v>2.2747977033054037</v>
      </c>
      <c r="C941" s="7">
        <f t="shared" si="288"/>
        <v>2.2147454923843606</v>
      </c>
      <c r="D941" s="7">
        <f t="shared" si="289"/>
        <v>95.761589999999998</v>
      </c>
      <c r="E941" s="7">
        <f t="shared" si="290"/>
        <v>1</v>
      </c>
      <c r="G941" s="4">
        <f t="shared" si="291"/>
        <v>9289.9999999999</v>
      </c>
      <c r="H941" s="1">
        <f t="shared" si="302"/>
        <v>16.04538282545456</v>
      </c>
      <c r="I941" s="1">
        <f t="shared" si="303"/>
        <v>2974.7061643811653</v>
      </c>
      <c r="J941" s="1">
        <f t="shared" si="292"/>
        <v>99.15687214603885</v>
      </c>
      <c r="K941" s="7">
        <f t="shared" si="293"/>
        <v>8.1498799024141508</v>
      </c>
      <c r="L941" s="4">
        <f t="shared" si="294"/>
        <v>623.23224748093253</v>
      </c>
      <c r="M941" s="1">
        <f t="shared" si="295"/>
        <v>1107.3727461921803</v>
      </c>
      <c r="N941" s="7">
        <f t="shared" si="296"/>
        <v>95.761589999999998</v>
      </c>
      <c r="O941" s="1">
        <f t="shared" si="297"/>
        <v>3000</v>
      </c>
      <c r="P941" s="2">
        <f t="shared" si="298"/>
        <v>0.69015040540848482</v>
      </c>
      <c r="Q941" s="2">
        <f t="shared" si="285"/>
        <v>14081.155659326854</v>
      </c>
      <c r="S941" s="1">
        <f t="shared" si="286"/>
        <v>3000</v>
      </c>
      <c r="T941" s="1">
        <f t="shared" si="287"/>
        <v>623.23224748093253</v>
      </c>
      <c r="V941" s="1">
        <f t="shared" si="299"/>
        <v>623.23224748093253</v>
      </c>
      <c r="W941" s="1">
        <f t="shared" si="300"/>
        <v>3000</v>
      </c>
    </row>
    <row r="942" spans="1:23" x14ac:dyDescent="0.25">
      <c r="A942" s="2">
        <f t="shared" si="301"/>
        <v>92.999999999998991</v>
      </c>
      <c r="B942" s="7">
        <f t="shared" si="304"/>
        <v>2.2581008470105219</v>
      </c>
      <c r="C942" s="7">
        <f t="shared" si="288"/>
        <v>2.2157334891808724</v>
      </c>
      <c r="D942" s="7">
        <f t="shared" si="289"/>
        <v>95.761589999999998</v>
      </c>
      <c r="E942" s="7">
        <f t="shared" si="290"/>
        <v>1</v>
      </c>
      <c r="G942" s="4">
        <f t="shared" si="291"/>
        <v>9299.9999999999</v>
      </c>
      <c r="H942" s="1">
        <f t="shared" si="302"/>
        <v>16.164025644967097</v>
      </c>
      <c r="I942" s="1">
        <f t="shared" si="303"/>
        <v>2990.8701900261326</v>
      </c>
      <c r="J942" s="1">
        <f t="shared" si="292"/>
        <v>99.695673000871082</v>
      </c>
      <c r="K942" s="7">
        <f t="shared" si="293"/>
        <v>8.1941649041811857</v>
      </c>
      <c r="L942" s="4">
        <f t="shared" si="294"/>
        <v>618.65776630425262</v>
      </c>
      <c r="M942" s="1">
        <f t="shared" si="295"/>
        <v>1107.8667445904362</v>
      </c>
      <c r="N942" s="7">
        <f t="shared" si="296"/>
        <v>95.761589999999998</v>
      </c>
      <c r="O942" s="1">
        <f t="shared" si="297"/>
        <v>3000</v>
      </c>
      <c r="P942" s="2">
        <f t="shared" si="298"/>
        <v>0.68539036557108313</v>
      </c>
      <c r="Q942" s="2">
        <f t="shared" si="285"/>
        <v>13977.800960063703</v>
      </c>
      <c r="S942" s="1">
        <f t="shared" si="286"/>
        <v>3000</v>
      </c>
      <c r="T942" s="1">
        <f t="shared" si="287"/>
        <v>618.65776630425262</v>
      </c>
      <c r="V942" s="1">
        <f t="shared" si="299"/>
        <v>618.65776630425262</v>
      </c>
      <c r="W942" s="1">
        <f t="shared" si="300"/>
        <v>3000</v>
      </c>
    </row>
    <row r="943" spans="1:23" x14ac:dyDescent="0.25">
      <c r="A943" s="2">
        <f t="shared" si="301"/>
        <v>93.099999999998985</v>
      </c>
      <c r="B943" s="7">
        <f t="shared" si="304"/>
        <v>2.241526544474914</v>
      </c>
      <c r="C943" s="7">
        <f t="shared" si="288"/>
        <v>2.2167219267222338</v>
      </c>
      <c r="D943" s="7">
        <f t="shared" si="289"/>
        <v>95.761589999999998</v>
      </c>
      <c r="E943" s="7">
        <f t="shared" si="290"/>
        <v>1</v>
      </c>
      <c r="G943" s="4">
        <f t="shared" si="291"/>
        <v>9309.9999999999</v>
      </c>
      <c r="H943" s="1">
        <f t="shared" si="302"/>
        <v>16.283545733584099</v>
      </c>
      <c r="I943" s="1">
        <f t="shared" si="303"/>
        <v>3007.1537357597167</v>
      </c>
      <c r="J943" s="1">
        <f t="shared" si="292"/>
        <v>100.23845785865723</v>
      </c>
      <c r="K943" s="7">
        <f t="shared" si="293"/>
        <v>8.2387773582457999</v>
      </c>
      <c r="L943" s="4">
        <f t="shared" si="294"/>
        <v>614.11686149997649</v>
      </c>
      <c r="M943" s="1">
        <f t="shared" si="295"/>
        <v>1108.360963361117</v>
      </c>
      <c r="N943" s="7">
        <f t="shared" si="296"/>
        <v>95.761589999999998</v>
      </c>
      <c r="O943" s="1">
        <f t="shared" si="297"/>
        <v>3000</v>
      </c>
      <c r="P943" s="2">
        <f t="shared" si="298"/>
        <v>0.68066315622841966</v>
      </c>
      <c r="Q943" s="2">
        <f t="shared" si="285"/>
        <v>13875.204877075952</v>
      </c>
      <c r="S943" s="1">
        <f t="shared" si="286"/>
        <v>3000</v>
      </c>
      <c r="T943" s="1">
        <f t="shared" si="287"/>
        <v>614.11686149997649</v>
      </c>
      <c r="V943" s="1">
        <f t="shared" si="299"/>
        <v>614.11686149997649</v>
      </c>
      <c r="W943" s="1">
        <f t="shared" si="300"/>
        <v>3000</v>
      </c>
    </row>
    <row r="944" spans="1:23" x14ac:dyDescent="0.25">
      <c r="A944" s="2">
        <f t="shared" si="301"/>
        <v>93.19999999999898</v>
      </c>
      <c r="B944" s="7">
        <f t="shared" si="304"/>
        <v>2.2250738961625487</v>
      </c>
      <c r="C944" s="7">
        <f t="shared" si="288"/>
        <v>2.2177108052050616</v>
      </c>
      <c r="D944" s="7">
        <f t="shared" si="289"/>
        <v>95.761589999999998</v>
      </c>
      <c r="E944" s="7">
        <f t="shared" si="290"/>
        <v>1</v>
      </c>
      <c r="G944" s="4">
        <f t="shared" si="291"/>
        <v>9319.9999999998981</v>
      </c>
      <c r="H944" s="1">
        <f t="shared" si="302"/>
        <v>16.403949578008497</v>
      </c>
      <c r="I944" s="1">
        <f t="shared" si="303"/>
        <v>3023.5576853377252</v>
      </c>
      <c r="J944" s="1">
        <f t="shared" si="292"/>
        <v>100.78525617792417</v>
      </c>
      <c r="K944" s="7">
        <f t="shared" si="293"/>
        <v>8.2837196858567808</v>
      </c>
      <c r="L944" s="4">
        <f t="shared" si="294"/>
        <v>609.60928661987634</v>
      </c>
      <c r="M944" s="1">
        <f t="shared" si="295"/>
        <v>1108.8554026025308</v>
      </c>
      <c r="N944" s="7">
        <f t="shared" si="296"/>
        <v>95.761589999999998</v>
      </c>
      <c r="O944" s="1">
        <f t="shared" si="297"/>
        <v>3000</v>
      </c>
      <c r="P944" s="2">
        <f t="shared" si="298"/>
        <v>0.67596855094512454</v>
      </c>
      <c r="Q944" s="2">
        <f t="shared" ref="Q944:Q1007" si="305">IFERROR(N944/100*L944/(1-N944/100),L944*100)</f>
        <v>13773.361842173133</v>
      </c>
      <c r="S944" s="1">
        <f t="shared" si="286"/>
        <v>3000</v>
      </c>
      <c r="T944" s="1">
        <f t="shared" si="287"/>
        <v>609.60928661987634</v>
      </c>
      <c r="V944" s="1">
        <f t="shared" si="299"/>
        <v>609.60928661987634</v>
      </c>
      <c r="W944" s="1">
        <f t="shared" si="300"/>
        <v>3000</v>
      </c>
    </row>
    <row r="945" spans="1:23" x14ac:dyDescent="0.25">
      <c r="A945" s="2">
        <f t="shared" si="301"/>
        <v>93.299999999998974</v>
      </c>
      <c r="B945" s="7">
        <f t="shared" si="304"/>
        <v>2.2087420091399204</v>
      </c>
      <c r="C945" s="7">
        <f t="shared" si="288"/>
        <v>2.2187001248260594</v>
      </c>
      <c r="D945" s="7">
        <f t="shared" si="289"/>
        <v>95.761589999999998</v>
      </c>
      <c r="E945" s="7">
        <f t="shared" si="290"/>
        <v>1</v>
      </c>
      <c r="G945" s="4">
        <f t="shared" si="291"/>
        <v>9329.9999999998963</v>
      </c>
      <c r="H945" s="1">
        <f t="shared" si="302"/>
        <v>16.525243712916197</v>
      </c>
      <c r="I945" s="1">
        <f t="shared" si="303"/>
        <v>3040.0829290506413</v>
      </c>
      <c r="J945" s="1">
        <f t="shared" si="292"/>
        <v>101.33609763502137</v>
      </c>
      <c r="K945" s="7">
        <f t="shared" si="293"/>
        <v>8.328994326166141</v>
      </c>
      <c r="L945" s="4">
        <f t="shared" si="294"/>
        <v>605.13479702463576</v>
      </c>
      <c r="M945" s="1">
        <f t="shared" si="295"/>
        <v>1109.3500624130297</v>
      </c>
      <c r="N945" s="7">
        <f t="shared" si="296"/>
        <v>95.761589999999998</v>
      </c>
      <c r="O945" s="1">
        <f t="shared" si="297"/>
        <v>3000</v>
      </c>
      <c r="P945" s="2">
        <f t="shared" si="298"/>
        <v>0.6713063248475758</v>
      </c>
      <c r="Q945" s="2">
        <f t="shared" si="305"/>
        <v>13672.266328034886</v>
      </c>
      <c r="S945" s="1">
        <f t="shared" si="286"/>
        <v>3000</v>
      </c>
      <c r="T945" s="1">
        <f t="shared" si="287"/>
        <v>605.13479702463576</v>
      </c>
      <c r="V945" s="1">
        <f t="shared" si="299"/>
        <v>605.13479702463576</v>
      </c>
      <c r="W945" s="1">
        <f t="shared" si="300"/>
        <v>3000</v>
      </c>
    </row>
    <row r="946" spans="1:23" x14ac:dyDescent="0.25">
      <c r="A946" s="2">
        <f t="shared" si="301"/>
        <v>93.399999999998968</v>
      </c>
      <c r="B946" s="7">
        <f t="shared" si="304"/>
        <v>2.1925299970275947</v>
      </c>
      <c r="C946" s="7">
        <f t="shared" si="288"/>
        <v>2.2196898857820182</v>
      </c>
      <c r="D946" s="7">
        <f t="shared" si="289"/>
        <v>95.761589999999998</v>
      </c>
      <c r="E946" s="7">
        <f t="shared" si="290"/>
        <v>1</v>
      </c>
      <c r="G946" s="4">
        <f t="shared" si="291"/>
        <v>9339.9999999998963</v>
      </c>
      <c r="H946" s="1">
        <f t="shared" si="302"/>
        <v>16.647434721295912</v>
      </c>
      <c r="I946" s="1">
        <f t="shared" si="303"/>
        <v>3056.7303637719374</v>
      </c>
      <c r="J946" s="1">
        <f t="shared" si="292"/>
        <v>101.89101212573125</v>
      </c>
      <c r="K946" s="7">
        <f t="shared" si="293"/>
        <v>8.3746037363614718</v>
      </c>
      <c r="L946" s="4">
        <f t="shared" si="294"/>
        <v>600.69314987057385</v>
      </c>
      <c r="M946" s="1">
        <f t="shared" si="295"/>
        <v>1109.8449428910092</v>
      </c>
      <c r="N946" s="7">
        <f t="shared" si="296"/>
        <v>95.761589999999998</v>
      </c>
      <c r="O946" s="1">
        <f t="shared" si="297"/>
        <v>3000</v>
      </c>
      <c r="P946" s="2">
        <f t="shared" si="298"/>
        <v>0.66667625461312741</v>
      </c>
      <c r="Q946" s="2">
        <f t="shared" si="305"/>
        <v>13571.912847910984</v>
      </c>
      <c r="S946" s="1">
        <f t="shared" si="286"/>
        <v>3000</v>
      </c>
      <c r="T946" s="1">
        <f t="shared" si="287"/>
        <v>600.69314987057385</v>
      </c>
      <c r="V946" s="1">
        <f t="shared" si="299"/>
        <v>600.69314987057385</v>
      </c>
      <c r="W946" s="1">
        <f t="shared" si="300"/>
        <v>3000</v>
      </c>
    </row>
    <row r="947" spans="1:23" x14ac:dyDescent="0.25">
      <c r="A947" s="2">
        <f t="shared" si="301"/>
        <v>93.499999999998963</v>
      </c>
      <c r="B947" s="7">
        <f t="shared" si="304"/>
        <v>2.1764369799521011</v>
      </c>
      <c r="C947" s="7">
        <f t="shared" si="288"/>
        <v>2.2206800882698179</v>
      </c>
      <c r="D947" s="7">
        <f t="shared" si="289"/>
        <v>95.761589999999998</v>
      </c>
      <c r="E947" s="7">
        <f t="shared" si="290"/>
        <v>1</v>
      </c>
      <c r="G947" s="4">
        <f t="shared" si="291"/>
        <v>9349.9999999998963</v>
      </c>
      <c r="H947" s="1">
        <f t="shared" si="302"/>
        <v>16.770529234806187</v>
      </c>
      <c r="I947" s="1">
        <f t="shared" si="303"/>
        <v>3073.5008930067434</v>
      </c>
      <c r="J947" s="1">
        <f t="shared" si="292"/>
        <v>102.45002976689145</v>
      </c>
      <c r="K947" s="7">
        <f t="shared" si="293"/>
        <v>8.4205503917992974</v>
      </c>
      <c r="L947" s="4">
        <f t="shared" si="294"/>
        <v>596.28410409646608</v>
      </c>
      <c r="M947" s="1">
        <f t="shared" si="295"/>
        <v>1110.340044134909</v>
      </c>
      <c r="N947" s="7">
        <f t="shared" si="296"/>
        <v>95.761589999999998</v>
      </c>
      <c r="O947" s="1">
        <f t="shared" si="297"/>
        <v>3000</v>
      </c>
      <c r="P947" s="2">
        <f t="shared" si="298"/>
        <v>0.66207811845941478</v>
      </c>
      <c r="Q947" s="2">
        <f t="shared" si="305"/>
        <v>13472.295955323589</v>
      </c>
      <c r="S947" s="1">
        <f t="shared" si="286"/>
        <v>3000</v>
      </c>
      <c r="T947" s="1">
        <f t="shared" si="287"/>
        <v>596.28410409646608</v>
      </c>
      <c r="V947" s="1">
        <f t="shared" si="299"/>
        <v>596.28410409646608</v>
      </c>
      <c r="W947" s="1">
        <f t="shared" si="300"/>
        <v>3000</v>
      </c>
    </row>
    <row r="948" spans="1:23" x14ac:dyDescent="0.25">
      <c r="A948" s="2">
        <f t="shared" si="301"/>
        <v>93.599999999998957</v>
      </c>
      <c r="B948" s="7">
        <f t="shared" si="304"/>
        <v>2.160462084498179</v>
      </c>
      <c r="C948" s="7">
        <f t="shared" si="288"/>
        <v>2.2216707324864253</v>
      </c>
      <c r="D948" s="7">
        <f t="shared" si="289"/>
        <v>95.761589999999998</v>
      </c>
      <c r="E948" s="7">
        <f t="shared" si="290"/>
        <v>1</v>
      </c>
      <c r="G948" s="4">
        <f t="shared" si="291"/>
        <v>9359.9999999998963</v>
      </c>
      <c r="H948" s="1">
        <f t="shared" si="302"/>
        <v>16.894533934150495</v>
      </c>
      <c r="I948" s="1">
        <f t="shared" si="303"/>
        <v>3090.3954269408937</v>
      </c>
      <c r="J948" s="1">
        <f t="shared" si="292"/>
        <v>103.01318089802979</v>
      </c>
      <c r="K948" s="7">
        <f t="shared" si="293"/>
        <v>8.4668367861394351</v>
      </c>
      <c r="L948" s="4">
        <f t="shared" si="294"/>
        <v>591.90742041046008</v>
      </c>
      <c r="M948" s="1">
        <f t="shared" si="295"/>
        <v>1110.8353662432128</v>
      </c>
      <c r="N948" s="7">
        <f t="shared" si="296"/>
        <v>95.761589999999998</v>
      </c>
      <c r="O948" s="1">
        <f t="shared" si="297"/>
        <v>3000</v>
      </c>
      <c r="P948" s="2">
        <f t="shared" si="298"/>
        <v>0.65751169613372873</v>
      </c>
      <c r="Q948" s="2">
        <f t="shared" si="305"/>
        <v>13373.410243771616</v>
      </c>
      <c r="S948" s="1">
        <f t="shared" si="286"/>
        <v>3000</v>
      </c>
      <c r="T948" s="1">
        <f t="shared" si="287"/>
        <v>591.90742041046008</v>
      </c>
      <c r="V948" s="1">
        <f t="shared" si="299"/>
        <v>591.90742041046008</v>
      </c>
      <c r="W948" s="1">
        <f t="shared" si="300"/>
        <v>3000</v>
      </c>
    </row>
    <row r="949" spans="1:23" x14ac:dyDescent="0.25">
      <c r="A949" s="2">
        <f t="shared" si="301"/>
        <v>93.699999999998951</v>
      </c>
      <c r="B949" s="7">
        <f t="shared" si="304"/>
        <v>2.1446044436613736</v>
      </c>
      <c r="C949" s="7">
        <f t="shared" si="288"/>
        <v>2.2226618186288953</v>
      </c>
      <c r="D949" s="7">
        <f t="shared" si="289"/>
        <v>95.761589999999998</v>
      </c>
      <c r="E949" s="7">
        <f t="shared" si="290"/>
        <v>1</v>
      </c>
      <c r="G949" s="4">
        <f t="shared" si="291"/>
        <v>9369.9999999998945</v>
      </c>
      <c r="H949" s="1">
        <f t="shared" si="302"/>
        <v>17.019455549424663</v>
      </c>
      <c r="I949" s="1">
        <f t="shared" si="303"/>
        <v>3107.4148824903182</v>
      </c>
      <c r="J949" s="1">
        <f t="shared" si="292"/>
        <v>103.5804960830106</v>
      </c>
      <c r="K949" s="7">
        <f t="shared" si="293"/>
        <v>8.5134654314803235</v>
      </c>
      <c r="L949" s="4">
        <f t="shared" si="294"/>
        <v>587.5628612770887</v>
      </c>
      <c r="M949" s="1">
        <f t="shared" si="295"/>
        <v>1111.3309093144476</v>
      </c>
      <c r="N949" s="7">
        <f t="shared" si="296"/>
        <v>95.761589999999998</v>
      </c>
      <c r="O949" s="1">
        <f t="shared" si="297"/>
        <v>3000</v>
      </c>
      <c r="P949" s="2">
        <f t="shared" si="298"/>
        <v>0.65297676890246559</v>
      </c>
      <c r="Q949" s="2">
        <f t="shared" si="305"/>
        <v>13275.25034643732</v>
      </c>
      <c r="S949" s="1">
        <f t="shared" si="286"/>
        <v>3000</v>
      </c>
      <c r="T949" s="1">
        <f t="shared" si="287"/>
        <v>587.5628612770887</v>
      </c>
      <c r="V949" s="1">
        <f t="shared" si="299"/>
        <v>587.5628612770887</v>
      </c>
      <c r="W949" s="1">
        <f t="shared" si="300"/>
        <v>3000</v>
      </c>
    </row>
    <row r="950" spans="1:23" x14ac:dyDescent="0.25">
      <c r="A950" s="2">
        <f t="shared" si="301"/>
        <v>93.799999999998946</v>
      </c>
      <c r="B950" s="7">
        <f t="shared" si="304"/>
        <v>2.1288631968009812</v>
      </c>
      <c r="C950" s="7">
        <f t="shared" si="288"/>
        <v>2.2236533468943711</v>
      </c>
      <c r="D950" s="7">
        <f t="shared" si="289"/>
        <v>95.761589999999998</v>
      </c>
      <c r="E950" s="7">
        <f t="shared" si="290"/>
        <v>1</v>
      </c>
      <c r="G950" s="4">
        <f t="shared" si="291"/>
        <v>9379.9999999998963</v>
      </c>
      <c r="H950" s="1">
        <f t="shared" si="302"/>
        <v>17.145300860503756</v>
      </c>
      <c r="I950" s="1">
        <f t="shared" si="303"/>
        <v>3124.5601833508217</v>
      </c>
      <c r="J950" s="1">
        <f t="shared" si="292"/>
        <v>104.15200611169406</v>
      </c>
      <c r="K950" s="7">
        <f t="shared" si="293"/>
        <v>8.5604388584954023</v>
      </c>
      <c r="L950" s="4">
        <f t="shared" si="294"/>
        <v>583.25019090437843</v>
      </c>
      <c r="M950" s="1">
        <f t="shared" si="295"/>
        <v>1111.8266734471856</v>
      </c>
      <c r="N950" s="7">
        <f t="shared" si="296"/>
        <v>95.761589999999998</v>
      </c>
      <c r="O950" s="1">
        <f t="shared" si="297"/>
        <v>3000</v>
      </c>
      <c r="P950" s="2">
        <f t="shared" si="298"/>
        <v>0.64847311954065101</v>
      </c>
      <c r="Q950" s="2">
        <f t="shared" si="305"/>
        <v>13177.810935895008</v>
      </c>
      <c r="S950" s="1">
        <f t="shared" si="286"/>
        <v>3000</v>
      </c>
      <c r="T950" s="1">
        <f t="shared" si="287"/>
        <v>583.25019090437843</v>
      </c>
      <c r="V950" s="1">
        <f t="shared" si="299"/>
        <v>583.25019090437843</v>
      </c>
      <c r="W950" s="1">
        <f t="shared" si="300"/>
        <v>3000</v>
      </c>
    </row>
    <row r="951" spans="1:23" x14ac:dyDescent="0.25">
      <c r="A951" s="2">
        <f t="shared" si="301"/>
        <v>93.89999999999894</v>
      </c>
      <c r="B951" s="7">
        <f t="shared" si="304"/>
        <v>2.1132374895933475</v>
      </c>
      <c r="C951" s="7">
        <f t="shared" si="288"/>
        <v>2.2246453174800833</v>
      </c>
      <c r="D951" s="7">
        <f t="shared" si="289"/>
        <v>95.761589999999998</v>
      </c>
      <c r="E951" s="7">
        <f t="shared" si="290"/>
        <v>1</v>
      </c>
      <c r="G951" s="4">
        <f t="shared" si="291"/>
        <v>9389.9999999998945</v>
      </c>
      <c r="H951" s="1">
        <f t="shared" si="302"/>
        <v>17.272076697360262</v>
      </c>
      <c r="I951" s="1">
        <f t="shared" si="303"/>
        <v>3141.832260048182</v>
      </c>
      <c r="J951" s="1">
        <f t="shared" si="292"/>
        <v>104.72774200160606</v>
      </c>
      <c r="K951" s="7">
        <f t="shared" si="293"/>
        <v>8.6077596165703607</v>
      </c>
      <c r="L951" s="4">
        <f t="shared" si="294"/>
        <v>578.96917523105412</v>
      </c>
      <c r="M951" s="1">
        <f t="shared" si="295"/>
        <v>1112.3226587400416</v>
      </c>
      <c r="N951" s="7">
        <f t="shared" si="296"/>
        <v>95.761589999999998</v>
      </c>
      <c r="O951" s="1">
        <f t="shared" si="297"/>
        <v>3000</v>
      </c>
      <c r="P951" s="2">
        <f t="shared" si="298"/>
        <v>0.6440005323215352</v>
      </c>
      <c r="Q951" s="2">
        <f t="shared" si="305"/>
        <v>13081.08672382198</v>
      </c>
      <c r="S951" s="1">
        <f t="shared" si="286"/>
        <v>3000</v>
      </c>
      <c r="T951" s="1">
        <f t="shared" si="287"/>
        <v>578.96917523105412</v>
      </c>
      <c r="V951" s="1">
        <f t="shared" si="299"/>
        <v>578.96917523105412</v>
      </c>
      <c r="W951" s="1">
        <f t="shared" si="300"/>
        <v>3000</v>
      </c>
    </row>
    <row r="952" spans="1:23" x14ac:dyDescent="0.25">
      <c r="A952" s="2">
        <f t="shared" si="301"/>
        <v>93.999999999998934</v>
      </c>
      <c r="B952" s="7">
        <f t="shared" si="304"/>
        <v>2.0977264739854866</v>
      </c>
      <c r="C952" s="7">
        <f t="shared" si="288"/>
        <v>2.2256377305833506</v>
      </c>
      <c r="D952" s="7">
        <f t="shared" si="289"/>
        <v>95.761589999999998</v>
      </c>
      <c r="E952" s="7">
        <f t="shared" si="290"/>
        <v>1</v>
      </c>
      <c r="G952" s="4">
        <f t="shared" si="291"/>
        <v>9399.9999999998927</v>
      </c>
      <c r="H952" s="1">
        <f t="shared" si="302"/>
        <v>17.399789940509606</v>
      </c>
      <c r="I952" s="1">
        <f t="shared" si="303"/>
        <v>3159.2320499886914</v>
      </c>
      <c r="J952" s="1">
        <f t="shared" si="292"/>
        <v>105.30773499962305</v>
      </c>
      <c r="K952" s="7">
        <f t="shared" si="293"/>
        <v>8.6554302739416205</v>
      </c>
      <c r="L952" s="4">
        <f t="shared" si="294"/>
        <v>574.71958191383203</v>
      </c>
      <c r="M952" s="1">
        <f t="shared" si="295"/>
        <v>1112.8188652916754</v>
      </c>
      <c r="N952" s="7">
        <f t="shared" si="296"/>
        <v>95.761589999999998</v>
      </c>
      <c r="O952" s="1">
        <f t="shared" si="297"/>
        <v>3000</v>
      </c>
      <c r="P952" s="2">
        <f t="shared" si="298"/>
        <v>0.63955879300625673</v>
      </c>
      <c r="Q952" s="2">
        <f t="shared" si="305"/>
        <v>12985.072460711388</v>
      </c>
      <c r="S952" s="1">
        <f t="shared" si="286"/>
        <v>3000</v>
      </c>
      <c r="T952" s="1">
        <f t="shared" si="287"/>
        <v>574.71958191383203</v>
      </c>
      <c r="V952" s="1">
        <f t="shared" si="299"/>
        <v>574.71958191383203</v>
      </c>
      <c r="W952" s="1">
        <f t="shared" si="300"/>
        <v>3000</v>
      </c>
    </row>
    <row r="953" spans="1:23" x14ac:dyDescent="0.25">
      <c r="A953" s="2">
        <f t="shared" si="301"/>
        <v>94.099999999998929</v>
      </c>
      <c r="B953" s="7">
        <f t="shared" si="304"/>
        <v>2.0823293081490646</v>
      </c>
      <c r="C953" s="7">
        <f t="shared" si="288"/>
        <v>2.2266305864015807</v>
      </c>
      <c r="D953" s="7">
        <f t="shared" si="289"/>
        <v>95.761589999999998</v>
      </c>
      <c r="E953" s="7">
        <f t="shared" si="290"/>
        <v>1</v>
      </c>
      <c r="G953" s="4">
        <f t="shared" si="291"/>
        <v>9409.9999999998927</v>
      </c>
      <c r="H953" s="1">
        <f t="shared" si="302"/>
        <v>17.528447521321223</v>
      </c>
      <c r="I953" s="1">
        <f t="shared" si="303"/>
        <v>3176.7604975100126</v>
      </c>
      <c r="J953" s="1">
        <f t="shared" si="292"/>
        <v>105.89201658366709</v>
      </c>
      <c r="K953" s="7">
        <f t="shared" si="293"/>
        <v>8.7034534178356502</v>
      </c>
      <c r="L953" s="4">
        <f t="shared" si="294"/>
        <v>570.50118031481213</v>
      </c>
      <c r="M953" s="1">
        <f t="shared" si="295"/>
        <v>1113.3152932007904</v>
      </c>
      <c r="N953" s="7">
        <f t="shared" si="296"/>
        <v>95.761589999999998</v>
      </c>
      <c r="O953" s="1">
        <f t="shared" si="297"/>
        <v>3000</v>
      </c>
      <c r="P953" s="2">
        <f t="shared" si="298"/>
        <v>0.63514768883358208</v>
      </c>
      <c r="Q953" s="2">
        <f t="shared" si="305"/>
        <v>12889.762935587418</v>
      </c>
      <c r="S953" s="1">
        <f t="shared" si="286"/>
        <v>3000</v>
      </c>
      <c r="T953" s="1">
        <f t="shared" si="287"/>
        <v>570.50118031481213</v>
      </c>
      <c r="V953" s="1">
        <f t="shared" si="299"/>
        <v>570.50118031481213</v>
      </c>
      <c r="W953" s="1">
        <f t="shared" si="300"/>
        <v>3000</v>
      </c>
    </row>
    <row r="954" spans="1:23" x14ac:dyDescent="0.25">
      <c r="A954" s="2">
        <f t="shared" si="301"/>
        <v>94.199999999998923</v>
      </c>
      <c r="B954" s="7">
        <f t="shared" si="304"/>
        <v>2.0670451564347099</v>
      </c>
      <c r="C954" s="7">
        <f t="shared" si="288"/>
        <v>2.2276238851322674</v>
      </c>
      <c r="D954" s="7">
        <f t="shared" si="289"/>
        <v>95.761589999999998</v>
      </c>
      <c r="E954" s="7">
        <f t="shared" si="290"/>
        <v>1</v>
      </c>
      <c r="G954" s="4">
        <f t="shared" si="291"/>
        <v>9419.9999999998909</v>
      </c>
      <c r="H954" s="1">
        <f t="shared" si="302"/>
        <v>17.658056422409974</v>
      </c>
      <c r="I954" s="1">
        <f t="shared" si="303"/>
        <v>3194.4185539324226</v>
      </c>
      <c r="J954" s="1">
        <f t="shared" si="292"/>
        <v>106.48061846441409</v>
      </c>
      <c r="K954" s="7">
        <f t="shared" si="293"/>
        <v>8.7518316546093775</v>
      </c>
      <c r="L954" s="4">
        <f t="shared" si="294"/>
        <v>566.31374148896168</v>
      </c>
      <c r="M954" s="1">
        <f t="shared" si="295"/>
        <v>1113.8119425661337</v>
      </c>
      <c r="N954" s="7">
        <f t="shared" si="296"/>
        <v>95.761589999999998</v>
      </c>
      <c r="O954" s="1">
        <f t="shared" si="297"/>
        <v>3000</v>
      </c>
      <c r="P954" s="2">
        <f t="shared" si="298"/>
        <v>0.63076700850971568</v>
      </c>
      <c r="Q954" s="2">
        <f t="shared" si="305"/>
        <v>12795.152975722474</v>
      </c>
      <c r="S954" s="1">
        <f t="shared" si="286"/>
        <v>3000</v>
      </c>
      <c r="T954" s="1">
        <f t="shared" si="287"/>
        <v>566.31374148896168</v>
      </c>
      <c r="V954" s="1">
        <f t="shared" si="299"/>
        <v>566.31374148896168</v>
      </c>
      <c r="W954" s="1">
        <f t="shared" si="300"/>
        <v>3000</v>
      </c>
    </row>
    <row r="955" spans="1:23" x14ac:dyDescent="0.25">
      <c r="A955" s="2">
        <f t="shared" si="301"/>
        <v>94.299999999998917</v>
      </c>
      <c r="B955" s="7">
        <f t="shared" si="304"/>
        <v>2.051873189326658</v>
      </c>
      <c r="C955" s="7">
        <f t="shared" si="288"/>
        <v>2.2286176269729938</v>
      </c>
      <c r="D955" s="7">
        <f t="shared" si="289"/>
        <v>95.761589999999998</v>
      </c>
      <c r="E955" s="7">
        <f t="shared" si="290"/>
        <v>1</v>
      </c>
      <c r="G955" s="4">
        <f t="shared" si="291"/>
        <v>9429.9999999998909</v>
      </c>
      <c r="H955" s="1">
        <f t="shared" si="302"/>
        <v>17.788623678044072</v>
      </c>
      <c r="I955" s="1">
        <f t="shared" si="303"/>
        <v>3212.2071776104667</v>
      </c>
      <c r="J955" s="1">
        <f t="shared" si="292"/>
        <v>107.07357258701556</v>
      </c>
      <c r="K955" s="7">
        <f t="shared" si="293"/>
        <v>8.8005676098916901</v>
      </c>
      <c r="L955" s="4">
        <f t="shared" si="294"/>
        <v>562.15703817168719</v>
      </c>
      <c r="M955" s="1">
        <f t="shared" si="295"/>
        <v>1114.308813486497</v>
      </c>
      <c r="N955" s="7">
        <f t="shared" si="296"/>
        <v>95.761589999999998</v>
      </c>
      <c r="O955" s="1">
        <f t="shared" si="297"/>
        <v>3000</v>
      </c>
      <c r="P955" s="2">
        <f t="shared" si="298"/>
        <v>0.62641654219817611</v>
      </c>
      <c r="Q955" s="2">
        <f t="shared" si="305"/>
        <v>12701.237446356397</v>
      </c>
      <c r="S955" s="1">
        <f t="shared" si="286"/>
        <v>3000</v>
      </c>
      <c r="T955" s="1">
        <f t="shared" si="287"/>
        <v>562.15703817168719</v>
      </c>
      <c r="V955" s="1">
        <f t="shared" si="299"/>
        <v>562.15703817168719</v>
      </c>
      <c r="W955" s="1">
        <f t="shared" si="300"/>
        <v>3000</v>
      </c>
    </row>
    <row r="956" spans="1:23" x14ac:dyDescent="0.25">
      <c r="A956" s="2">
        <f t="shared" si="301"/>
        <v>94.399999999998911</v>
      </c>
      <c r="B956" s="7">
        <f t="shared" si="304"/>
        <v>2.0368125833977326</v>
      </c>
      <c r="C956" s="7">
        <f t="shared" si="288"/>
        <v>2.2296118121214321</v>
      </c>
      <c r="D956" s="7">
        <f t="shared" si="289"/>
        <v>95.761589999999998</v>
      </c>
      <c r="E956" s="7">
        <f t="shared" si="290"/>
        <v>1</v>
      </c>
      <c r="G956" s="4">
        <f t="shared" si="291"/>
        <v>9439.9999999998909</v>
      </c>
      <c r="H956" s="1">
        <f t="shared" si="302"/>
        <v>17.920156374481987</v>
      </c>
      <c r="I956" s="1">
        <f t="shared" si="303"/>
        <v>3230.1273339849486</v>
      </c>
      <c r="J956" s="1">
        <f t="shared" si="292"/>
        <v>107.67091113283162</v>
      </c>
      <c r="K956" s="7">
        <f t="shared" si="293"/>
        <v>8.8496639287258869</v>
      </c>
      <c r="L956" s="4">
        <f t="shared" si="294"/>
        <v>558.03084476650201</v>
      </c>
      <c r="M956" s="1">
        <f t="shared" si="295"/>
        <v>1114.8059060607161</v>
      </c>
      <c r="N956" s="7">
        <f t="shared" si="296"/>
        <v>95.761589999999998</v>
      </c>
      <c r="O956" s="1">
        <f t="shared" si="297"/>
        <v>3000</v>
      </c>
      <c r="P956" s="2">
        <f t="shared" si="298"/>
        <v>0.62209608150974705</v>
      </c>
      <c r="Q956" s="2">
        <f t="shared" si="305"/>
        <v>12608.011250417814</v>
      </c>
      <c r="S956" s="1">
        <f t="shared" si="286"/>
        <v>3000</v>
      </c>
      <c r="T956" s="1">
        <f t="shared" si="287"/>
        <v>558.03084476650201</v>
      </c>
      <c r="V956" s="1">
        <f t="shared" si="299"/>
        <v>558.03084476650201</v>
      </c>
      <c r="W956" s="1">
        <f t="shared" si="300"/>
        <v>3000</v>
      </c>
    </row>
    <row r="957" spans="1:23" x14ac:dyDescent="0.25">
      <c r="A957" s="2">
        <f t="shared" si="301"/>
        <v>94.499999999998906</v>
      </c>
      <c r="B957" s="7">
        <f t="shared" si="304"/>
        <v>2.0218625212646528</v>
      </c>
      <c r="C957" s="7">
        <f t="shared" si="288"/>
        <v>2.230606440775341</v>
      </c>
      <c r="D957" s="7">
        <f t="shared" si="289"/>
        <v>95.761589999999998</v>
      </c>
      <c r="E957" s="7">
        <f t="shared" si="290"/>
        <v>1</v>
      </c>
      <c r="G957" s="4">
        <f t="shared" si="291"/>
        <v>9449.9999999998909</v>
      </c>
      <c r="H957" s="1">
        <f t="shared" si="302"/>
        <v>18.052661650392352</v>
      </c>
      <c r="I957" s="1">
        <f t="shared" si="303"/>
        <v>3248.1799956353411</v>
      </c>
      <c r="J957" s="1">
        <f t="shared" si="292"/>
        <v>108.27266652117804</v>
      </c>
      <c r="K957" s="7">
        <f t="shared" si="293"/>
        <v>8.8991232757132632</v>
      </c>
      <c r="L957" s="4">
        <f t="shared" si="294"/>
        <v>553.93493733278171</v>
      </c>
      <c r="M957" s="1">
        <f t="shared" si="295"/>
        <v>1115.3032203876705</v>
      </c>
      <c r="N957" s="7">
        <f t="shared" si="296"/>
        <v>95.761589999999998</v>
      </c>
      <c r="O957" s="1">
        <f t="shared" si="297"/>
        <v>3000</v>
      </c>
      <c r="P957" s="2">
        <f t="shared" si="298"/>
        <v>0.61780541949249401</v>
      </c>
      <c r="Q957" s="2">
        <f t="shared" si="305"/>
        <v>12515.4693282475</v>
      </c>
      <c r="S957" s="1">
        <f t="shared" si="286"/>
        <v>3000</v>
      </c>
      <c r="T957" s="1">
        <f t="shared" si="287"/>
        <v>553.93493733278171</v>
      </c>
      <c r="V957" s="1">
        <f t="shared" si="299"/>
        <v>553.93493733278171</v>
      </c>
      <c r="W957" s="1">
        <f t="shared" si="300"/>
        <v>3000</v>
      </c>
    </row>
    <row r="958" spans="1:23" x14ac:dyDescent="0.25">
      <c r="A958" s="2">
        <f t="shared" si="301"/>
        <v>94.5999999999989</v>
      </c>
      <c r="B958" s="7">
        <f t="shared" si="304"/>
        <v>2.0070221915436801</v>
      </c>
      <c r="C958" s="7">
        <f t="shared" si="288"/>
        <v>2.2316015131325675</v>
      </c>
      <c r="D958" s="7">
        <f t="shared" si="289"/>
        <v>95.761589999999998</v>
      </c>
      <c r="E958" s="7">
        <f t="shared" si="290"/>
        <v>1</v>
      </c>
      <c r="G958" s="4">
        <f t="shared" si="291"/>
        <v>9459.999999999889</v>
      </c>
      <c r="H958" s="1">
        <f t="shared" si="302"/>
        <v>18.186146697222</v>
      </c>
      <c r="I958" s="1">
        <f t="shared" si="303"/>
        <v>3266.366142332563</v>
      </c>
      <c r="J958" s="1">
        <f t="shared" si="292"/>
        <v>108.87887141108543</v>
      </c>
      <c r="K958" s="7">
        <f t="shared" si="293"/>
        <v>8.9489483351577075</v>
      </c>
      <c r="L958" s="4">
        <f t="shared" si="294"/>
        <v>549.86909357361105</v>
      </c>
      <c r="M958" s="1">
        <f t="shared" si="295"/>
        <v>1115.8007565662838</v>
      </c>
      <c r="N958" s="7">
        <f t="shared" si="296"/>
        <v>95.761589999999998</v>
      </c>
      <c r="O958" s="1">
        <f t="shared" si="297"/>
        <v>3000</v>
      </c>
      <c r="P958" s="2">
        <f t="shared" si="298"/>
        <v>0.61354435062185186</v>
      </c>
      <c r="Q958" s="2">
        <f t="shared" si="305"/>
        <v>12423.606657323791</v>
      </c>
      <c r="S958" s="1">
        <f t="shared" si="286"/>
        <v>3000</v>
      </c>
      <c r="T958" s="1">
        <f t="shared" si="287"/>
        <v>549.86909357361105</v>
      </c>
      <c r="V958" s="1">
        <f t="shared" si="299"/>
        <v>549.86909357361105</v>
      </c>
      <c r="W958" s="1">
        <f t="shared" si="300"/>
        <v>3000</v>
      </c>
    </row>
    <row r="959" spans="1:23" x14ac:dyDescent="0.25">
      <c r="A959" s="2">
        <f t="shared" si="301"/>
        <v>94.699999999998894</v>
      </c>
      <c r="B959" s="7">
        <f t="shared" si="304"/>
        <v>1.9922907888065708</v>
      </c>
      <c r="C959" s="7">
        <f t="shared" si="288"/>
        <v>2.2325970293910484</v>
      </c>
      <c r="D959" s="7">
        <f t="shared" si="289"/>
        <v>95.761589999999998</v>
      </c>
      <c r="E959" s="7">
        <f t="shared" si="290"/>
        <v>1</v>
      </c>
      <c r="G959" s="4">
        <f t="shared" si="291"/>
        <v>9469.999999999889</v>
      </c>
      <c r="H959" s="1">
        <f t="shared" si="302"/>
        <v>18.320618759606052</v>
      </c>
      <c r="I959" s="1">
        <f t="shared" si="303"/>
        <v>3284.686761092169</v>
      </c>
      <c r="J959" s="1">
        <f t="shared" si="292"/>
        <v>109.4895587030723</v>
      </c>
      <c r="K959" s="7">
        <f t="shared" si="293"/>
        <v>8.9991418112114214</v>
      </c>
      <c r="L959" s="4">
        <f t="shared" si="294"/>
        <v>545.83309282371806</v>
      </c>
      <c r="M959" s="1">
        <f t="shared" si="295"/>
        <v>1116.2985146955243</v>
      </c>
      <c r="N959" s="7">
        <f t="shared" si="296"/>
        <v>95.761589999999998</v>
      </c>
      <c r="O959" s="1">
        <f t="shared" si="297"/>
        <v>3000</v>
      </c>
      <c r="P959" s="2">
        <f t="shared" si="298"/>
        <v>0.60931267079078066</v>
      </c>
      <c r="Q959" s="2">
        <f t="shared" si="305"/>
        <v>12332.418251989964</v>
      </c>
      <c r="S959" s="1">
        <f t="shared" si="286"/>
        <v>3000</v>
      </c>
      <c r="T959" s="1">
        <f t="shared" si="287"/>
        <v>545.83309282371806</v>
      </c>
      <c r="V959" s="1">
        <f t="shared" si="299"/>
        <v>545.83309282371806</v>
      </c>
      <c r="W959" s="1">
        <f t="shared" si="300"/>
        <v>3000</v>
      </c>
    </row>
    <row r="960" spans="1:23" x14ac:dyDescent="0.25">
      <c r="A960" s="2">
        <f t="shared" si="301"/>
        <v>94.799999999998889</v>
      </c>
      <c r="B960" s="7">
        <f t="shared" si="304"/>
        <v>1.9776675135368693</v>
      </c>
      <c r="C960" s="7">
        <f t="shared" si="288"/>
        <v>2.2335929897488067</v>
      </c>
      <c r="D960" s="7">
        <f t="shared" si="289"/>
        <v>95.761589999999998</v>
      </c>
      <c r="E960" s="7">
        <f t="shared" si="290"/>
        <v>1</v>
      </c>
      <c r="G960" s="4">
        <f t="shared" si="291"/>
        <v>9479.999999999889</v>
      </c>
      <c r="H960" s="1">
        <f t="shared" si="302"/>
        <v>18.456085135728017</v>
      </c>
      <c r="I960" s="1">
        <f t="shared" si="303"/>
        <v>3303.1428462278973</v>
      </c>
      <c r="J960" s="1">
        <f t="shared" si="292"/>
        <v>110.10476154092991</v>
      </c>
      <c r="K960" s="7">
        <f t="shared" si="293"/>
        <v>9.0497064280216364</v>
      </c>
      <c r="L960" s="4">
        <f t="shared" si="294"/>
        <v>541.82671603749839</v>
      </c>
      <c r="M960" s="1">
        <f t="shared" si="295"/>
        <v>1116.7964948744034</v>
      </c>
      <c r="N960" s="7">
        <f t="shared" si="296"/>
        <v>95.761589999999998</v>
      </c>
      <c r="O960" s="1">
        <f t="shared" si="297"/>
        <v>3000</v>
      </c>
      <c r="P960" s="2">
        <f t="shared" si="298"/>
        <v>0.60511017729998684</v>
      </c>
      <c r="Q960" s="2">
        <f t="shared" si="305"/>
        <v>12241.899163183671</v>
      </c>
      <c r="S960" s="1">
        <f t="shared" si="286"/>
        <v>3000</v>
      </c>
      <c r="T960" s="1">
        <f t="shared" si="287"/>
        <v>541.82671603749839</v>
      </c>
      <c r="V960" s="1">
        <f t="shared" si="299"/>
        <v>541.82671603749839</v>
      </c>
      <c r="W960" s="1">
        <f t="shared" si="300"/>
        <v>3000</v>
      </c>
    </row>
    <row r="961" spans="1:23" x14ac:dyDescent="0.25">
      <c r="A961" s="2">
        <f t="shared" si="301"/>
        <v>94.899999999998883</v>
      </c>
      <c r="B961" s="7">
        <f t="shared" si="304"/>
        <v>1.9631515720865154</v>
      </c>
      <c r="C961" s="7">
        <f t="shared" si="288"/>
        <v>2.2345893944039563</v>
      </c>
      <c r="D961" s="7">
        <f t="shared" si="289"/>
        <v>95.761589999999998</v>
      </c>
      <c r="E961" s="7">
        <f t="shared" si="290"/>
        <v>1</v>
      </c>
      <c r="G961" s="4">
        <f t="shared" si="291"/>
        <v>9489.999999999889</v>
      </c>
      <c r="H961" s="1">
        <f t="shared" si="302"/>
        <v>18.592553177748954</v>
      </c>
      <c r="I961" s="1">
        <f t="shared" si="303"/>
        <v>3321.7353994056461</v>
      </c>
      <c r="J961" s="1">
        <f t="shared" si="292"/>
        <v>110.72451331352154</v>
      </c>
      <c r="K961" s="7">
        <f t="shared" si="293"/>
        <v>9.1006449298784826</v>
      </c>
      <c r="L961" s="4">
        <f t="shared" si="294"/>
        <v>537.84974577712751</v>
      </c>
      <c r="M961" s="1">
        <f t="shared" si="295"/>
        <v>1117.2946972019781</v>
      </c>
      <c r="N961" s="7">
        <f t="shared" si="296"/>
        <v>95.761589999999998</v>
      </c>
      <c r="O961" s="1">
        <f t="shared" si="297"/>
        <v>3000</v>
      </c>
      <c r="P961" s="2">
        <f t="shared" si="298"/>
        <v>0.60093666884821662</v>
      </c>
      <c r="Q961" s="2">
        <f t="shared" si="305"/>
        <v>12152.044478168338</v>
      </c>
      <c r="S961" s="1">
        <f t="shared" si="286"/>
        <v>3000</v>
      </c>
      <c r="T961" s="1">
        <f t="shared" si="287"/>
        <v>537.84974577712751</v>
      </c>
      <c r="V961" s="1">
        <f t="shared" si="299"/>
        <v>537.84974577712751</v>
      </c>
      <c r="W961" s="1">
        <f t="shared" si="300"/>
        <v>3000</v>
      </c>
    </row>
    <row r="962" spans="1:23" x14ac:dyDescent="0.25">
      <c r="A962" s="2">
        <f t="shared" si="301"/>
        <v>94.999999999998877</v>
      </c>
      <c r="B962" s="7">
        <f t="shared" si="304"/>
        <v>1.9487421766327695</v>
      </c>
      <c r="C962" s="7">
        <f t="shared" si="288"/>
        <v>2.2355862435546969</v>
      </c>
      <c r="D962" s="7">
        <f t="shared" si="289"/>
        <v>95.761589999999998</v>
      </c>
      <c r="E962" s="7">
        <f t="shared" si="290"/>
        <v>1</v>
      </c>
      <c r="G962" s="4">
        <f t="shared" si="291"/>
        <v>9499.9999999998872</v>
      </c>
      <c r="H962" s="1">
        <f t="shared" si="302"/>
        <v>18.730030292186566</v>
      </c>
      <c r="I962" s="1">
        <f t="shared" si="303"/>
        <v>3340.4654296978329</v>
      </c>
      <c r="J962" s="1">
        <f t="shared" si="292"/>
        <v>111.34884765659443</v>
      </c>
      <c r="K962" s="7">
        <f t="shared" si="293"/>
        <v>9.1519600813639261</v>
      </c>
      <c r="L962" s="4">
        <f t="shared" si="294"/>
        <v>533.90196620075881</v>
      </c>
      <c r="M962" s="1">
        <f t="shared" si="295"/>
        <v>1117.7931217773485</v>
      </c>
      <c r="N962" s="7">
        <f t="shared" si="296"/>
        <v>95.761589999999998</v>
      </c>
      <c r="O962" s="1">
        <f t="shared" si="297"/>
        <v>3000</v>
      </c>
      <c r="P962" s="2">
        <f t="shared" si="298"/>
        <v>0.59679194552261061</v>
      </c>
      <c r="Q962" s="2">
        <f t="shared" si="305"/>
        <v>12062.849320266534</v>
      </c>
      <c r="S962" s="1">
        <f t="shared" si="286"/>
        <v>3000</v>
      </c>
      <c r="T962" s="1">
        <f t="shared" si="287"/>
        <v>533.90196620075881</v>
      </c>
      <c r="V962" s="1">
        <f t="shared" si="299"/>
        <v>533.90196620075881</v>
      </c>
      <c r="W962" s="1">
        <f t="shared" si="300"/>
        <v>3000</v>
      </c>
    </row>
    <row r="963" spans="1:23" x14ac:dyDescent="0.25">
      <c r="A963" s="2">
        <f t="shared" si="301"/>
        <v>95.099999999998872</v>
      </c>
      <c r="B963" s="7">
        <f t="shared" si="304"/>
        <v>1.9344385451354575</v>
      </c>
      <c r="C963" s="7">
        <f t="shared" si="288"/>
        <v>2.2365835373993184</v>
      </c>
      <c r="D963" s="7">
        <f t="shared" si="289"/>
        <v>95.761589999999998</v>
      </c>
      <c r="E963" s="7">
        <f t="shared" si="290"/>
        <v>1</v>
      </c>
      <c r="G963" s="4">
        <f t="shared" si="291"/>
        <v>9509.9999999998872</v>
      </c>
      <c r="H963" s="1">
        <f t="shared" si="302"/>
        <v>18.868523940337493</v>
      </c>
      <c r="I963" s="1">
        <f t="shared" si="303"/>
        <v>3359.3339536381704</v>
      </c>
      <c r="J963" s="1">
        <f t="shared" si="292"/>
        <v>111.97779845460568</v>
      </c>
      <c r="K963" s="7">
        <f t="shared" si="293"/>
        <v>9.2036546675018371</v>
      </c>
      <c r="L963" s="4">
        <f t="shared" si="294"/>
        <v>529.98316305081016</v>
      </c>
      <c r="M963" s="1">
        <f t="shared" si="295"/>
        <v>1118.2917686996591</v>
      </c>
      <c r="N963" s="7">
        <f t="shared" si="296"/>
        <v>95.761589999999998</v>
      </c>
      <c r="O963" s="1">
        <f t="shared" si="297"/>
        <v>3000</v>
      </c>
      <c r="P963" s="2">
        <f t="shared" si="298"/>
        <v>0.59267580878913029</v>
      </c>
      <c r="Q963" s="2">
        <f t="shared" si="305"/>
        <v>11974.308848595296</v>
      </c>
      <c r="S963" s="1">
        <f t="shared" si="286"/>
        <v>3000</v>
      </c>
      <c r="T963" s="1">
        <f t="shared" si="287"/>
        <v>529.98316305081016</v>
      </c>
      <c r="V963" s="1">
        <f t="shared" si="299"/>
        <v>529.98316305081016</v>
      </c>
      <c r="W963" s="1">
        <f t="shared" si="300"/>
        <v>3000</v>
      </c>
    </row>
    <row r="964" spans="1:23" x14ac:dyDescent="0.25">
      <c r="A964" s="2">
        <f t="shared" si="301"/>
        <v>95.199999999998866</v>
      </c>
      <c r="B964" s="7">
        <f t="shared" si="304"/>
        <v>1.9202399012945224</v>
      </c>
      <c r="C964" s="7">
        <f t="shared" si="288"/>
        <v>2.2373699999999999</v>
      </c>
      <c r="D964" s="7">
        <f t="shared" si="289"/>
        <v>95.761589999999998</v>
      </c>
      <c r="E964" s="7">
        <f t="shared" si="290"/>
        <v>1</v>
      </c>
      <c r="G964" s="4">
        <f t="shared" si="291"/>
        <v>9519.9999999998854</v>
      </c>
      <c r="H964" s="1">
        <f t="shared" si="302"/>
        <v>19.008041638644745</v>
      </c>
      <c r="I964" s="1">
        <f t="shared" si="303"/>
        <v>3378.3419952768154</v>
      </c>
      <c r="J964" s="1">
        <f t="shared" si="292"/>
        <v>112.61139984256052</v>
      </c>
      <c r="K964" s="7">
        <f t="shared" si="293"/>
        <v>9.2557314939090833</v>
      </c>
      <c r="L964" s="4">
        <f t="shared" si="294"/>
        <v>526.09312364233494</v>
      </c>
      <c r="M964" s="1">
        <f t="shared" si="295"/>
        <v>1118.6849999999999</v>
      </c>
      <c r="N964" s="7">
        <f t="shared" si="296"/>
        <v>95.761589999999998</v>
      </c>
      <c r="O964" s="1">
        <f t="shared" si="297"/>
        <v>3000</v>
      </c>
      <c r="P964" s="2">
        <f t="shared" si="298"/>
        <v>0.58853248602182551</v>
      </c>
      <c r="Q964" s="2">
        <f t="shared" si="305"/>
        <v>11886.418257803407</v>
      </c>
      <c r="S964" s="1">
        <f t="shared" si="286"/>
        <v>3000</v>
      </c>
      <c r="T964" s="1">
        <f t="shared" si="287"/>
        <v>526.09312364233494</v>
      </c>
      <c r="V964" s="1">
        <f t="shared" si="299"/>
        <v>526.09312364233494</v>
      </c>
      <c r="W964" s="1">
        <f t="shared" si="300"/>
        <v>3000</v>
      </c>
    </row>
    <row r="965" spans="1:23" x14ac:dyDescent="0.25">
      <c r="A965" s="2">
        <f t="shared" si="301"/>
        <v>95.29999999999886</v>
      </c>
      <c r="B965" s="7">
        <f t="shared" si="304"/>
        <v>1.9061454745079012</v>
      </c>
      <c r="C965" s="7">
        <f t="shared" si="288"/>
        <v>2.2373699999999999</v>
      </c>
      <c r="D965" s="7">
        <f t="shared" si="289"/>
        <v>95.761589999999998</v>
      </c>
      <c r="E965" s="7">
        <f t="shared" si="290"/>
        <v>1</v>
      </c>
      <c r="G965" s="4">
        <f t="shared" si="291"/>
        <v>9529.9999999998854</v>
      </c>
      <c r="H965" s="1">
        <f t="shared" si="302"/>
        <v>19.148590959156987</v>
      </c>
      <c r="I965" s="1">
        <f t="shared" si="303"/>
        <v>3397.4905862359724</v>
      </c>
      <c r="J965" s="1">
        <f t="shared" si="292"/>
        <v>113.24968620786575</v>
      </c>
      <c r="K965" s="7">
        <f t="shared" si="293"/>
        <v>9.3081933869478704</v>
      </c>
      <c r="L965" s="4">
        <f t="shared" si="294"/>
        <v>522.23163685147972</v>
      </c>
      <c r="M965" s="1">
        <f t="shared" si="295"/>
        <v>1118.6849999999999</v>
      </c>
      <c r="N965" s="7">
        <f t="shared" si="296"/>
        <v>95.761589999999998</v>
      </c>
      <c r="O965" s="1">
        <f t="shared" si="297"/>
        <v>3000</v>
      </c>
      <c r="P965" s="2">
        <f t="shared" si="298"/>
        <v>0.58421269867119752</v>
      </c>
      <c r="Q965" s="2">
        <f t="shared" si="305"/>
        <v>11799.172777810605</v>
      </c>
      <c r="S965" s="1">
        <f t="shared" si="286"/>
        <v>3000</v>
      </c>
      <c r="T965" s="1">
        <f t="shared" si="287"/>
        <v>522.23163685147972</v>
      </c>
      <c r="V965" s="1">
        <f t="shared" si="299"/>
        <v>522.23163685147972</v>
      </c>
      <c r="W965" s="1">
        <f t="shared" si="300"/>
        <v>3000</v>
      </c>
    </row>
    <row r="966" spans="1:23" x14ac:dyDescent="0.25">
      <c r="A966" s="2">
        <f t="shared" si="301"/>
        <v>95.399999999998855</v>
      </c>
      <c r="B966" s="7">
        <f t="shared" si="304"/>
        <v>1.8921544998296904</v>
      </c>
      <c r="C966" s="7">
        <f t="shared" si="288"/>
        <v>2.2373699999999999</v>
      </c>
      <c r="D966" s="7">
        <f t="shared" si="289"/>
        <v>95.761589999999998</v>
      </c>
      <c r="E966" s="7">
        <f t="shared" si="290"/>
        <v>1</v>
      </c>
      <c r="G966" s="4">
        <f t="shared" si="291"/>
        <v>9539.9999999998854</v>
      </c>
      <c r="H966" s="1">
        <f t="shared" si="302"/>
        <v>19.290179529887912</v>
      </c>
      <c r="I966" s="1">
        <f t="shared" si="303"/>
        <v>3416.7807657658605</v>
      </c>
      <c r="J966" s="1">
        <f t="shared" si="292"/>
        <v>113.89269219219536</v>
      </c>
      <c r="K966" s="7">
        <f t="shared" si="293"/>
        <v>9.3610431938790697</v>
      </c>
      <c r="L966" s="4">
        <f t="shared" si="294"/>
        <v>518.39849310402485</v>
      </c>
      <c r="M966" s="1">
        <f t="shared" si="295"/>
        <v>1118.6849999999999</v>
      </c>
      <c r="N966" s="7">
        <f t="shared" si="296"/>
        <v>95.761589999999998</v>
      </c>
      <c r="O966" s="1">
        <f t="shared" si="297"/>
        <v>3000</v>
      </c>
      <c r="P966" s="2">
        <f t="shared" si="298"/>
        <v>0.57992461825807606</v>
      </c>
      <c r="Q966" s="2">
        <f t="shared" si="305"/>
        <v>11712.567673548669</v>
      </c>
      <c r="S966" s="1">
        <f t="shared" si="286"/>
        <v>3000</v>
      </c>
      <c r="T966" s="1">
        <f t="shared" si="287"/>
        <v>518.39849310402485</v>
      </c>
      <c r="V966" s="1">
        <f t="shared" si="299"/>
        <v>518.39849310402485</v>
      </c>
      <c r="W966" s="1">
        <f t="shared" si="300"/>
        <v>3000</v>
      </c>
    </row>
    <row r="967" spans="1:23" x14ac:dyDescent="0.25">
      <c r="A967" s="2">
        <f t="shared" si="301"/>
        <v>95.499999999998849</v>
      </c>
      <c r="B967" s="7">
        <f t="shared" si="304"/>
        <v>1.8782662179286389</v>
      </c>
      <c r="C967" s="7">
        <f t="shared" si="288"/>
        <v>2.2373699999999999</v>
      </c>
      <c r="D967" s="7">
        <f t="shared" si="289"/>
        <v>95.761589999999998</v>
      </c>
      <c r="E967" s="7">
        <f t="shared" si="290"/>
        <v>1</v>
      </c>
      <c r="G967" s="4">
        <f t="shared" si="291"/>
        <v>9549.9999999998854</v>
      </c>
      <c r="H967" s="1">
        <f t="shared" si="302"/>
        <v>19.432815035268202</v>
      </c>
      <c r="I967" s="1">
        <f t="shared" si="303"/>
        <v>3436.2135808011285</v>
      </c>
      <c r="J967" s="1">
        <f t="shared" si="292"/>
        <v>114.54045269337095</v>
      </c>
      <c r="K967" s="7">
        <f t="shared" si="293"/>
        <v>9.4142837830167903</v>
      </c>
      <c r="L967" s="4">
        <f t="shared" si="294"/>
        <v>514.59348436401069</v>
      </c>
      <c r="M967" s="1">
        <f t="shared" si="295"/>
        <v>1118.6849999999999</v>
      </c>
      <c r="N967" s="7">
        <f t="shared" si="296"/>
        <v>95.761589999999998</v>
      </c>
      <c r="O967" s="1">
        <f t="shared" si="297"/>
        <v>3000</v>
      </c>
      <c r="P967" s="2">
        <f t="shared" si="298"/>
        <v>0.57566801205575324</v>
      </c>
      <c r="Q967" s="2">
        <f t="shared" si="305"/>
        <v>11626.598244704444</v>
      </c>
      <c r="S967" s="1">
        <f t="shared" si="286"/>
        <v>3000</v>
      </c>
      <c r="T967" s="1">
        <f t="shared" si="287"/>
        <v>514.59348436401069</v>
      </c>
      <c r="V967" s="1">
        <f t="shared" si="299"/>
        <v>514.59348436401069</v>
      </c>
      <c r="W967" s="1">
        <f t="shared" si="300"/>
        <v>3000</v>
      </c>
    </row>
    <row r="968" spans="1:23" x14ac:dyDescent="0.25">
      <c r="A968" s="2">
        <f t="shared" si="301"/>
        <v>95.599999999998843</v>
      </c>
      <c r="B968" s="7">
        <f t="shared" si="304"/>
        <v>1.8644798750469329</v>
      </c>
      <c r="C968" s="7">
        <f t="shared" si="288"/>
        <v>2.2373699999999999</v>
      </c>
      <c r="D968" s="7">
        <f t="shared" si="289"/>
        <v>95.761589999999998</v>
      </c>
      <c r="E968" s="7">
        <f t="shared" si="290"/>
        <v>1</v>
      </c>
      <c r="G968" s="4">
        <f t="shared" si="291"/>
        <v>9559.9999999998854</v>
      </c>
      <c r="H968" s="1">
        <f t="shared" si="302"/>
        <v>19.576505216545293</v>
      </c>
      <c r="I968" s="1">
        <f t="shared" si="303"/>
        <v>3455.7900860176737</v>
      </c>
      <c r="J968" s="1">
        <f t="shared" si="292"/>
        <v>115.19300286725579</v>
      </c>
      <c r="K968" s="7">
        <f t="shared" si="293"/>
        <v>9.4679180438840369</v>
      </c>
      <c r="L968" s="4">
        <f t="shared" si="294"/>
        <v>510.81640412244741</v>
      </c>
      <c r="M968" s="1">
        <f t="shared" si="295"/>
        <v>1118.6849999999999</v>
      </c>
      <c r="N968" s="7">
        <f t="shared" si="296"/>
        <v>95.761589999999998</v>
      </c>
      <c r="O968" s="1">
        <f t="shared" si="297"/>
        <v>3000</v>
      </c>
      <c r="P968" s="2">
        <f t="shared" si="298"/>
        <v>0.57144264904571995</v>
      </c>
      <c r="Q968" s="2">
        <f t="shared" si="305"/>
        <v>11541.259825464756</v>
      </c>
      <c r="S968" s="1">
        <f t="shared" si="286"/>
        <v>3000</v>
      </c>
      <c r="T968" s="1">
        <f t="shared" si="287"/>
        <v>510.81640412244741</v>
      </c>
      <c r="V968" s="1">
        <f t="shared" si="299"/>
        <v>510.81640412244741</v>
      </c>
      <c r="W968" s="1">
        <f t="shared" si="300"/>
        <v>3000</v>
      </c>
    </row>
    <row r="969" spans="1:23" x14ac:dyDescent="0.25">
      <c r="A969" s="2">
        <f t="shared" si="301"/>
        <v>95.699999999998838</v>
      </c>
      <c r="B969" s="7">
        <f t="shared" si="304"/>
        <v>1.8507947229592889</v>
      </c>
      <c r="C969" s="7">
        <f t="shared" si="288"/>
        <v>2.2373699999999999</v>
      </c>
      <c r="D969" s="7">
        <f t="shared" si="289"/>
        <v>95.761589999999998</v>
      </c>
      <c r="E969" s="7">
        <f t="shared" si="290"/>
        <v>1</v>
      </c>
      <c r="G969" s="4">
        <f t="shared" si="291"/>
        <v>9569.9999999998854</v>
      </c>
      <c r="H969" s="1">
        <f t="shared" si="302"/>
        <v>19.721257872206973</v>
      </c>
      <c r="I969" s="1">
        <f t="shared" si="303"/>
        <v>3475.5113438898807</v>
      </c>
      <c r="J969" s="1">
        <f t="shared" si="292"/>
        <v>115.85037812966269</v>
      </c>
      <c r="K969" s="7">
        <f t="shared" si="293"/>
        <v>9.5219488873695362</v>
      </c>
      <c r="L969" s="4">
        <f t="shared" si="294"/>
        <v>507.06704738610659</v>
      </c>
      <c r="M969" s="1">
        <f t="shared" si="295"/>
        <v>1118.6849999999999</v>
      </c>
      <c r="N969" s="7">
        <f t="shared" si="296"/>
        <v>95.761589999999998</v>
      </c>
      <c r="O969" s="1">
        <f t="shared" si="297"/>
        <v>3000</v>
      </c>
      <c r="P969" s="2">
        <f t="shared" si="298"/>
        <v>0.56724829990512671</v>
      </c>
      <c r="Q969" s="2">
        <f t="shared" si="305"/>
        <v>11456.547784263172</v>
      </c>
      <c r="S969" s="1">
        <f t="shared" si="286"/>
        <v>3000</v>
      </c>
      <c r="T969" s="1">
        <f t="shared" si="287"/>
        <v>507.06704738610659</v>
      </c>
      <c r="V969" s="1">
        <f t="shared" si="299"/>
        <v>507.06704738610659</v>
      </c>
      <c r="W969" s="1">
        <f t="shared" si="300"/>
        <v>3000</v>
      </c>
    </row>
    <row r="970" spans="1:23" x14ac:dyDescent="0.25">
      <c r="A970" s="2">
        <f t="shared" si="301"/>
        <v>95.799999999998832</v>
      </c>
      <c r="B970" s="7">
        <f t="shared" si="304"/>
        <v>1.8372100189323448</v>
      </c>
      <c r="C970" s="7">
        <f t="shared" si="288"/>
        <v>2.2373699999999999</v>
      </c>
      <c r="D970" s="7">
        <f t="shared" si="289"/>
        <v>95.761589999999998</v>
      </c>
      <c r="E970" s="7">
        <f t="shared" si="290"/>
        <v>1</v>
      </c>
      <c r="G970" s="4">
        <f t="shared" si="291"/>
        <v>9579.9999999998836</v>
      </c>
      <c r="H970" s="1">
        <f t="shared" si="302"/>
        <v>19.867080858401017</v>
      </c>
      <c r="I970" s="1">
        <f t="shared" si="303"/>
        <v>3495.3784247482818</v>
      </c>
      <c r="J970" s="1">
        <f t="shared" si="292"/>
        <v>116.51261415827607</v>
      </c>
      <c r="K970" s="7">
        <f t="shared" si="293"/>
        <v>9.576379245885704</v>
      </c>
      <c r="L970" s="4">
        <f t="shared" si="294"/>
        <v>503.34521066639587</v>
      </c>
      <c r="M970" s="1">
        <f t="shared" si="295"/>
        <v>1118.6849999999999</v>
      </c>
      <c r="N970" s="7">
        <f t="shared" si="296"/>
        <v>95.761589999999998</v>
      </c>
      <c r="O970" s="1">
        <f t="shared" si="297"/>
        <v>3000</v>
      </c>
      <c r="P970" s="2">
        <f t="shared" si="298"/>
        <v>0.56308473699433703</v>
      </c>
      <c r="Q970" s="2">
        <f t="shared" si="305"/>
        <v>11372.457523528632</v>
      </c>
      <c r="S970" s="1">
        <f t="shared" si="286"/>
        <v>3000</v>
      </c>
      <c r="T970" s="1">
        <f t="shared" si="287"/>
        <v>503.34521066639587</v>
      </c>
      <c r="V970" s="1">
        <f t="shared" si="299"/>
        <v>503.34521066639587</v>
      </c>
      <c r="W970" s="1">
        <f t="shared" si="300"/>
        <v>3000</v>
      </c>
    </row>
    <row r="971" spans="1:23" x14ac:dyDescent="0.25">
      <c r="A971" s="2">
        <f t="shared" si="301"/>
        <v>95.899999999998826</v>
      </c>
      <c r="B971" s="7">
        <f t="shared" si="304"/>
        <v>1.8237250256843471</v>
      </c>
      <c r="C971" s="7">
        <f t="shared" si="288"/>
        <v>2.2373699999999999</v>
      </c>
      <c r="D971" s="7">
        <f t="shared" si="289"/>
        <v>95.761589999999998</v>
      </c>
      <c r="E971" s="7">
        <f t="shared" si="290"/>
        <v>1</v>
      </c>
      <c r="G971" s="4">
        <f t="shared" si="291"/>
        <v>9589.9999999998818</v>
      </c>
      <c r="H971" s="1">
        <f t="shared" si="302"/>
        <v>20.013982089376029</v>
      </c>
      <c r="I971" s="1">
        <f t="shared" si="303"/>
        <v>3515.3924068376577</v>
      </c>
      <c r="J971" s="1">
        <f t="shared" si="292"/>
        <v>117.17974689458859</v>
      </c>
      <c r="K971" s="7">
        <f t="shared" si="293"/>
        <v>9.6312120735278288</v>
      </c>
      <c r="L971" s="4">
        <f t="shared" si="294"/>
        <v>499.65069196831428</v>
      </c>
      <c r="M971" s="1">
        <f t="shared" si="295"/>
        <v>1118.6849999999999</v>
      </c>
      <c r="N971" s="7">
        <f t="shared" si="296"/>
        <v>95.761589999999998</v>
      </c>
      <c r="O971" s="1">
        <f t="shared" si="297"/>
        <v>3000</v>
      </c>
      <c r="P971" s="2">
        <f t="shared" si="298"/>
        <v>0.55895173434457357</v>
      </c>
      <c r="Q971" s="2">
        <f t="shared" si="305"/>
        <v>11288.984479435912</v>
      </c>
      <c r="S971" s="1">
        <f t="shared" si="286"/>
        <v>3000</v>
      </c>
      <c r="T971" s="1">
        <f t="shared" si="287"/>
        <v>499.65069196831428</v>
      </c>
      <c r="V971" s="1">
        <f t="shared" si="299"/>
        <v>499.65069196831428</v>
      </c>
      <c r="W971" s="1">
        <f t="shared" si="300"/>
        <v>3000</v>
      </c>
    </row>
    <row r="972" spans="1:23" x14ac:dyDescent="0.25">
      <c r="A972" s="2">
        <f t="shared" si="301"/>
        <v>95.99999999999882</v>
      </c>
      <c r="B972" s="7">
        <f t="shared" si="304"/>
        <v>1.8103390113451445</v>
      </c>
      <c r="C972" s="7">
        <f t="shared" si="288"/>
        <v>2.2373699999999999</v>
      </c>
      <c r="D972" s="7">
        <f t="shared" si="289"/>
        <v>95.761589999999998</v>
      </c>
      <c r="E972" s="7">
        <f t="shared" si="290"/>
        <v>1</v>
      </c>
      <c r="G972" s="4">
        <f t="shared" si="291"/>
        <v>9599.9999999998818</v>
      </c>
      <c r="H972" s="1">
        <f t="shared" si="302"/>
        <v>20.161969537892929</v>
      </c>
      <c r="I972" s="1">
        <f t="shared" si="303"/>
        <v>3535.5543763755509</v>
      </c>
      <c r="J972" s="1">
        <f t="shared" si="292"/>
        <v>117.8518125458517</v>
      </c>
      <c r="K972" s="7">
        <f t="shared" si="293"/>
        <v>9.6864503462343858</v>
      </c>
      <c r="L972" s="4">
        <f t="shared" si="294"/>
        <v>495.9832907794916</v>
      </c>
      <c r="M972" s="1">
        <f t="shared" si="295"/>
        <v>1118.6849999999999</v>
      </c>
      <c r="N972" s="7">
        <f t="shared" si="296"/>
        <v>95.761589999999998</v>
      </c>
      <c r="O972" s="1">
        <f t="shared" si="297"/>
        <v>3000</v>
      </c>
      <c r="P972" s="2">
        <f t="shared" si="298"/>
        <v>0.55484906764565545</v>
      </c>
      <c r="Q972" s="2">
        <f t="shared" si="305"/>
        <v>11206.124121657984</v>
      </c>
      <c r="S972" s="1">
        <f t="shared" ref="S972:S1012" si="306">E972*$H$3</f>
        <v>3000</v>
      </c>
      <c r="T972" s="1">
        <f t="shared" ref="T972:T1012" si="307">B972/100*$H$2/365*1000000</f>
        <v>495.9832907794916</v>
      </c>
      <c r="V972" s="1">
        <f t="shared" si="299"/>
        <v>495.9832907794916</v>
      </c>
      <c r="W972" s="1">
        <f t="shared" si="300"/>
        <v>3000</v>
      </c>
    </row>
    <row r="973" spans="1:23" x14ac:dyDescent="0.25">
      <c r="A973" s="2">
        <f t="shared" si="301"/>
        <v>96.099999999998815</v>
      </c>
      <c r="B973" s="7">
        <f t="shared" si="304"/>
        <v>1.7970512494164566</v>
      </c>
      <c r="C973" s="7">
        <f t="shared" ref="C973:C1012" si="308">IF($C$5&lt;$C$7,IF(A973&lt;=$C$2,$C$3*EXP(A973*$C$4),IF(A973&lt;=$C$7,$C$6,IF($C$8*EXP(A973*$C$9)&gt;$C$6,$C$6,$C$8*EXP(A973*$C$9)))),IF(A973&lt;=$C$2,$C$3*EXP(A973*$C$4),IF(A973&lt;=$C$5,$C$6,IF($C$8*EXP(A973*$C$9)&gt;$C$6,$C$6,$C$8*EXP(A973*$C$9)))))</f>
        <v>2.2373699999999999</v>
      </c>
      <c r="D973" s="7">
        <f t="shared" ref="D973:D1012" si="309">IF(IF($D$5&lt;$D$7,IF(A973&lt;=$D$2,$D$3*EXP(A973*$D$4),IF(A973&lt;=$D$7,$D$6,IF($D$8*EXP(A973*$D$9)&gt;$D$6,$D$6,$D$8*EXP(A973*$D$9)))),IF(A973&lt;=$D$2,$D$3*EXP(A973*$D$4),IF(A973&lt;=$D$5,$D$6,IF($D$8*EXP(A973*$D$9)&gt;$D$6,$D$6,$D$8*EXP(A973*$D$9)))))&lt;=100,IF($D$5&lt;$D$7,IF(A973&lt;=$D$2,$D$3*EXP(A973*$D$4),IF(A973&lt;=$D$7,$D$6,IF($D$8*EXP(A973*$D$9)&gt;$D$6,$D$6,$D$8*EXP(A973*$D$9)))),IF(A973&lt;=$D$2,$D$3*EXP(A973*$D$4),IF(A973&lt;=$D$5,$D$6,IF($D$8*EXP(A973*$D$9)&gt;$D$6,$D$6,$D$8*EXP(A973*$D$9))))),100)</f>
        <v>95.761589999999998</v>
      </c>
      <c r="E973" s="7">
        <f t="shared" ref="E973:E1012" si="310">IF($E$5&lt;$E$7,IF(A973&lt;=$E$2,$E$3*EXP(A973*$E$4),IF(A973&lt;=$E$7,$E$6,IF($E$8*EXP(A973*$E$9)&gt;$E$6,$E$6,$E$8*EXP(A973*$E$9)))),IF(A973&lt;=$E$2,$E$3*EXP(A973*$E$4),IF(A973&lt;=$E$5,$E$6,IF($E$8*EXP(A973*$E$9)&gt;$E$6,$E$6,$E$8*EXP(A973*$E$9)))))</f>
        <v>1</v>
      </c>
      <c r="G973" s="4">
        <f t="shared" ref="G973:G1012" si="311">A973/100*$H$2*1000</f>
        <v>9609.9999999998818</v>
      </c>
      <c r="H973" s="1">
        <f t="shared" si="302"/>
        <v>20.311051235657512</v>
      </c>
      <c r="I973" s="1">
        <f t="shared" si="303"/>
        <v>3555.8654276112084</v>
      </c>
      <c r="J973" s="1">
        <f t="shared" ref="J973:J1012" si="312">I973/30</f>
        <v>118.52884758704027</v>
      </c>
      <c r="K973" s="7">
        <f t="shared" ref="K973:K1012" si="313">I973/365</f>
        <v>9.7420970619485168</v>
      </c>
      <c r="L973" s="4">
        <f t="shared" ref="L973:L1012" si="314">IF(A973&gt;$B$2,IF(AND(B973/100*$H$2/365*1000000&gt;=$H$5,O973&gt;=$H$6,M973&lt;=$L$4,N973&lt;=$L$5),B973/100*$H$2/365*1000000*$L$6/100,#N/A),B973/100*$H$2/365*1000000*$L$6/100)</f>
        <v>492.3428080593032</v>
      </c>
      <c r="M973" s="1">
        <f t="shared" ref="M973:M1012" si="315">C973*$H$4</f>
        <v>1118.6849999999999</v>
      </c>
      <c r="N973" s="7">
        <f t="shared" ref="N973:N1012" si="316">D973</f>
        <v>95.761589999999998</v>
      </c>
      <c r="O973" s="1">
        <f t="shared" ref="O973:O1012" si="317">E973*$H$3</f>
        <v>3000</v>
      </c>
      <c r="P973" s="2">
        <f t="shared" ref="P973:P1012" si="318">L973*M973/1000000</f>
        <v>0.55077651423382157</v>
      </c>
      <c r="Q973" s="2">
        <f t="shared" si="305"/>
        <v>11123.871953120073</v>
      </c>
      <c r="S973" s="1">
        <f t="shared" si="306"/>
        <v>3000</v>
      </c>
      <c r="T973" s="1">
        <f t="shared" si="307"/>
        <v>492.3428080593032</v>
      </c>
      <c r="V973" s="1">
        <f t="shared" ref="V973:V1012" si="319">T973</f>
        <v>492.3428080593032</v>
      </c>
      <c r="W973" s="1">
        <f t="shared" ref="W973:W1012" si="320">S973</f>
        <v>3000</v>
      </c>
    </row>
    <row r="974" spans="1:23" x14ac:dyDescent="0.25">
      <c r="A974" s="2">
        <f t="shared" ref="A974:A1012" si="321">A973+0.1</f>
        <v>96.199999999998809</v>
      </c>
      <c r="B974" s="7">
        <f t="shared" si="304"/>
        <v>1.7838610187324513</v>
      </c>
      <c r="C974" s="7">
        <f t="shared" si="308"/>
        <v>2.2373699999999999</v>
      </c>
      <c r="D974" s="7">
        <f t="shared" si="309"/>
        <v>95.761589999999998</v>
      </c>
      <c r="E974" s="7">
        <f t="shared" si="310"/>
        <v>1</v>
      </c>
      <c r="G974" s="4">
        <f t="shared" si="311"/>
        <v>9619.9999999998799</v>
      </c>
      <c r="H974" s="1">
        <f t="shared" ref="H974:H1012" si="322">(G974-G973)*1000/L974</f>
        <v>20.461235273770924</v>
      </c>
      <c r="I974" s="1">
        <f t="shared" ref="I974:I1012" si="323">H974+I973</f>
        <v>3576.3266628849792</v>
      </c>
      <c r="J974" s="1">
        <f t="shared" si="312"/>
        <v>119.21088876283264</v>
      </c>
      <c r="K974" s="7">
        <f t="shared" si="313"/>
        <v>9.7981552407807655</v>
      </c>
      <c r="L974" s="4">
        <f t="shared" si="314"/>
        <v>488.72904622806874</v>
      </c>
      <c r="M974" s="1">
        <f t="shared" si="315"/>
        <v>1118.6849999999999</v>
      </c>
      <c r="N974" s="7">
        <f t="shared" si="316"/>
        <v>95.761589999999998</v>
      </c>
      <c r="O974" s="1">
        <f t="shared" si="317"/>
        <v>3000</v>
      </c>
      <c r="P974" s="2">
        <f t="shared" si="318"/>
        <v>0.54673385307964706</v>
      </c>
      <c r="Q974" s="2">
        <f t="shared" si="305"/>
        <v>11042.223509755622</v>
      </c>
      <c r="S974" s="1">
        <f t="shared" si="306"/>
        <v>3000</v>
      </c>
      <c r="T974" s="1">
        <f t="shared" si="307"/>
        <v>488.7290462280688</v>
      </c>
      <c r="V974" s="1">
        <f t="shared" si="319"/>
        <v>488.7290462280688</v>
      </c>
      <c r="W974" s="1">
        <f t="shared" si="320"/>
        <v>3000</v>
      </c>
    </row>
    <row r="975" spans="1:23" x14ac:dyDescent="0.25">
      <c r="A975" s="2">
        <f t="shared" si="321"/>
        <v>96.299999999998803</v>
      </c>
      <c r="B975" s="7">
        <f t="shared" si="304"/>
        <v>1.7707676034206026</v>
      </c>
      <c r="C975" s="7">
        <f t="shared" si="308"/>
        <v>2.2373699999999999</v>
      </c>
      <c r="D975" s="7">
        <f t="shared" si="309"/>
        <v>95.761589999999998</v>
      </c>
      <c r="E975" s="7">
        <f t="shared" si="310"/>
        <v>1</v>
      </c>
      <c r="G975" s="4">
        <f t="shared" si="311"/>
        <v>9629.9999999998818</v>
      </c>
      <c r="H975" s="1">
        <f t="shared" si="322"/>
        <v>20.612529803176521</v>
      </c>
      <c r="I975" s="1">
        <f t="shared" si="323"/>
        <v>3596.9391926881558</v>
      </c>
      <c r="J975" s="1">
        <f t="shared" si="312"/>
        <v>119.89797308960519</v>
      </c>
      <c r="K975" s="7">
        <f t="shared" si="313"/>
        <v>9.8546279251730304</v>
      </c>
      <c r="L975" s="4">
        <f t="shared" si="314"/>
        <v>485.14180915632954</v>
      </c>
      <c r="M975" s="1">
        <f t="shared" si="315"/>
        <v>1118.6849999999999</v>
      </c>
      <c r="N975" s="7">
        <f t="shared" si="316"/>
        <v>95.761589999999998</v>
      </c>
      <c r="O975" s="1">
        <f t="shared" si="317"/>
        <v>3000</v>
      </c>
      <c r="P975" s="2">
        <f t="shared" si="318"/>
        <v>0.54272086477604842</v>
      </c>
      <c r="Q975" s="2">
        <f t="shared" si="305"/>
        <v>10961.174360264022</v>
      </c>
      <c r="S975" s="1">
        <f t="shared" si="306"/>
        <v>3000</v>
      </c>
      <c r="T975" s="1">
        <f t="shared" si="307"/>
        <v>485.14180915632954</v>
      </c>
      <c r="V975" s="1">
        <f t="shared" si="319"/>
        <v>485.14180915632954</v>
      </c>
      <c r="W975" s="1">
        <f t="shared" si="320"/>
        <v>3000</v>
      </c>
    </row>
    <row r="976" spans="1:23" x14ac:dyDescent="0.25">
      <c r="A976" s="2">
        <f t="shared" si="321"/>
        <v>96.399999999998798</v>
      </c>
      <c r="B976" s="7">
        <f t="shared" si="304"/>
        <v>1.7577702928628398</v>
      </c>
      <c r="C976" s="7">
        <f t="shared" si="308"/>
        <v>2.2373699999999999</v>
      </c>
      <c r="D976" s="7">
        <f t="shared" si="309"/>
        <v>95.761589999999998</v>
      </c>
      <c r="E976" s="7">
        <f t="shared" si="310"/>
        <v>1</v>
      </c>
      <c r="G976" s="4">
        <f t="shared" si="311"/>
        <v>9639.9999999998799</v>
      </c>
      <c r="H976" s="1">
        <f t="shared" si="322"/>
        <v>20.764943035046212</v>
      </c>
      <c r="I976" s="1">
        <f t="shared" si="323"/>
        <v>3617.7041357232019</v>
      </c>
      <c r="J976" s="1">
        <f t="shared" si="312"/>
        <v>120.59013785744007</v>
      </c>
      <c r="K976" s="7">
        <f t="shared" si="313"/>
        <v>9.9115181800635668</v>
      </c>
      <c r="L976" s="4">
        <f t="shared" si="314"/>
        <v>481.58090215420265</v>
      </c>
      <c r="M976" s="1">
        <f t="shared" si="315"/>
        <v>1118.6849999999999</v>
      </c>
      <c r="N976" s="7">
        <f t="shared" si="316"/>
        <v>95.761589999999998</v>
      </c>
      <c r="O976" s="1">
        <f t="shared" si="317"/>
        <v>3000</v>
      </c>
      <c r="P976" s="2">
        <f t="shared" si="318"/>
        <v>0.53873733152637426</v>
      </c>
      <c r="Q976" s="2">
        <f t="shared" si="305"/>
        <v>10880.720105870085</v>
      </c>
      <c r="S976" s="1">
        <f t="shared" si="306"/>
        <v>3000</v>
      </c>
      <c r="T976" s="1">
        <f t="shared" si="307"/>
        <v>481.58090215420265</v>
      </c>
      <c r="V976" s="1">
        <f t="shared" si="319"/>
        <v>481.58090215420265</v>
      </c>
      <c r="W976" s="1">
        <f t="shared" si="320"/>
        <v>3000</v>
      </c>
    </row>
    <row r="977" spans="1:23" x14ac:dyDescent="0.25">
      <c r="A977" s="2">
        <f t="shared" si="321"/>
        <v>96.499999999998792</v>
      </c>
      <c r="B977" s="7">
        <f t="shared" si="304"/>
        <v>1.7448683816569786</v>
      </c>
      <c r="C977" s="7">
        <f t="shared" si="308"/>
        <v>2.2373699999999999</v>
      </c>
      <c r="D977" s="7">
        <f t="shared" si="309"/>
        <v>95.761589999999998</v>
      </c>
      <c r="E977" s="7">
        <f t="shared" si="310"/>
        <v>1</v>
      </c>
      <c r="G977" s="4">
        <f t="shared" si="311"/>
        <v>9649.9999999998781</v>
      </c>
      <c r="H977" s="1">
        <f t="shared" si="322"/>
        <v>20.918483241315815</v>
      </c>
      <c r="I977" s="1">
        <f t="shared" si="323"/>
        <v>3638.6226189645176</v>
      </c>
      <c r="J977" s="1">
        <f t="shared" si="312"/>
        <v>121.28742063215059</v>
      </c>
      <c r="K977" s="7">
        <f t="shared" si="313"/>
        <v>9.9688290930534738</v>
      </c>
      <c r="L977" s="4">
        <f t="shared" si="314"/>
        <v>478.04613196081613</v>
      </c>
      <c r="M977" s="1">
        <f t="shared" si="315"/>
        <v>1118.6849999999999</v>
      </c>
      <c r="N977" s="7">
        <f t="shared" si="316"/>
        <v>95.761589999999998</v>
      </c>
      <c r="O977" s="1">
        <f t="shared" si="317"/>
        <v>3000</v>
      </c>
      <c r="P977" s="2">
        <f t="shared" si="318"/>
        <v>0.53478303713258557</v>
      </c>
      <c r="Q977" s="2">
        <f t="shared" si="305"/>
        <v>10800.856380085346</v>
      </c>
      <c r="S977" s="1">
        <f t="shared" si="306"/>
        <v>3000</v>
      </c>
      <c r="T977" s="1">
        <f t="shared" si="307"/>
        <v>478.04613196081613</v>
      </c>
      <c r="V977" s="1">
        <f t="shared" si="319"/>
        <v>478.04613196081613</v>
      </c>
      <c r="W977" s="1">
        <f t="shared" si="320"/>
        <v>3000</v>
      </c>
    </row>
    <row r="978" spans="1:23" x14ac:dyDescent="0.25">
      <c r="A978" s="2">
        <f t="shared" si="321"/>
        <v>96.599999999998786</v>
      </c>
      <c r="B978" s="7">
        <f t="shared" si="304"/>
        <v>1.7320611695784367</v>
      </c>
      <c r="C978" s="7">
        <f t="shared" si="308"/>
        <v>2.2373699999999999</v>
      </c>
      <c r="D978" s="7">
        <f t="shared" si="309"/>
        <v>95.761589999999998</v>
      </c>
      <c r="E978" s="7">
        <f t="shared" si="310"/>
        <v>1</v>
      </c>
      <c r="G978" s="4">
        <f t="shared" si="311"/>
        <v>9659.9999999998799</v>
      </c>
      <c r="H978" s="1">
        <f t="shared" si="322"/>
        <v>21.073158755063087</v>
      </c>
      <c r="I978" s="1">
        <f t="shared" si="323"/>
        <v>3659.6957777195807</v>
      </c>
      <c r="J978" s="1">
        <f t="shared" si="312"/>
        <v>121.98985925731935</v>
      </c>
      <c r="K978" s="7">
        <f t="shared" si="313"/>
        <v>10.026563774574194</v>
      </c>
      <c r="L978" s="4">
        <f t="shared" si="314"/>
        <v>474.53730673381824</v>
      </c>
      <c r="M978" s="1">
        <f t="shared" si="315"/>
        <v>1118.6849999999999</v>
      </c>
      <c r="N978" s="7">
        <f t="shared" si="316"/>
        <v>95.761589999999998</v>
      </c>
      <c r="O978" s="1">
        <f t="shared" si="317"/>
        <v>3000</v>
      </c>
      <c r="P978" s="2">
        <f t="shared" si="318"/>
        <v>0.53085776698352138</v>
      </c>
      <c r="Q978" s="2">
        <f t="shared" si="305"/>
        <v>10721.57884847103</v>
      </c>
      <c r="S978" s="1">
        <f t="shared" si="306"/>
        <v>3000</v>
      </c>
      <c r="T978" s="1">
        <f t="shared" si="307"/>
        <v>474.53730673381824</v>
      </c>
      <c r="V978" s="1">
        <f t="shared" si="319"/>
        <v>474.53730673381824</v>
      </c>
      <c r="W978" s="1">
        <f t="shared" si="320"/>
        <v>3000</v>
      </c>
    </row>
    <row r="979" spans="1:23" x14ac:dyDescent="0.25">
      <c r="A979" s="2">
        <f t="shared" si="321"/>
        <v>96.699999999998781</v>
      </c>
      <c r="B979" s="7">
        <f t="shared" si="304"/>
        <v>1.7193479615422347</v>
      </c>
      <c r="C979" s="7">
        <f t="shared" si="308"/>
        <v>2.2373699999999999</v>
      </c>
      <c r="D979" s="7">
        <f t="shared" si="309"/>
        <v>95.761589999999998</v>
      </c>
      <c r="E979" s="7">
        <f t="shared" si="310"/>
        <v>1</v>
      </c>
      <c r="G979" s="4">
        <f t="shared" si="311"/>
        <v>9669.9999999998781</v>
      </c>
      <c r="H979" s="1">
        <f t="shared" si="322"/>
        <v>21.228977970958997</v>
      </c>
      <c r="I979" s="1">
        <f t="shared" si="323"/>
        <v>3680.9247556905398</v>
      </c>
      <c r="J979" s="1">
        <f t="shared" si="312"/>
        <v>122.69749185635132</v>
      </c>
      <c r="K979" s="7">
        <f t="shared" si="313"/>
        <v>10.084725358056273</v>
      </c>
      <c r="L979" s="4">
        <f t="shared" si="314"/>
        <v>471.05423603896844</v>
      </c>
      <c r="M979" s="1">
        <f t="shared" si="315"/>
        <v>1118.6849999999999</v>
      </c>
      <c r="N979" s="7">
        <f t="shared" si="316"/>
        <v>95.761589999999998</v>
      </c>
      <c r="O979" s="1">
        <f t="shared" si="317"/>
        <v>3000</v>
      </c>
      <c r="P979" s="2">
        <f t="shared" si="318"/>
        <v>0.52696130804325336</v>
      </c>
      <c r="Q979" s="2">
        <f t="shared" si="305"/>
        <v>10642.883208402887</v>
      </c>
      <c r="S979" s="1">
        <f t="shared" si="306"/>
        <v>3000</v>
      </c>
      <c r="T979" s="1">
        <f t="shared" si="307"/>
        <v>471.05423603896844</v>
      </c>
      <c r="V979" s="1">
        <f t="shared" si="319"/>
        <v>471.05423603896844</v>
      </c>
      <c r="W979" s="1">
        <f t="shared" si="320"/>
        <v>3000</v>
      </c>
    </row>
    <row r="980" spans="1:23" x14ac:dyDescent="0.25">
      <c r="A980" s="2">
        <f t="shared" si="321"/>
        <v>96.799999999998775</v>
      </c>
      <c r="B980" s="7">
        <f t="shared" si="304"/>
        <v>1.706728067565265</v>
      </c>
      <c r="C980" s="7">
        <f t="shared" si="308"/>
        <v>2.2373699999999999</v>
      </c>
      <c r="D980" s="7">
        <f t="shared" si="309"/>
        <v>95.761589999999998</v>
      </c>
      <c r="E980" s="7">
        <f t="shared" si="310"/>
        <v>1</v>
      </c>
      <c r="G980" s="4">
        <f t="shared" si="311"/>
        <v>9679.9999999998763</v>
      </c>
      <c r="H980" s="1">
        <f t="shared" si="322"/>
        <v>21.385949345792667</v>
      </c>
      <c r="I980" s="1">
        <f t="shared" si="323"/>
        <v>3702.3107050363324</v>
      </c>
      <c r="J980" s="1">
        <f t="shared" si="312"/>
        <v>123.41035683454442</v>
      </c>
      <c r="K980" s="7">
        <f t="shared" si="313"/>
        <v>10.143317000099541</v>
      </c>
      <c r="L980" s="4">
        <f t="shared" si="314"/>
        <v>467.59673083979857</v>
      </c>
      <c r="M980" s="1">
        <f t="shared" si="315"/>
        <v>1118.6849999999999</v>
      </c>
      <c r="N980" s="7">
        <f t="shared" si="316"/>
        <v>95.761589999999998</v>
      </c>
      <c r="O980" s="1">
        <f t="shared" si="317"/>
        <v>3000</v>
      </c>
      <c r="P980" s="2">
        <f t="shared" si="318"/>
        <v>0.52309344883952003</v>
      </c>
      <c r="Q980" s="2">
        <f t="shared" si="305"/>
        <v>10564.765188837584</v>
      </c>
      <c r="S980" s="1">
        <f t="shared" si="306"/>
        <v>3000</v>
      </c>
      <c r="T980" s="1">
        <f t="shared" si="307"/>
        <v>467.59673083979857</v>
      </c>
      <c r="V980" s="1">
        <f t="shared" si="319"/>
        <v>467.59673083979857</v>
      </c>
      <c r="W980" s="1">
        <f t="shared" si="320"/>
        <v>3000</v>
      </c>
    </row>
    <row r="981" spans="1:23" x14ac:dyDescent="0.25">
      <c r="A981" s="2">
        <f t="shared" si="321"/>
        <v>96.899999999998769</v>
      </c>
      <c r="B981" s="7">
        <f t="shared" si="304"/>
        <v>1.6942008027288484</v>
      </c>
      <c r="C981" s="7">
        <f t="shared" si="308"/>
        <v>2.2373699999999999</v>
      </c>
      <c r="D981" s="7">
        <f t="shared" si="309"/>
        <v>95.761589999999998</v>
      </c>
      <c r="E981" s="7">
        <f t="shared" si="310"/>
        <v>1</v>
      </c>
      <c r="G981" s="4">
        <f t="shared" si="311"/>
        <v>9689.9999999998763</v>
      </c>
      <c r="H981" s="1">
        <f t="shared" si="322"/>
        <v>21.544081398857479</v>
      </c>
      <c r="I981" s="1">
        <f t="shared" si="323"/>
        <v>3723.8547864351899</v>
      </c>
      <c r="J981" s="1">
        <f t="shared" si="312"/>
        <v>124.128492881173</v>
      </c>
      <c r="K981" s="7">
        <f t="shared" si="313"/>
        <v>10.202341880644356</v>
      </c>
      <c r="L981" s="4">
        <f t="shared" si="314"/>
        <v>464.16460348735581</v>
      </c>
      <c r="M981" s="1">
        <f t="shared" si="315"/>
        <v>1118.6849999999999</v>
      </c>
      <c r="N981" s="7">
        <f t="shared" si="316"/>
        <v>95.761589999999998</v>
      </c>
      <c r="O981" s="1">
        <f t="shared" si="317"/>
        <v>3000</v>
      </c>
      <c r="P981" s="2">
        <f t="shared" si="318"/>
        <v>0.5192539794522526</v>
      </c>
      <c r="Q981" s="2">
        <f t="shared" si="305"/>
        <v>10487.220550080972</v>
      </c>
      <c r="S981" s="1">
        <f t="shared" si="306"/>
        <v>3000</v>
      </c>
      <c r="T981" s="1">
        <f t="shared" si="307"/>
        <v>464.16460348735575</v>
      </c>
      <c r="V981" s="1">
        <f t="shared" si="319"/>
        <v>464.16460348735575</v>
      </c>
      <c r="W981" s="1">
        <f t="shared" si="320"/>
        <v>3000</v>
      </c>
    </row>
    <row r="982" spans="1:23" x14ac:dyDescent="0.25">
      <c r="A982" s="2">
        <f t="shared" si="321"/>
        <v>96.999999999998764</v>
      </c>
      <c r="B982" s="7">
        <f t="shared" si="304"/>
        <v>1.6817654871415624</v>
      </c>
      <c r="C982" s="7">
        <f t="shared" si="308"/>
        <v>2.2373699999999999</v>
      </c>
      <c r="D982" s="7">
        <f t="shared" si="309"/>
        <v>95.761589999999998</v>
      </c>
      <c r="E982" s="7">
        <f t="shared" si="310"/>
        <v>1</v>
      </c>
      <c r="G982" s="4">
        <f t="shared" si="311"/>
        <v>9699.9999999998763</v>
      </c>
      <c r="H982" s="1">
        <f t="shared" si="322"/>
        <v>21.703382712436181</v>
      </c>
      <c r="I982" s="1">
        <f t="shared" si="323"/>
        <v>3745.5581691476259</v>
      </c>
      <c r="J982" s="1">
        <f t="shared" si="312"/>
        <v>124.85193897158753</v>
      </c>
      <c r="K982" s="7">
        <f t="shared" si="313"/>
        <v>10.261803203144181</v>
      </c>
      <c r="L982" s="4">
        <f t="shared" si="314"/>
        <v>460.75766771001713</v>
      </c>
      <c r="M982" s="1">
        <f t="shared" si="315"/>
        <v>1118.6849999999999</v>
      </c>
      <c r="N982" s="7">
        <f t="shared" si="316"/>
        <v>95.761589999999998</v>
      </c>
      <c r="O982" s="1">
        <f t="shared" si="317"/>
        <v>3000</v>
      </c>
      <c r="P982" s="2">
        <f t="shared" si="318"/>
        <v>0.51544269150218047</v>
      </c>
      <c r="Q982" s="2">
        <f t="shared" si="305"/>
        <v>10410.245083557951</v>
      </c>
      <c r="S982" s="1">
        <f t="shared" si="306"/>
        <v>3000</v>
      </c>
      <c r="T982" s="1">
        <f t="shared" si="307"/>
        <v>460.75766771001713</v>
      </c>
      <c r="V982" s="1">
        <f t="shared" si="319"/>
        <v>460.75766771001713</v>
      </c>
      <c r="W982" s="1">
        <f t="shared" si="320"/>
        <v>3000</v>
      </c>
    </row>
    <row r="983" spans="1:23" x14ac:dyDescent="0.25">
      <c r="A983" s="2">
        <f t="shared" si="321"/>
        <v>97.099999999998758</v>
      </c>
      <c r="B983" s="7">
        <f t="shared" si="304"/>
        <v>1.669421445902338</v>
      </c>
      <c r="C983" s="7">
        <f t="shared" si="308"/>
        <v>2.2373699999999999</v>
      </c>
      <c r="D983" s="7">
        <f t="shared" si="309"/>
        <v>95.761589999999998</v>
      </c>
      <c r="E983" s="7">
        <f t="shared" si="310"/>
        <v>1</v>
      </c>
      <c r="G983" s="4">
        <f t="shared" si="311"/>
        <v>9709.9999999998745</v>
      </c>
      <c r="H983" s="1">
        <f t="shared" si="322"/>
        <v>21.863861932278439</v>
      </c>
      <c r="I983" s="1">
        <f t="shared" si="323"/>
        <v>3767.4220310799042</v>
      </c>
      <c r="J983" s="1">
        <f t="shared" si="312"/>
        <v>125.58073436933014</v>
      </c>
      <c r="K983" s="7">
        <f t="shared" si="313"/>
        <v>10.321704194739464</v>
      </c>
      <c r="L983" s="4">
        <f t="shared" si="314"/>
        <v>457.37573860338028</v>
      </c>
      <c r="M983" s="1">
        <f t="shared" si="315"/>
        <v>1118.6849999999999</v>
      </c>
      <c r="N983" s="7">
        <f t="shared" si="316"/>
        <v>95.761589999999998</v>
      </c>
      <c r="O983" s="1">
        <f t="shared" si="317"/>
        <v>3000</v>
      </c>
      <c r="P983" s="2">
        <f t="shared" si="318"/>
        <v>0.51165937813952245</v>
      </c>
      <c r="Q983" s="2">
        <f t="shared" si="305"/>
        <v>10333.83461158407</v>
      </c>
      <c r="S983" s="1">
        <f t="shared" si="306"/>
        <v>3000</v>
      </c>
      <c r="T983" s="1">
        <f t="shared" si="307"/>
        <v>457.37573860338034</v>
      </c>
      <c r="V983" s="1">
        <f t="shared" si="319"/>
        <v>457.37573860338034</v>
      </c>
      <c r="W983" s="1">
        <f t="shared" si="320"/>
        <v>3000</v>
      </c>
    </row>
    <row r="984" spans="1:23" x14ac:dyDescent="0.25">
      <c r="A984" s="2">
        <f t="shared" si="321"/>
        <v>97.199999999998752</v>
      </c>
      <c r="B984" s="7">
        <f t="shared" si="304"/>
        <v>1.6571680090638348</v>
      </c>
      <c r="C984" s="7">
        <f t="shared" si="308"/>
        <v>2.2373699999999999</v>
      </c>
      <c r="D984" s="7">
        <f t="shared" si="309"/>
        <v>95.761589999999998</v>
      </c>
      <c r="E984" s="7">
        <f t="shared" si="310"/>
        <v>1</v>
      </c>
      <c r="G984" s="4">
        <f t="shared" si="311"/>
        <v>9719.9999999998745</v>
      </c>
      <c r="H984" s="1">
        <f t="shared" si="322"/>
        <v>22.025527768074362</v>
      </c>
      <c r="I984" s="1">
        <f t="shared" si="323"/>
        <v>3789.4475588479786</v>
      </c>
      <c r="J984" s="1">
        <f t="shared" si="312"/>
        <v>126.31491862826596</v>
      </c>
      <c r="K984" s="7">
        <f t="shared" si="313"/>
        <v>10.382048106432817</v>
      </c>
      <c r="L984" s="4">
        <f t="shared" si="314"/>
        <v>454.01863262022874</v>
      </c>
      <c r="M984" s="1">
        <f t="shared" si="315"/>
        <v>1118.6849999999999</v>
      </c>
      <c r="N984" s="7">
        <f t="shared" si="316"/>
        <v>95.761589999999998</v>
      </c>
      <c r="O984" s="1">
        <f t="shared" si="317"/>
        <v>3000</v>
      </c>
      <c r="P984" s="2">
        <f t="shared" si="318"/>
        <v>0.50790383403276063</v>
      </c>
      <c r="Q984" s="2">
        <f t="shared" si="305"/>
        <v>10257.984987138792</v>
      </c>
      <c r="S984" s="1">
        <f t="shared" si="306"/>
        <v>3000</v>
      </c>
      <c r="T984" s="1">
        <f t="shared" si="307"/>
        <v>454.01863262022874</v>
      </c>
      <c r="V984" s="1">
        <f t="shared" si="319"/>
        <v>454.01863262022874</v>
      </c>
      <c r="W984" s="1">
        <f t="shared" si="320"/>
        <v>3000</v>
      </c>
    </row>
    <row r="985" spans="1:23" x14ac:dyDescent="0.25">
      <c r="A985" s="2">
        <f t="shared" si="321"/>
        <v>97.299999999998747</v>
      </c>
      <c r="B985" s="7">
        <f t="shared" si="304"/>
        <v>1.6450045115960783</v>
      </c>
      <c r="C985" s="7">
        <f t="shared" si="308"/>
        <v>2.2373699999999999</v>
      </c>
      <c r="D985" s="7">
        <f t="shared" si="309"/>
        <v>95.761589999999998</v>
      </c>
      <c r="E985" s="7">
        <f t="shared" si="310"/>
        <v>1</v>
      </c>
      <c r="G985" s="4">
        <f t="shared" si="311"/>
        <v>9729.9999999998745</v>
      </c>
      <c r="H985" s="1">
        <f t="shared" si="322"/>
        <v>22.188388993891326</v>
      </c>
      <c r="I985" s="1">
        <f t="shared" si="323"/>
        <v>3811.6359478418699</v>
      </c>
      <c r="J985" s="1">
        <f t="shared" si="312"/>
        <v>127.054531594729</v>
      </c>
      <c r="K985" s="7">
        <f t="shared" si="313"/>
        <v>10.442838213265397</v>
      </c>
      <c r="L985" s="4">
        <f t="shared" si="314"/>
        <v>450.6861675605694</v>
      </c>
      <c r="M985" s="1">
        <f t="shared" si="315"/>
        <v>1118.6849999999999</v>
      </c>
      <c r="N985" s="7">
        <f t="shared" si="316"/>
        <v>95.761589999999998</v>
      </c>
      <c r="O985" s="1">
        <f t="shared" si="317"/>
        <v>3000</v>
      </c>
      <c r="P985" s="2">
        <f t="shared" si="318"/>
        <v>0.50417585535749554</v>
      </c>
      <c r="Q985" s="2">
        <f t="shared" si="305"/>
        <v>10182.692093640424</v>
      </c>
      <c r="S985" s="1">
        <f t="shared" si="306"/>
        <v>3000</v>
      </c>
      <c r="T985" s="1">
        <f t="shared" si="307"/>
        <v>450.68616756056934</v>
      </c>
      <c r="V985" s="1">
        <f t="shared" si="319"/>
        <v>450.68616756056934</v>
      </c>
      <c r="W985" s="1">
        <f t="shared" si="320"/>
        <v>3000</v>
      </c>
    </row>
    <row r="986" spans="1:23" x14ac:dyDescent="0.25">
      <c r="A986" s="2">
        <f t="shared" si="321"/>
        <v>97.399999999998741</v>
      </c>
      <c r="B986" s="7">
        <f t="shared" si="304"/>
        <v>1.6329302933503655</v>
      </c>
      <c r="C986" s="7">
        <f t="shared" si="308"/>
        <v>2.2373699999999999</v>
      </c>
      <c r="D986" s="7">
        <f t="shared" si="309"/>
        <v>95.761589999999998</v>
      </c>
      <c r="E986" s="7">
        <f t="shared" si="310"/>
        <v>1</v>
      </c>
      <c r="G986" s="4">
        <f t="shared" si="311"/>
        <v>9739.9999999998745</v>
      </c>
      <c r="H986" s="1">
        <f t="shared" si="322"/>
        <v>22.352454448689969</v>
      </c>
      <c r="I986" s="1">
        <f t="shared" si="323"/>
        <v>3833.9884022905599</v>
      </c>
      <c r="J986" s="1">
        <f t="shared" si="312"/>
        <v>127.79961340968534</v>
      </c>
      <c r="K986" s="7">
        <f t="shared" si="313"/>
        <v>10.504077814494684</v>
      </c>
      <c r="L986" s="4">
        <f t="shared" si="314"/>
        <v>447.37816256174403</v>
      </c>
      <c r="M986" s="1">
        <f t="shared" si="315"/>
        <v>1118.6849999999999</v>
      </c>
      <c r="N986" s="7">
        <f t="shared" si="316"/>
        <v>95.761589999999998</v>
      </c>
      <c r="O986" s="1">
        <f t="shared" si="317"/>
        <v>3000</v>
      </c>
      <c r="P986" s="2">
        <f t="shared" si="318"/>
        <v>0.50047523978538466</v>
      </c>
      <c r="Q986" s="2">
        <f t="shared" si="305"/>
        <v>10107.951844722678</v>
      </c>
      <c r="S986" s="1">
        <f t="shared" si="306"/>
        <v>3000</v>
      </c>
      <c r="T986" s="1">
        <f t="shared" si="307"/>
        <v>447.37816256174403</v>
      </c>
      <c r="V986" s="1">
        <f t="shared" si="319"/>
        <v>447.37816256174403</v>
      </c>
      <c r="W986" s="1">
        <f t="shared" si="320"/>
        <v>3000</v>
      </c>
    </row>
    <row r="987" spans="1:23" x14ac:dyDescent="0.25">
      <c r="A987" s="2">
        <f t="shared" si="321"/>
        <v>97.499999999998735</v>
      </c>
      <c r="B987" s="7">
        <f t="shared" si="304"/>
        <v>1.6209446990234446</v>
      </c>
      <c r="C987" s="7">
        <f t="shared" si="308"/>
        <v>2.2373699999999999</v>
      </c>
      <c r="D987" s="7">
        <f t="shared" si="309"/>
        <v>95.761589999999998</v>
      </c>
      <c r="E987" s="7">
        <f t="shared" si="310"/>
        <v>1</v>
      </c>
      <c r="G987" s="4">
        <f t="shared" si="311"/>
        <v>9749.9999999998745</v>
      </c>
      <c r="H987" s="1">
        <f t="shared" si="322"/>
        <v>22.517733036783934</v>
      </c>
      <c r="I987" s="1">
        <f t="shared" si="323"/>
        <v>3856.5061353273436</v>
      </c>
      <c r="J987" s="1">
        <f t="shared" si="312"/>
        <v>128.55020451091144</v>
      </c>
      <c r="K987" s="7">
        <f t="shared" si="313"/>
        <v>10.565770233773543</v>
      </c>
      <c r="L987" s="4">
        <f t="shared" si="314"/>
        <v>444.09443808861482</v>
      </c>
      <c r="M987" s="1">
        <f t="shared" si="315"/>
        <v>1118.6849999999999</v>
      </c>
      <c r="N987" s="7">
        <f t="shared" si="316"/>
        <v>95.761589999999998</v>
      </c>
      <c r="O987" s="1">
        <f t="shared" si="317"/>
        <v>3000</v>
      </c>
      <c r="P987" s="2">
        <f t="shared" si="318"/>
        <v>0.49680178647316209</v>
      </c>
      <c r="Q987" s="2">
        <f t="shared" si="305"/>
        <v>10033.760184012939</v>
      </c>
      <c r="S987" s="1">
        <f t="shared" si="306"/>
        <v>3000</v>
      </c>
      <c r="T987" s="1">
        <f t="shared" si="307"/>
        <v>444.09443808861488</v>
      </c>
      <c r="V987" s="1">
        <f t="shared" si="319"/>
        <v>444.09443808861488</v>
      </c>
      <c r="W987" s="1">
        <f t="shared" si="320"/>
        <v>3000</v>
      </c>
    </row>
    <row r="988" spans="1:23" x14ac:dyDescent="0.25">
      <c r="A988" s="2">
        <f t="shared" si="321"/>
        <v>97.59999999999873</v>
      </c>
      <c r="B988" s="7">
        <f t="shared" si="304"/>
        <v>1.6090470781219384</v>
      </c>
      <c r="C988" s="7">
        <f t="shared" si="308"/>
        <v>2.2373699999999999</v>
      </c>
      <c r="D988" s="7">
        <f t="shared" si="309"/>
        <v>95.761589999999998</v>
      </c>
      <c r="E988" s="7">
        <f t="shared" si="310"/>
        <v>1</v>
      </c>
      <c r="G988" s="4">
        <f t="shared" si="311"/>
        <v>9759.9999999998745</v>
      </c>
      <c r="H988" s="1">
        <f t="shared" si="322"/>
        <v>22.684233728327197</v>
      </c>
      <c r="I988" s="1">
        <f t="shared" si="323"/>
        <v>3879.190369055671</v>
      </c>
      <c r="J988" s="1">
        <f t="shared" si="312"/>
        <v>129.30634563518905</v>
      </c>
      <c r="K988" s="7">
        <f t="shared" si="313"/>
        <v>10.627918819330606</v>
      </c>
      <c r="L988" s="4">
        <f t="shared" si="314"/>
        <v>440.83481592381872</v>
      </c>
      <c r="M988" s="1">
        <f t="shared" si="315"/>
        <v>1118.6849999999999</v>
      </c>
      <c r="N988" s="7">
        <f t="shared" si="316"/>
        <v>95.761589999999998</v>
      </c>
      <c r="O988" s="1">
        <f t="shared" si="317"/>
        <v>3000</v>
      </c>
      <c r="P988" s="2">
        <f t="shared" si="318"/>
        <v>0.49315529605173708</v>
      </c>
      <c r="Q988" s="2">
        <f t="shared" si="305"/>
        <v>9960.1130849120691</v>
      </c>
      <c r="S988" s="1">
        <f t="shared" si="306"/>
        <v>3000</v>
      </c>
      <c r="T988" s="1">
        <f t="shared" si="307"/>
        <v>440.83481592381878</v>
      </c>
      <c r="V988" s="1">
        <f t="shared" si="319"/>
        <v>440.83481592381878</v>
      </c>
      <c r="W988" s="1">
        <f t="shared" si="320"/>
        <v>3000</v>
      </c>
    </row>
    <row r="989" spans="1:23" x14ac:dyDescent="0.25">
      <c r="A989" s="2">
        <f t="shared" si="321"/>
        <v>97.699999999998724</v>
      </c>
      <c r="B989" s="7">
        <f t="shared" si="304"/>
        <v>1.5972367849270475</v>
      </c>
      <c r="C989" s="7">
        <f t="shared" si="308"/>
        <v>2.2373699999999999</v>
      </c>
      <c r="D989" s="7">
        <f t="shared" si="309"/>
        <v>95.761589999999998</v>
      </c>
      <c r="E989" s="7">
        <f t="shared" si="310"/>
        <v>1</v>
      </c>
      <c r="G989" s="4">
        <f t="shared" si="311"/>
        <v>9769.9999999998709</v>
      </c>
      <c r="H989" s="1">
        <f t="shared" si="322"/>
        <v>22.851965559792589</v>
      </c>
      <c r="I989" s="1">
        <f t="shared" si="323"/>
        <v>3902.0423346154635</v>
      </c>
      <c r="J989" s="1">
        <f t="shared" si="312"/>
        <v>130.06807782051544</v>
      </c>
      <c r="K989" s="7">
        <f t="shared" si="313"/>
        <v>10.690526944151955</v>
      </c>
      <c r="L989" s="4">
        <f t="shared" si="314"/>
        <v>437.59911915809511</v>
      </c>
      <c r="M989" s="1">
        <f t="shared" si="315"/>
        <v>1118.6849999999999</v>
      </c>
      <c r="N989" s="7">
        <f t="shared" si="316"/>
        <v>95.761589999999998</v>
      </c>
      <c r="O989" s="1">
        <f t="shared" si="317"/>
        <v>3000</v>
      </c>
      <c r="P989" s="2">
        <f t="shared" si="318"/>
        <v>0.48953557061537362</v>
      </c>
      <c r="Q989" s="2">
        <f t="shared" si="305"/>
        <v>9887.0065503758742</v>
      </c>
      <c r="S989" s="1">
        <f t="shared" si="306"/>
        <v>3000</v>
      </c>
      <c r="T989" s="1">
        <f t="shared" si="307"/>
        <v>437.59911915809516</v>
      </c>
      <c r="V989" s="1">
        <f t="shared" si="319"/>
        <v>437.59911915809516</v>
      </c>
      <c r="W989" s="1">
        <f t="shared" si="320"/>
        <v>3000</v>
      </c>
    </row>
    <row r="990" spans="1:23" x14ac:dyDescent="0.25">
      <c r="A990" s="2">
        <f t="shared" si="321"/>
        <v>97.799999999998718</v>
      </c>
      <c r="B990" s="7">
        <f t="shared" si="304"/>
        <v>1.5855131784595033</v>
      </c>
      <c r="C990" s="7">
        <f t="shared" si="308"/>
        <v>2.2373699999999999</v>
      </c>
      <c r="D990" s="7">
        <f t="shared" si="309"/>
        <v>95.761589999999998</v>
      </c>
      <c r="E990" s="7">
        <f t="shared" si="310"/>
        <v>1</v>
      </c>
      <c r="G990" s="4">
        <f t="shared" si="311"/>
        <v>9779.9999999998709</v>
      </c>
      <c r="H990" s="1">
        <f t="shared" si="322"/>
        <v>23.020937634503728</v>
      </c>
      <c r="I990" s="1">
        <f t="shared" si="323"/>
        <v>3925.0632722499672</v>
      </c>
      <c r="J990" s="1">
        <f t="shared" si="312"/>
        <v>130.83544240833223</v>
      </c>
      <c r="K990" s="7">
        <f t="shared" si="313"/>
        <v>10.753598006164294</v>
      </c>
      <c r="L990" s="4">
        <f t="shared" si="314"/>
        <v>434.38717218068581</v>
      </c>
      <c r="M990" s="1">
        <f t="shared" si="315"/>
        <v>1118.6849999999999</v>
      </c>
      <c r="N990" s="7">
        <f t="shared" si="316"/>
        <v>95.761589999999998</v>
      </c>
      <c r="O990" s="1">
        <f t="shared" si="317"/>
        <v>3000</v>
      </c>
      <c r="P990" s="2">
        <f t="shared" si="318"/>
        <v>0.48594241371095048</v>
      </c>
      <c r="Q990" s="2">
        <f t="shared" si="305"/>
        <v>9814.4366126982059</v>
      </c>
      <c r="S990" s="1">
        <f t="shared" si="306"/>
        <v>3000</v>
      </c>
      <c r="T990" s="1">
        <f t="shared" si="307"/>
        <v>434.38717218068581</v>
      </c>
      <c r="V990" s="1">
        <f t="shared" si="319"/>
        <v>434.38717218068581</v>
      </c>
      <c r="W990" s="1">
        <f t="shared" si="320"/>
        <v>3000</v>
      </c>
    </row>
    <row r="991" spans="1:23" x14ac:dyDescent="0.25">
      <c r="A991" s="2">
        <f t="shared" si="321"/>
        <v>97.899999999998712</v>
      </c>
      <c r="B991" s="7">
        <f t="shared" si="304"/>
        <v>1.5738756224447805</v>
      </c>
      <c r="C991" s="7">
        <f t="shared" si="308"/>
        <v>2.2373699999999999</v>
      </c>
      <c r="D991" s="7">
        <f t="shared" si="309"/>
        <v>95.761589999999998</v>
      </c>
      <c r="E991" s="7">
        <f t="shared" si="310"/>
        <v>1</v>
      </c>
      <c r="G991" s="4">
        <f t="shared" si="311"/>
        <v>9789.9999999998709</v>
      </c>
      <c r="H991" s="1">
        <f t="shared" si="322"/>
        <v>23.191159123046024</v>
      </c>
      <c r="I991" s="1">
        <f t="shared" si="323"/>
        <v>3948.2544313730132</v>
      </c>
      <c r="J991" s="1">
        <f t="shared" si="312"/>
        <v>131.60848104576709</v>
      </c>
      <c r="K991" s="7">
        <f t="shared" si="313"/>
        <v>10.817135428419213</v>
      </c>
      <c r="L991" s="4">
        <f t="shared" si="314"/>
        <v>431.19880066980278</v>
      </c>
      <c r="M991" s="1">
        <f t="shared" si="315"/>
        <v>1118.6849999999999</v>
      </c>
      <c r="N991" s="7">
        <f t="shared" si="316"/>
        <v>95.761589999999998</v>
      </c>
      <c r="O991" s="1">
        <f t="shared" si="317"/>
        <v>3000</v>
      </c>
      <c r="P991" s="2">
        <f t="shared" si="318"/>
        <v>0.4823756303272983</v>
      </c>
      <c r="Q991" s="2">
        <f t="shared" si="305"/>
        <v>9742.3993332955852</v>
      </c>
      <c r="S991" s="1">
        <f t="shared" si="306"/>
        <v>3000</v>
      </c>
      <c r="T991" s="1">
        <f t="shared" si="307"/>
        <v>431.19880066980278</v>
      </c>
      <c r="V991" s="1">
        <f t="shared" si="319"/>
        <v>431.19880066980278</v>
      </c>
      <c r="W991" s="1">
        <f t="shared" si="320"/>
        <v>3000</v>
      </c>
    </row>
    <row r="992" spans="1:23" x14ac:dyDescent="0.25">
      <c r="A992" s="2">
        <f t="shared" si="321"/>
        <v>97.999999999998707</v>
      </c>
      <c r="B992" s="7">
        <f t="shared" si="304"/>
        <v>1.5623234852785641</v>
      </c>
      <c r="C992" s="7">
        <f t="shared" si="308"/>
        <v>2.2373699999999999</v>
      </c>
      <c r="D992" s="7">
        <f t="shared" si="309"/>
        <v>95.761589999999998</v>
      </c>
      <c r="E992" s="7">
        <f t="shared" si="310"/>
        <v>1</v>
      </c>
      <c r="G992" s="4">
        <f t="shared" si="311"/>
        <v>9799.9999999998709</v>
      </c>
      <c r="H992" s="1">
        <f t="shared" si="322"/>
        <v>23.36263926384747</v>
      </c>
      <c r="I992" s="1">
        <f t="shared" si="323"/>
        <v>3971.6170706368607</v>
      </c>
      <c r="J992" s="1">
        <f t="shared" si="312"/>
        <v>132.38723568789536</v>
      </c>
      <c r="K992" s="7">
        <f t="shared" si="313"/>
        <v>10.881142659279071</v>
      </c>
      <c r="L992" s="4">
        <f t="shared" si="314"/>
        <v>428.03383158316819</v>
      </c>
      <c r="M992" s="1">
        <f t="shared" si="315"/>
        <v>1118.6849999999999</v>
      </c>
      <c r="N992" s="7">
        <f t="shared" si="316"/>
        <v>95.761589999999998</v>
      </c>
      <c r="O992" s="1">
        <f t="shared" si="317"/>
        <v>3000</v>
      </c>
      <c r="P992" s="2">
        <f t="shared" si="318"/>
        <v>0.47883502688461649</v>
      </c>
      <c r="Q992" s="2">
        <f t="shared" si="305"/>
        <v>9670.8908024934753</v>
      </c>
      <c r="S992" s="1">
        <f t="shared" si="306"/>
        <v>3000</v>
      </c>
      <c r="T992" s="1">
        <f t="shared" si="307"/>
        <v>428.03383158316819</v>
      </c>
      <c r="V992" s="1">
        <f t="shared" si="319"/>
        <v>428.03383158316819</v>
      </c>
      <c r="W992" s="1">
        <f t="shared" si="320"/>
        <v>3000</v>
      </c>
    </row>
    <row r="993" spans="1:23" x14ac:dyDescent="0.25">
      <c r="A993" s="2">
        <f t="shared" si="321"/>
        <v>98.099999999998701</v>
      </c>
      <c r="B993" s="7">
        <f t="shared" si="304"/>
        <v>1.5508561399924696</v>
      </c>
      <c r="C993" s="7">
        <f t="shared" si="308"/>
        <v>2.2373699999999999</v>
      </c>
      <c r="D993" s="7">
        <f t="shared" si="309"/>
        <v>95.761589999999998</v>
      </c>
      <c r="E993" s="7">
        <f t="shared" si="310"/>
        <v>1</v>
      </c>
      <c r="G993" s="4">
        <f t="shared" si="311"/>
        <v>9809.9999999998709</v>
      </c>
      <c r="H993" s="1">
        <f t="shared" si="322"/>
        <v>23.535387363638527</v>
      </c>
      <c r="I993" s="1">
        <f t="shared" si="323"/>
        <v>3995.1524580004993</v>
      </c>
      <c r="J993" s="1">
        <f t="shared" si="312"/>
        <v>133.17174860001666</v>
      </c>
      <c r="K993" s="7">
        <f t="shared" si="313"/>
        <v>10.945623172604108</v>
      </c>
      <c r="L993" s="4">
        <f t="shared" si="314"/>
        <v>424.89209314862188</v>
      </c>
      <c r="M993" s="1">
        <f t="shared" si="315"/>
        <v>1118.6849999999999</v>
      </c>
      <c r="N993" s="7">
        <f t="shared" si="316"/>
        <v>95.761589999999998</v>
      </c>
      <c r="O993" s="1">
        <f t="shared" si="317"/>
        <v>3000</v>
      </c>
      <c r="P993" s="2">
        <f t="shared" si="318"/>
        <v>0.47532041122396607</v>
      </c>
      <c r="Q993" s="2">
        <f t="shared" si="305"/>
        <v>9599.9071393140584</v>
      </c>
      <c r="S993" s="1">
        <f t="shared" si="306"/>
        <v>3000</v>
      </c>
      <c r="T993" s="1">
        <f t="shared" si="307"/>
        <v>424.89209314862188</v>
      </c>
      <c r="V993" s="1">
        <f t="shared" si="319"/>
        <v>424.89209314862188</v>
      </c>
      <c r="W993" s="1">
        <f t="shared" si="320"/>
        <v>3000</v>
      </c>
    </row>
    <row r="994" spans="1:23" x14ac:dyDescent="0.25">
      <c r="A994" s="2">
        <f t="shared" si="321"/>
        <v>98.199999999998695</v>
      </c>
      <c r="B994" s="7">
        <f t="shared" si="304"/>
        <v>1.5394729642200204</v>
      </c>
      <c r="C994" s="7">
        <f t="shared" si="308"/>
        <v>2.2373699999999999</v>
      </c>
      <c r="D994" s="7">
        <f t="shared" si="309"/>
        <v>95.761589999999998</v>
      </c>
      <c r="E994" s="7">
        <f t="shared" si="310"/>
        <v>1</v>
      </c>
      <c r="G994" s="4">
        <f t="shared" si="311"/>
        <v>9819.9999999998709</v>
      </c>
      <c r="H994" s="1">
        <f t="shared" si="322"/>
        <v>23.709412797965484</v>
      </c>
      <c r="I994" s="1">
        <f t="shared" si="323"/>
        <v>4018.8618707984647</v>
      </c>
      <c r="J994" s="1">
        <f t="shared" si="312"/>
        <v>133.96206235994882</v>
      </c>
      <c r="K994" s="7">
        <f t="shared" si="313"/>
        <v>11.010580467940999</v>
      </c>
      <c r="L994" s="4">
        <f t="shared" si="314"/>
        <v>421.77341485479997</v>
      </c>
      <c r="M994" s="1">
        <f t="shared" si="315"/>
        <v>1118.6849999999999</v>
      </c>
      <c r="N994" s="7">
        <f t="shared" si="316"/>
        <v>95.761589999999998</v>
      </c>
      <c r="O994" s="1">
        <f t="shared" si="317"/>
        <v>3000</v>
      </c>
      <c r="P994" s="2">
        <f t="shared" si="318"/>
        <v>0.47183159259684188</v>
      </c>
      <c r="Q994" s="2">
        <f t="shared" si="305"/>
        <v>9529.4444912656472</v>
      </c>
      <c r="S994" s="1">
        <f t="shared" si="306"/>
        <v>3000</v>
      </c>
      <c r="T994" s="1">
        <f t="shared" si="307"/>
        <v>421.77341485480002</v>
      </c>
      <c r="V994" s="1">
        <f t="shared" si="319"/>
        <v>421.77341485480002</v>
      </c>
      <c r="W994" s="1">
        <f t="shared" si="320"/>
        <v>3000</v>
      </c>
    </row>
    <row r="995" spans="1:23" x14ac:dyDescent="0.25">
      <c r="A995" s="2">
        <f t="shared" si="321"/>
        <v>98.29999999999869</v>
      </c>
      <c r="B995" s="7">
        <f t="shared" si="304"/>
        <v>1.5281733401628623</v>
      </c>
      <c r="C995" s="7">
        <f t="shared" si="308"/>
        <v>2.2373699999999999</v>
      </c>
      <c r="D995" s="7">
        <f t="shared" si="309"/>
        <v>95.761589999999998</v>
      </c>
      <c r="E995" s="7">
        <f t="shared" si="310"/>
        <v>1</v>
      </c>
      <c r="G995" s="4">
        <f t="shared" si="311"/>
        <v>9829.999999999869</v>
      </c>
      <c r="H995" s="1">
        <f t="shared" si="322"/>
        <v>23.884725011694968</v>
      </c>
      <c r="I995" s="1">
        <f t="shared" si="323"/>
        <v>4042.7465958101598</v>
      </c>
      <c r="J995" s="1">
        <f t="shared" si="312"/>
        <v>134.75821986033867</v>
      </c>
      <c r="K995" s="7">
        <f t="shared" si="313"/>
        <v>11.076018070712767</v>
      </c>
      <c r="L995" s="4">
        <f t="shared" si="314"/>
        <v>418.67762744188008</v>
      </c>
      <c r="M995" s="1">
        <f t="shared" si="315"/>
        <v>1118.6849999999999</v>
      </c>
      <c r="N995" s="7">
        <f t="shared" si="316"/>
        <v>95.761589999999998</v>
      </c>
      <c r="O995" s="1">
        <f t="shared" si="317"/>
        <v>3000</v>
      </c>
      <c r="P995" s="2">
        <f t="shared" si="318"/>
        <v>0.46836838165481959</v>
      </c>
      <c r="Q995" s="2">
        <f t="shared" si="305"/>
        <v>9459.4990341335633</v>
      </c>
      <c r="S995" s="1">
        <f t="shared" si="306"/>
        <v>3000</v>
      </c>
      <c r="T995" s="1">
        <f t="shared" si="307"/>
        <v>418.67762744188008</v>
      </c>
      <c r="V995" s="1">
        <f t="shared" si="319"/>
        <v>418.67762744188008</v>
      </c>
      <c r="W995" s="1">
        <f t="shared" si="320"/>
        <v>3000</v>
      </c>
    </row>
    <row r="996" spans="1:23" x14ac:dyDescent="0.25">
      <c r="A996" s="2">
        <f t="shared" si="321"/>
        <v>98.399999999998684</v>
      </c>
      <c r="B996" s="7">
        <f t="shared" si="304"/>
        <v>1.5169566545572399</v>
      </c>
      <c r="C996" s="7">
        <f t="shared" si="308"/>
        <v>2.2373699999999999</v>
      </c>
      <c r="D996" s="7">
        <f t="shared" si="309"/>
        <v>95.761589999999998</v>
      </c>
      <c r="E996" s="7">
        <f t="shared" si="310"/>
        <v>1</v>
      </c>
      <c r="G996" s="4">
        <f t="shared" si="311"/>
        <v>9839.999999999869</v>
      </c>
      <c r="H996" s="1">
        <f t="shared" si="322"/>
        <v>24.06133351954832</v>
      </c>
      <c r="I996" s="1">
        <f t="shared" si="323"/>
        <v>4066.8079293297083</v>
      </c>
      <c r="J996" s="1">
        <f t="shared" si="312"/>
        <v>135.56026431099028</v>
      </c>
      <c r="K996" s="7">
        <f t="shared" si="313"/>
        <v>11.141939532410159</v>
      </c>
      <c r="L996" s="4">
        <f t="shared" si="314"/>
        <v>415.60456289239448</v>
      </c>
      <c r="M996" s="1">
        <f t="shared" si="315"/>
        <v>1118.6849999999999</v>
      </c>
      <c r="N996" s="7">
        <f t="shared" si="316"/>
        <v>95.761589999999998</v>
      </c>
      <c r="O996" s="1">
        <f t="shared" si="317"/>
        <v>3000</v>
      </c>
      <c r="P996" s="2">
        <f t="shared" si="318"/>
        <v>0.46493059043927826</v>
      </c>
      <c r="Q996" s="2">
        <f t="shared" si="305"/>
        <v>9390.0669717725887</v>
      </c>
      <c r="S996" s="1">
        <f t="shared" si="306"/>
        <v>3000</v>
      </c>
      <c r="T996" s="1">
        <f t="shared" si="307"/>
        <v>415.60456289239448</v>
      </c>
      <c r="V996" s="1">
        <f t="shared" si="319"/>
        <v>415.60456289239448</v>
      </c>
      <c r="W996" s="1">
        <f t="shared" si="320"/>
        <v>3000</v>
      </c>
    </row>
    <row r="997" spans="1:23" x14ac:dyDescent="0.25">
      <c r="A997" s="2">
        <f t="shared" si="321"/>
        <v>98.499999999998678</v>
      </c>
      <c r="B997" s="7">
        <f t="shared" si="304"/>
        <v>1.5058222986407102</v>
      </c>
      <c r="C997" s="7">
        <f t="shared" si="308"/>
        <v>2.2373699999999999</v>
      </c>
      <c r="D997" s="7">
        <f t="shared" si="309"/>
        <v>95.761589999999998</v>
      </c>
      <c r="E997" s="7">
        <f t="shared" si="310"/>
        <v>1</v>
      </c>
      <c r="G997" s="4">
        <f t="shared" si="311"/>
        <v>9849.999999999869</v>
      </c>
      <c r="H997" s="1">
        <f t="shared" si="322"/>
        <v>24.239247906574477</v>
      </c>
      <c r="I997" s="1">
        <f t="shared" si="323"/>
        <v>4091.0471772362826</v>
      </c>
      <c r="J997" s="1">
        <f t="shared" si="312"/>
        <v>136.36823924120941</v>
      </c>
      <c r="K997" s="7">
        <f t="shared" si="313"/>
        <v>11.208348430784335</v>
      </c>
      <c r="L997" s="4">
        <f t="shared" si="314"/>
        <v>412.55405442211236</v>
      </c>
      <c r="M997" s="1">
        <f t="shared" si="315"/>
        <v>1118.6849999999999</v>
      </c>
      <c r="N997" s="7">
        <f t="shared" si="316"/>
        <v>95.761589999999998</v>
      </c>
      <c r="O997" s="1">
        <f t="shared" si="317"/>
        <v>3000</v>
      </c>
      <c r="P997" s="2">
        <f t="shared" si="318"/>
        <v>0.46151803237120076</v>
      </c>
      <c r="Q997" s="2">
        <f t="shared" si="305"/>
        <v>9321.1445359009576</v>
      </c>
      <c r="S997" s="1">
        <f t="shared" si="306"/>
        <v>3000</v>
      </c>
      <c r="T997" s="1">
        <f t="shared" si="307"/>
        <v>412.55405442211242</v>
      </c>
      <c r="V997" s="1">
        <f t="shared" si="319"/>
        <v>412.55405442211242</v>
      </c>
      <c r="W997" s="1">
        <f t="shared" si="320"/>
        <v>3000</v>
      </c>
    </row>
    <row r="998" spans="1:23" x14ac:dyDescent="0.25">
      <c r="A998" s="2">
        <f t="shared" si="321"/>
        <v>98.599999999998673</v>
      </c>
      <c r="B998" s="7">
        <f t="shared" si="304"/>
        <v>1.4947696681191043</v>
      </c>
      <c r="C998" s="7">
        <f t="shared" si="308"/>
        <v>2.2373699999999999</v>
      </c>
      <c r="D998" s="7">
        <f t="shared" si="309"/>
        <v>95.761589999999998</v>
      </c>
      <c r="E998" s="7">
        <f t="shared" si="310"/>
        <v>1</v>
      </c>
      <c r="G998" s="4">
        <f t="shared" si="311"/>
        <v>9859.9999999998672</v>
      </c>
      <c r="H998" s="1">
        <f t="shared" si="322"/>
        <v>24.418477828709204</v>
      </c>
      <c r="I998" s="1">
        <f t="shared" si="323"/>
        <v>4115.4656550649916</v>
      </c>
      <c r="J998" s="1">
        <f t="shared" si="312"/>
        <v>137.18218850216638</v>
      </c>
      <c r="K998" s="7">
        <f t="shared" si="313"/>
        <v>11.275248370041073</v>
      </c>
      <c r="L998" s="4">
        <f t="shared" si="314"/>
        <v>409.52593647098746</v>
      </c>
      <c r="M998" s="1">
        <f t="shared" si="315"/>
        <v>1118.6849999999999</v>
      </c>
      <c r="N998" s="7">
        <f t="shared" si="316"/>
        <v>95.761589999999998</v>
      </c>
      <c r="O998" s="1">
        <f t="shared" si="317"/>
        <v>3000</v>
      </c>
      <c r="P998" s="2">
        <f t="shared" si="318"/>
        <v>0.45813052224104661</v>
      </c>
      <c r="Q998" s="2">
        <f t="shared" si="305"/>
        <v>9252.7279858958227</v>
      </c>
      <c r="S998" s="1">
        <f t="shared" si="306"/>
        <v>3000</v>
      </c>
      <c r="T998" s="1">
        <f t="shared" si="307"/>
        <v>409.52593647098746</v>
      </c>
      <c r="V998" s="1">
        <f t="shared" si="319"/>
        <v>409.52593647098746</v>
      </c>
      <c r="W998" s="1">
        <f t="shared" si="320"/>
        <v>3000</v>
      </c>
    </row>
    <row r="999" spans="1:23" x14ac:dyDescent="0.25">
      <c r="A999" s="2">
        <f t="shared" si="321"/>
        <v>98.699999999998667</v>
      </c>
      <c r="B999" s="7">
        <f t="shared" si="304"/>
        <v>1.4837981631337303</v>
      </c>
      <c r="C999" s="7">
        <f t="shared" si="308"/>
        <v>2.2373699999999999</v>
      </c>
      <c r="D999" s="7">
        <f t="shared" si="309"/>
        <v>95.761589999999998</v>
      </c>
      <c r="E999" s="7">
        <f t="shared" si="310"/>
        <v>1</v>
      </c>
      <c r="G999" s="4">
        <f t="shared" si="311"/>
        <v>9869.9999999998654</v>
      </c>
      <c r="H999" s="1">
        <f t="shared" si="322"/>
        <v>24.59903301329517</v>
      </c>
      <c r="I999" s="1">
        <f t="shared" si="323"/>
        <v>4140.064688078287</v>
      </c>
      <c r="J999" s="1">
        <f t="shared" si="312"/>
        <v>138.00215626927624</v>
      </c>
      <c r="K999" s="7">
        <f t="shared" si="313"/>
        <v>11.342642981036402</v>
      </c>
      <c r="L999" s="4">
        <f t="shared" si="314"/>
        <v>406.52004469417267</v>
      </c>
      <c r="M999" s="1">
        <f t="shared" si="315"/>
        <v>1118.6849999999999</v>
      </c>
      <c r="N999" s="7">
        <f t="shared" si="316"/>
        <v>95.761589999999998</v>
      </c>
      <c r="O999" s="1">
        <f t="shared" si="317"/>
        <v>3000</v>
      </c>
      <c r="P999" s="2">
        <f t="shared" si="318"/>
        <v>0.45476787619870052</v>
      </c>
      <c r="Q999" s="2">
        <f t="shared" si="305"/>
        <v>9184.8136085902515</v>
      </c>
      <c r="S999" s="1">
        <f t="shared" si="306"/>
        <v>3000</v>
      </c>
      <c r="T999" s="1">
        <f t="shared" si="307"/>
        <v>406.52004469417267</v>
      </c>
      <c r="V999" s="1">
        <f t="shared" si="319"/>
        <v>406.52004469417267</v>
      </c>
      <c r="W999" s="1">
        <f t="shared" si="320"/>
        <v>3000</v>
      </c>
    </row>
    <row r="1000" spans="1:23" x14ac:dyDescent="0.25">
      <c r="A1000" s="2">
        <f t="shared" si="321"/>
        <v>98.799999999998661</v>
      </c>
      <c r="B1000" s="7">
        <f t="shared" si="304"/>
        <v>1.4729071882288158</v>
      </c>
      <c r="C1000" s="7">
        <f t="shared" si="308"/>
        <v>2.2373699999999999</v>
      </c>
      <c r="D1000" s="7">
        <f t="shared" si="309"/>
        <v>95.761589999999998</v>
      </c>
      <c r="E1000" s="7">
        <f t="shared" si="310"/>
        <v>1</v>
      </c>
      <c r="G1000" s="4">
        <f t="shared" si="311"/>
        <v>9879.9999999998672</v>
      </c>
      <c r="H1000" s="1">
        <f t="shared" si="322"/>
        <v>24.780923259596698</v>
      </c>
      <c r="I1000" s="1">
        <f t="shared" si="323"/>
        <v>4164.8456113378834</v>
      </c>
      <c r="J1000" s="1">
        <f t="shared" si="312"/>
        <v>138.82818704459612</v>
      </c>
      <c r="K1000" s="7">
        <f t="shared" si="313"/>
        <v>11.410535921473652</v>
      </c>
      <c r="L1000" s="4">
        <f t="shared" si="314"/>
        <v>403.53621595310028</v>
      </c>
      <c r="M1000" s="1">
        <f t="shared" si="315"/>
        <v>1118.6849999999999</v>
      </c>
      <c r="N1000" s="7">
        <f t="shared" si="316"/>
        <v>95.761589999999998</v>
      </c>
      <c r="O1000" s="1">
        <f t="shared" si="317"/>
        <v>3000</v>
      </c>
      <c r="P1000" s="2">
        <f t="shared" si="318"/>
        <v>0.45142991174349401</v>
      </c>
      <c r="Q1000" s="2">
        <f t="shared" si="305"/>
        <v>9117.3977180716865</v>
      </c>
      <c r="S1000" s="1">
        <f t="shared" si="306"/>
        <v>3000</v>
      </c>
      <c r="T1000" s="1">
        <f t="shared" si="307"/>
        <v>403.53621595310022</v>
      </c>
      <c r="V1000" s="1">
        <f t="shared" si="319"/>
        <v>403.53621595310022</v>
      </c>
      <c r="W1000" s="1">
        <f t="shared" si="320"/>
        <v>3000</v>
      </c>
    </row>
    <row r="1001" spans="1:23" x14ac:dyDescent="0.25">
      <c r="A1001" s="2">
        <f t="shared" si="321"/>
        <v>98.899999999998656</v>
      </c>
      <c r="B1001" s="7">
        <f t="shared" si="304"/>
        <v>1.4620961523191962</v>
      </c>
      <c r="C1001" s="7">
        <f t="shared" si="308"/>
        <v>2.2373699999999999</v>
      </c>
      <c r="D1001" s="7">
        <f t="shared" si="309"/>
        <v>95.761589999999998</v>
      </c>
      <c r="E1001" s="7">
        <f t="shared" si="310"/>
        <v>1</v>
      </c>
      <c r="G1001" s="4">
        <f t="shared" si="311"/>
        <v>9889.9999999998654</v>
      </c>
      <c r="H1001" s="1">
        <f t="shared" si="322"/>
        <v>24.964158439304139</v>
      </c>
      <c r="I1001" s="1">
        <f t="shared" si="323"/>
        <v>4189.8097697771873</v>
      </c>
      <c r="J1001" s="1">
        <f t="shared" si="312"/>
        <v>139.66032565923959</v>
      </c>
      <c r="K1001" s="7">
        <f t="shared" si="313"/>
        <v>11.478930876101883</v>
      </c>
      <c r="L1001" s="4">
        <f t="shared" si="314"/>
        <v>400.574288306629</v>
      </c>
      <c r="M1001" s="1">
        <f t="shared" si="315"/>
        <v>1118.6849999999999</v>
      </c>
      <c r="N1001" s="7">
        <f t="shared" si="316"/>
        <v>95.761589999999998</v>
      </c>
      <c r="O1001" s="1">
        <f t="shared" si="317"/>
        <v>3000</v>
      </c>
      <c r="P1001" s="2">
        <f t="shared" si="318"/>
        <v>0.44811644771430126</v>
      </c>
      <c r="Q1001" s="2">
        <f t="shared" si="305"/>
        <v>9050.4766554819307</v>
      </c>
      <c r="S1001" s="1">
        <f t="shared" si="306"/>
        <v>3000</v>
      </c>
      <c r="T1001" s="1">
        <f t="shared" si="307"/>
        <v>400.57428830662906</v>
      </c>
      <c r="V1001" s="1">
        <f t="shared" si="319"/>
        <v>400.57428830662906</v>
      </c>
      <c r="W1001" s="1">
        <f t="shared" si="320"/>
        <v>3000</v>
      </c>
    </row>
    <row r="1002" spans="1:23" x14ac:dyDescent="0.25">
      <c r="A1002" s="2">
        <f t="shared" si="321"/>
        <v>98.99999999999865</v>
      </c>
      <c r="B1002" s="7">
        <f t="shared" si="304"/>
        <v>1.4513644686582268</v>
      </c>
      <c r="C1002" s="7">
        <f t="shared" si="308"/>
        <v>2.2373699999999999</v>
      </c>
      <c r="D1002" s="7">
        <f t="shared" si="309"/>
        <v>95.761589999999998</v>
      </c>
      <c r="E1002" s="7">
        <f t="shared" si="310"/>
        <v>1</v>
      </c>
      <c r="G1002" s="4">
        <f t="shared" si="311"/>
        <v>9899.9999999998636</v>
      </c>
      <c r="H1002" s="1">
        <f t="shared" si="322"/>
        <v>25.148748497155424</v>
      </c>
      <c r="I1002" s="1">
        <f t="shared" si="323"/>
        <v>4214.9585182743431</v>
      </c>
      <c r="J1002" s="1">
        <f t="shared" si="312"/>
        <v>140.49861727581143</v>
      </c>
      <c r="K1002" s="7">
        <f t="shared" si="313"/>
        <v>11.547831556916009</v>
      </c>
      <c r="L1002" s="4">
        <f t="shared" si="314"/>
        <v>397.63410100225389</v>
      </c>
      <c r="M1002" s="1">
        <f t="shared" si="315"/>
        <v>1118.6849999999999</v>
      </c>
      <c r="N1002" s="7">
        <f t="shared" si="316"/>
        <v>95.761589999999998</v>
      </c>
      <c r="O1002" s="1">
        <f t="shared" si="317"/>
        <v>3000</v>
      </c>
      <c r="P1002" s="2">
        <f t="shared" si="318"/>
        <v>0.4448273042797064</v>
      </c>
      <c r="Q1002" s="2">
        <f t="shared" si="305"/>
        <v>8984.0467888185412</v>
      </c>
      <c r="S1002" s="1">
        <f t="shared" si="306"/>
        <v>3000</v>
      </c>
      <c r="T1002" s="1">
        <f t="shared" si="307"/>
        <v>397.63410100225389</v>
      </c>
      <c r="V1002" s="1">
        <f t="shared" si="319"/>
        <v>397.63410100225389</v>
      </c>
      <c r="W1002" s="1">
        <f t="shared" si="320"/>
        <v>3000</v>
      </c>
    </row>
    <row r="1003" spans="1:23" x14ac:dyDescent="0.25">
      <c r="A1003" s="2">
        <f t="shared" si="321"/>
        <v>99.099999999998644</v>
      </c>
      <c r="B1003" s="7">
        <f t="shared" si="304"/>
        <v>1.4407115548059439</v>
      </c>
      <c r="C1003" s="7">
        <f t="shared" si="308"/>
        <v>2.2373699999999999</v>
      </c>
      <c r="D1003" s="7">
        <f t="shared" si="309"/>
        <v>95.761589999999998</v>
      </c>
      <c r="E1003" s="7">
        <f t="shared" si="310"/>
        <v>1</v>
      </c>
      <c r="G1003" s="4">
        <f t="shared" si="311"/>
        <v>9909.9999999998654</v>
      </c>
      <c r="H1003" s="1">
        <f t="shared" si="322"/>
        <v>25.334703451394883</v>
      </c>
      <c r="I1003" s="1">
        <f t="shared" si="323"/>
        <v>4240.2932217257376</v>
      </c>
      <c r="J1003" s="1">
        <f t="shared" si="312"/>
        <v>141.34310739085791</v>
      </c>
      <c r="K1003" s="7">
        <f t="shared" si="313"/>
        <v>11.617241703358186</v>
      </c>
      <c r="L1003" s="4">
        <f t="shared" si="314"/>
        <v>394.71549446738192</v>
      </c>
      <c r="M1003" s="1">
        <f t="shared" si="315"/>
        <v>1118.6849999999999</v>
      </c>
      <c r="N1003" s="7">
        <f t="shared" si="316"/>
        <v>95.761589999999998</v>
      </c>
      <c r="O1003" s="1">
        <f t="shared" si="317"/>
        <v>3000</v>
      </c>
      <c r="P1003" s="2">
        <f t="shared" si="318"/>
        <v>0.44156230292824311</v>
      </c>
      <c r="Q1003" s="2">
        <f t="shared" si="305"/>
        <v>8918.1045127377147</v>
      </c>
      <c r="S1003" s="1">
        <f t="shared" si="306"/>
        <v>3000</v>
      </c>
      <c r="T1003" s="1">
        <f t="shared" si="307"/>
        <v>394.71549446738192</v>
      </c>
      <c r="V1003" s="1">
        <f t="shared" si="319"/>
        <v>394.71549446738192</v>
      </c>
      <c r="W1003" s="1">
        <f t="shared" si="320"/>
        <v>3000</v>
      </c>
    </row>
    <row r="1004" spans="1:23" x14ac:dyDescent="0.25">
      <c r="A1004" s="2">
        <f t="shared" si="321"/>
        <v>99.199999999998639</v>
      </c>
      <c r="B1004" s="7">
        <f t="shared" ref="B1004:B1012" si="324">IF(A1004&lt;=$B$2,$B$3*EXP(A1004*$B$4),IF(A1004&lt;$B$7,$B$6,IF($B$8*EXP(A1004*$B$9)&gt;$B$6,$B$6,$B$8*EXP(A1004*$B$9))))</f>
        <v>1.4301368325974517</v>
      </c>
      <c r="C1004" s="7">
        <f t="shared" si="308"/>
        <v>2.2373699999999999</v>
      </c>
      <c r="D1004" s="7">
        <f t="shared" si="309"/>
        <v>95.761589999999998</v>
      </c>
      <c r="E1004" s="7">
        <f t="shared" si="310"/>
        <v>1</v>
      </c>
      <c r="G1004" s="4">
        <f t="shared" si="311"/>
        <v>9919.9999999998636</v>
      </c>
      <c r="H1004" s="1">
        <f t="shared" si="322"/>
        <v>25.522033394315919</v>
      </c>
      <c r="I1004" s="1">
        <f t="shared" si="323"/>
        <v>4265.8152551200537</v>
      </c>
      <c r="J1004" s="1">
        <f t="shared" si="312"/>
        <v>142.19384183733513</v>
      </c>
      <c r="K1004" s="7">
        <f t="shared" si="313"/>
        <v>11.687165082520695</v>
      </c>
      <c r="L1004" s="4">
        <f t="shared" si="314"/>
        <v>391.81831030067173</v>
      </c>
      <c r="M1004" s="1">
        <f t="shared" si="315"/>
        <v>1118.6849999999999</v>
      </c>
      <c r="N1004" s="7">
        <f t="shared" si="316"/>
        <v>95.761589999999998</v>
      </c>
      <c r="O1004" s="1">
        <f t="shared" si="317"/>
        <v>3000</v>
      </c>
      <c r="P1004" s="2">
        <f t="shared" si="318"/>
        <v>0.43832126645870695</v>
      </c>
      <c r="Q1004" s="2">
        <f t="shared" si="305"/>
        <v>8852.646248358622</v>
      </c>
      <c r="S1004" s="1">
        <f t="shared" si="306"/>
        <v>3000</v>
      </c>
      <c r="T1004" s="1">
        <f t="shared" si="307"/>
        <v>391.81831030067173</v>
      </c>
      <c r="V1004" s="1">
        <f t="shared" si="319"/>
        <v>391.81831030067173</v>
      </c>
      <c r="W1004" s="1">
        <f t="shared" si="320"/>
        <v>3000</v>
      </c>
    </row>
    <row r="1005" spans="1:23" x14ac:dyDescent="0.25">
      <c r="A1005" s="2">
        <f t="shared" si="321"/>
        <v>99.299999999998633</v>
      </c>
      <c r="B1005" s="7">
        <f t="shared" si="324"/>
        <v>1.4196397281115454</v>
      </c>
      <c r="C1005" s="7">
        <f t="shared" si="308"/>
        <v>2.2373699999999999</v>
      </c>
      <c r="D1005" s="7">
        <f t="shared" si="309"/>
        <v>95.761589999999998</v>
      </c>
      <c r="E1005" s="7">
        <f t="shared" si="310"/>
        <v>1</v>
      </c>
      <c r="G1005" s="4">
        <f t="shared" si="311"/>
        <v>9929.9999999998636</v>
      </c>
      <c r="H1005" s="1">
        <f t="shared" si="322"/>
        <v>25.71074849289656</v>
      </c>
      <c r="I1005" s="1">
        <f t="shared" si="323"/>
        <v>4291.5260036129503</v>
      </c>
      <c r="J1005" s="1">
        <f t="shared" si="312"/>
        <v>143.05086678709833</v>
      </c>
      <c r="K1005" s="7">
        <f t="shared" si="313"/>
        <v>11.757605489350549</v>
      </c>
      <c r="L1005" s="4">
        <f t="shared" si="314"/>
        <v>388.94239126343712</v>
      </c>
      <c r="M1005" s="1">
        <f t="shared" si="315"/>
        <v>1118.6849999999999</v>
      </c>
      <c r="N1005" s="7">
        <f t="shared" si="316"/>
        <v>95.761589999999998</v>
      </c>
      <c r="O1005" s="1">
        <f t="shared" si="317"/>
        <v>3000</v>
      </c>
      <c r="P1005" s="2">
        <f t="shared" si="318"/>
        <v>0.43510401897053813</v>
      </c>
      <c r="Q1005" s="2">
        <f t="shared" si="305"/>
        <v>8787.668443069173</v>
      </c>
      <c r="S1005" s="1">
        <f t="shared" si="306"/>
        <v>3000</v>
      </c>
      <c r="T1005" s="1">
        <f t="shared" si="307"/>
        <v>388.94239126343706</v>
      </c>
      <c r="V1005" s="1">
        <f t="shared" si="319"/>
        <v>388.94239126343706</v>
      </c>
      <c r="W1005" s="1">
        <f t="shared" si="320"/>
        <v>3000</v>
      </c>
    </row>
    <row r="1006" spans="1:23" x14ac:dyDescent="0.25">
      <c r="A1006" s="2">
        <f t="shared" si="321"/>
        <v>99.399999999998627</v>
      </c>
      <c r="B1006" s="7">
        <f t="shared" si="324"/>
        <v>1.4092196716395606</v>
      </c>
      <c r="C1006" s="7">
        <f t="shared" si="308"/>
        <v>2.2373699999999999</v>
      </c>
      <c r="D1006" s="7">
        <f t="shared" si="309"/>
        <v>95.761589999999998</v>
      </c>
      <c r="E1006" s="7">
        <f t="shared" si="310"/>
        <v>1</v>
      </c>
      <c r="G1006" s="4">
        <f t="shared" si="311"/>
        <v>9939.9999999998636</v>
      </c>
      <c r="H1006" s="1">
        <f t="shared" si="322"/>
        <v>25.900858989240454</v>
      </c>
      <c r="I1006" s="1">
        <f t="shared" si="323"/>
        <v>4317.4268626021903</v>
      </c>
      <c r="J1006" s="1">
        <f t="shared" si="312"/>
        <v>143.91422875340635</v>
      </c>
      <c r="K1006" s="7">
        <f t="shared" si="313"/>
        <v>11.828566746855316</v>
      </c>
      <c r="L1006" s="4">
        <f t="shared" si="314"/>
        <v>386.08758127111253</v>
      </c>
      <c r="M1006" s="1">
        <f t="shared" si="315"/>
        <v>1118.6849999999999</v>
      </c>
      <c r="N1006" s="7">
        <f t="shared" si="316"/>
        <v>95.761589999999998</v>
      </c>
      <c r="O1006" s="1">
        <f t="shared" si="317"/>
        <v>3000</v>
      </c>
      <c r="P1006" s="2">
        <f t="shared" si="318"/>
        <v>0.43191038585427449</v>
      </c>
      <c r="Q1006" s="2">
        <f t="shared" si="305"/>
        <v>8723.1675703331966</v>
      </c>
      <c r="S1006" s="1">
        <f t="shared" si="306"/>
        <v>3000</v>
      </c>
      <c r="T1006" s="1">
        <f t="shared" si="307"/>
        <v>386.08758127111247</v>
      </c>
      <c r="V1006" s="1">
        <f t="shared" si="319"/>
        <v>386.08758127111247</v>
      </c>
      <c r="W1006" s="1">
        <f t="shared" si="320"/>
        <v>3000</v>
      </c>
    </row>
    <row r="1007" spans="1:23" x14ac:dyDescent="0.25">
      <c r="A1007" s="2">
        <f t="shared" si="321"/>
        <v>99.499999999998622</v>
      </c>
      <c r="B1007" s="7">
        <f t="shared" si="324"/>
        <v>1.3988760976544543</v>
      </c>
      <c r="C1007" s="7">
        <f t="shared" si="308"/>
        <v>2.2373699999999999</v>
      </c>
      <c r="D1007" s="7">
        <f t="shared" si="309"/>
        <v>95.761589999999998</v>
      </c>
      <c r="E1007" s="7">
        <f t="shared" si="310"/>
        <v>1</v>
      </c>
      <c r="G1007" s="4">
        <f t="shared" si="311"/>
        <v>9949.9999999998618</v>
      </c>
      <c r="H1007" s="1">
        <f t="shared" si="322"/>
        <v>26.092375201202035</v>
      </c>
      <c r="I1007" s="1">
        <f t="shared" si="323"/>
        <v>4343.5192378033926</v>
      </c>
      <c r="J1007" s="1">
        <f t="shared" si="312"/>
        <v>144.78397459344643</v>
      </c>
      <c r="K1007" s="7">
        <f t="shared" si="313"/>
        <v>11.900052706310664</v>
      </c>
      <c r="L1007" s="4">
        <f t="shared" si="314"/>
        <v>383.253725384782</v>
      </c>
      <c r="M1007" s="1">
        <f t="shared" si="315"/>
        <v>1118.6849999999999</v>
      </c>
      <c r="N1007" s="7">
        <f t="shared" si="316"/>
        <v>95.761589999999998</v>
      </c>
      <c r="O1007" s="1">
        <f t="shared" si="317"/>
        <v>3000</v>
      </c>
      <c r="P1007" s="2">
        <f t="shared" si="318"/>
        <v>0.42874019378207484</v>
      </c>
      <c r="Q1007" s="2">
        <f t="shared" si="305"/>
        <v>8659.1401294990465</v>
      </c>
      <c r="S1007" s="1">
        <f t="shared" si="306"/>
        <v>3000</v>
      </c>
      <c r="T1007" s="1">
        <f t="shared" si="307"/>
        <v>383.253725384782</v>
      </c>
      <c r="V1007" s="1">
        <f t="shared" si="319"/>
        <v>383.253725384782</v>
      </c>
      <c r="W1007" s="1">
        <f t="shared" si="320"/>
        <v>3000</v>
      </c>
    </row>
    <row r="1008" spans="1:23" x14ac:dyDescent="0.25">
      <c r="A1008" s="2">
        <f t="shared" si="321"/>
        <v>99.599999999998616</v>
      </c>
      <c r="B1008" s="7">
        <f t="shared" si="324"/>
        <v>1.3886084447801166</v>
      </c>
      <c r="C1008" s="7">
        <f t="shared" si="308"/>
        <v>2.2373699999999999</v>
      </c>
      <c r="D1008" s="7">
        <f t="shared" si="309"/>
        <v>95.761589999999998</v>
      </c>
      <c r="E1008" s="7">
        <f t="shared" si="310"/>
        <v>1</v>
      </c>
      <c r="G1008" s="4">
        <f t="shared" si="311"/>
        <v>9959.9999999998599</v>
      </c>
      <c r="H1008" s="1">
        <f t="shared" si="322"/>
        <v>26.285307522937511</v>
      </c>
      <c r="I1008" s="1">
        <f t="shared" si="323"/>
        <v>4369.8045453263303</v>
      </c>
      <c r="J1008" s="1">
        <f t="shared" si="312"/>
        <v>145.66015151087768</v>
      </c>
      <c r="K1008" s="7">
        <f t="shared" si="313"/>
        <v>11.972067247469399</v>
      </c>
      <c r="L1008" s="4">
        <f t="shared" si="314"/>
        <v>380.44066980277171</v>
      </c>
      <c r="M1008" s="1">
        <f t="shared" si="315"/>
        <v>1118.6849999999999</v>
      </c>
      <c r="N1008" s="7">
        <f t="shared" si="316"/>
        <v>95.761589999999998</v>
      </c>
      <c r="O1008" s="1">
        <f t="shared" si="317"/>
        <v>3000</v>
      </c>
      <c r="P1008" s="2">
        <f t="shared" si="318"/>
        <v>0.42559327069831365</v>
      </c>
      <c r="Q1008" s="2">
        <f t="shared" ref="Q1008:Q1012" si="325">IFERROR(N1008/100*L1008/(1-N1008/100),L1008*100)</f>
        <v>8595.5826456096438</v>
      </c>
      <c r="S1008" s="1">
        <f t="shared" si="306"/>
        <v>3000</v>
      </c>
      <c r="T1008" s="1">
        <f t="shared" si="307"/>
        <v>380.44066980277171</v>
      </c>
      <c r="V1008" s="1">
        <f t="shared" si="319"/>
        <v>380.44066980277171</v>
      </c>
      <c r="W1008" s="1">
        <f t="shared" si="320"/>
        <v>3000</v>
      </c>
    </row>
    <row r="1009" spans="1:23" x14ac:dyDescent="0.25">
      <c r="A1009" s="2">
        <f t="shared" si="321"/>
        <v>99.69999999999861</v>
      </c>
      <c r="B1009" s="7">
        <f t="shared" si="324"/>
        <v>1.3784161557608938</v>
      </c>
      <c r="C1009" s="7">
        <f t="shared" si="308"/>
        <v>2.2373699999999999</v>
      </c>
      <c r="D1009" s="7">
        <f t="shared" si="309"/>
        <v>95.761589999999998</v>
      </c>
      <c r="E1009" s="7">
        <f t="shared" si="310"/>
        <v>1</v>
      </c>
      <c r="G1009" s="4">
        <f t="shared" si="311"/>
        <v>9969.9999999998599</v>
      </c>
      <c r="H1009" s="1">
        <f t="shared" si="322"/>
        <v>26.479666425450294</v>
      </c>
      <c r="I1009" s="1">
        <f t="shared" si="323"/>
        <v>4396.2842117517803</v>
      </c>
      <c r="J1009" s="1">
        <f t="shared" si="312"/>
        <v>146.54280705839267</v>
      </c>
      <c r="K1009" s="7">
        <f t="shared" si="313"/>
        <v>12.044614278772</v>
      </c>
      <c r="L1009" s="4">
        <f t="shared" si="314"/>
        <v>377.64826185229964</v>
      </c>
      <c r="M1009" s="1">
        <f t="shared" si="315"/>
        <v>1118.6849999999999</v>
      </c>
      <c r="N1009" s="7">
        <f t="shared" si="316"/>
        <v>95.761589999999998</v>
      </c>
      <c r="O1009" s="1">
        <f t="shared" si="317"/>
        <v>3000</v>
      </c>
      <c r="P1009" s="2">
        <f t="shared" si="318"/>
        <v>0.42246944581023982</v>
      </c>
      <c r="Q1009" s="2">
        <f t="shared" si="325"/>
        <v>8532.4916692138158</v>
      </c>
      <c r="S1009" s="1">
        <f t="shared" si="306"/>
        <v>3000</v>
      </c>
      <c r="T1009" s="1">
        <f t="shared" si="307"/>
        <v>377.64826185229964</v>
      </c>
      <c r="V1009" s="1">
        <f t="shared" si="319"/>
        <v>377.64826185229964</v>
      </c>
      <c r="W1009" s="1">
        <f t="shared" si="320"/>
        <v>3000</v>
      </c>
    </row>
    <row r="1010" spans="1:23" x14ac:dyDescent="0.25">
      <c r="A1010" s="2">
        <f t="shared" si="321"/>
        <v>99.799999999998604</v>
      </c>
      <c r="B1010" s="7">
        <f t="shared" si="324"/>
        <v>1.3682986774313524</v>
      </c>
      <c r="C1010" s="7">
        <f t="shared" si="308"/>
        <v>2.2373699999999999</v>
      </c>
      <c r="D1010" s="7">
        <f t="shared" si="309"/>
        <v>95.761589999999998</v>
      </c>
      <c r="E1010" s="7">
        <f t="shared" si="310"/>
        <v>1</v>
      </c>
      <c r="G1010" s="4">
        <f t="shared" si="311"/>
        <v>9979.9999999998599</v>
      </c>
      <c r="H1010" s="1">
        <f t="shared" si="322"/>
        <v>26.675462457158744</v>
      </c>
      <c r="I1010" s="1">
        <f t="shared" si="323"/>
        <v>4422.9596742089388</v>
      </c>
      <c r="J1010" s="1">
        <f t="shared" si="312"/>
        <v>147.43198914029796</v>
      </c>
      <c r="K1010" s="7">
        <f t="shared" si="313"/>
        <v>12.117697737558737</v>
      </c>
      <c r="L1010" s="4">
        <f t="shared" si="314"/>
        <v>374.87634998119239</v>
      </c>
      <c r="M1010" s="1">
        <f t="shared" si="315"/>
        <v>1118.6849999999999</v>
      </c>
      <c r="N1010" s="7">
        <f t="shared" si="316"/>
        <v>95.761589999999998</v>
      </c>
      <c r="O1010" s="1">
        <f t="shared" si="317"/>
        <v>3000</v>
      </c>
      <c r="P1010" s="2">
        <f t="shared" si="318"/>
        <v>0.41936854957871017</v>
      </c>
      <c r="Q1010" s="2">
        <f t="shared" si="325"/>
        <v>8469.8637761791379</v>
      </c>
      <c r="S1010" s="1">
        <f t="shared" si="306"/>
        <v>3000</v>
      </c>
      <c r="T1010" s="1">
        <f t="shared" si="307"/>
        <v>374.87634998119239</v>
      </c>
      <c r="V1010" s="1">
        <f t="shared" si="319"/>
        <v>374.87634998119239</v>
      </c>
      <c r="W1010" s="1">
        <f t="shared" si="320"/>
        <v>3000</v>
      </c>
    </row>
    <row r="1011" spans="1:23" x14ac:dyDescent="0.25">
      <c r="A1011" s="2">
        <f t="shared" si="321"/>
        <v>99.899999999998599</v>
      </c>
      <c r="B1011" s="7">
        <f t="shared" si="324"/>
        <v>1.3582554606862538</v>
      </c>
      <c r="C1011" s="7">
        <f t="shared" si="308"/>
        <v>2.2373699999999999</v>
      </c>
      <c r="D1011" s="7">
        <f t="shared" si="309"/>
        <v>95.761589999999998</v>
      </c>
      <c r="E1011" s="7">
        <f t="shared" si="310"/>
        <v>1</v>
      </c>
      <c r="G1011" s="4">
        <f t="shared" si="311"/>
        <v>9989.9999999998599</v>
      </c>
      <c r="H1011" s="1">
        <f t="shared" si="322"/>
        <v>26.872706244492843</v>
      </c>
      <c r="I1011" s="1">
        <f t="shared" si="323"/>
        <v>4449.8323804534321</v>
      </c>
      <c r="J1011" s="1">
        <f t="shared" si="312"/>
        <v>148.3277460151144</v>
      </c>
      <c r="K1011" s="7">
        <f t="shared" si="313"/>
        <v>12.191321590283376</v>
      </c>
      <c r="L1011" s="4">
        <f t="shared" si="314"/>
        <v>372.1247837496586</v>
      </c>
      <c r="M1011" s="1">
        <f t="shared" si="315"/>
        <v>1118.6849999999999</v>
      </c>
      <c r="N1011" s="7">
        <f t="shared" si="316"/>
        <v>95.761589999999998</v>
      </c>
      <c r="O1011" s="1">
        <f t="shared" si="317"/>
        <v>3000</v>
      </c>
      <c r="P1011" s="2">
        <f t="shared" si="318"/>
        <v>0.41629041370898684</v>
      </c>
      <c r="Q1011" s="2">
        <f t="shared" si="325"/>
        <v>8407.6955675060781</v>
      </c>
      <c r="S1011" s="1">
        <f t="shared" si="306"/>
        <v>3000</v>
      </c>
      <c r="T1011" s="1">
        <f t="shared" si="307"/>
        <v>372.1247837496586</v>
      </c>
      <c r="V1011" s="1">
        <f t="shared" si="319"/>
        <v>372.1247837496586</v>
      </c>
      <c r="W1011" s="1">
        <f t="shared" si="320"/>
        <v>3000</v>
      </c>
    </row>
    <row r="1012" spans="1:23" x14ac:dyDescent="0.25">
      <c r="A1012" s="2">
        <f t="shared" si="321"/>
        <v>99.999999999998593</v>
      </c>
      <c r="B1012" s="7">
        <f t="shared" si="324"/>
        <v>1.3482859604507547</v>
      </c>
      <c r="C1012" s="7">
        <f t="shared" si="308"/>
        <v>2.2373699999999999</v>
      </c>
      <c r="D1012" s="7">
        <f t="shared" si="309"/>
        <v>95.761589999999998</v>
      </c>
      <c r="E1012" s="7">
        <f t="shared" si="310"/>
        <v>1</v>
      </c>
      <c r="G1012" s="4">
        <f t="shared" si="311"/>
        <v>9999.9999999998599</v>
      </c>
      <c r="H1012" s="1">
        <f t="shared" si="322"/>
        <v>27.071408492451734</v>
      </c>
      <c r="I1012" s="1">
        <f t="shared" si="323"/>
        <v>4476.9037889458841</v>
      </c>
      <c r="J1012" s="1">
        <f t="shared" si="312"/>
        <v>149.23012629819613</v>
      </c>
      <c r="K1012" s="7">
        <f t="shared" si="313"/>
        <v>12.26548983272845</v>
      </c>
      <c r="L1012" s="4">
        <f t="shared" si="314"/>
        <v>369.39341382212456</v>
      </c>
      <c r="M1012" s="1">
        <f t="shared" si="315"/>
        <v>1118.6849999999999</v>
      </c>
      <c r="N1012" s="7">
        <f t="shared" si="316"/>
        <v>95.761589999999998</v>
      </c>
      <c r="O1012" s="1">
        <f t="shared" si="317"/>
        <v>3000</v>
      </c>
      <c r="P1012" s="2">
        <f t="shared" si="318"/>
        <v>0.4132348711416034</v>
      </c>
      <c r="Q1012" s="2">
        <f t="shared" si="325"/>
        <v>8345.9836691435212</v>
      </c>
      <c r="S1012" s="1">
        <f t="shared" si="306"/>
        <v>3000</v>
      </c>
      <c r="T1012" s="1">
        <f t="shared" si="307"/>
        <v>369.39341382212456</v>
      </c>
      <c r="V1012" s="1">
        <f t="shared" si="319"/>
        <v>369.39341382212456</v>
      </c>
      <c r="W1012" s="1">
        <f t="shared" si="320"/>
        <v>3000</v>
      </c>
    </row>
    <row r="1013" spans="1:23" x14ac:dyDescent="0.25">
      <c r="A1013" s="2"/>
    </row>
    <row r="1014" spans="1:23" x14ac:dyDescent="0.25">
      <c r="A1014" s="2"/>
    </row>
    <row r="1015" spans="1:23" x14ac:dyDescent="0.25">
      <c r="A1015" s="2"/>
    </row>
    <row r="1016" spans="1:23" x14ac:dyDescent="0.25">
      <c r="A1016" s="2"/>
    </row>
    <row r="1017" spans="1:23" x14ac:dyDescent="0.25">
      <c r="A1017" s="2"/>
    </row>
    <row r="1018" spans="1:23" x14ac:dyDescent="0.25">
      <c r="A1018" s="2"/>
    </row>
    <row r="1019" spans="1:23" x14ac:dyDescent="0.25">
      <c r="A1019" s="2"/>
    </row>
    <row r="1020" spans="1:23" x14ac:dyDescent="0.25">
      <c r="A1020" s="2"/>
    </row>
    <row r="1021" spans="1:23" x14ac:dyDescent="0.25">
      <c r="A1021" s="2"/>
    </row>
    <row r="1022" spans="1:23" x14ac:dyDescent="0.25">
      <c r="A1022" s="2"/>
    </row>
    <row r="1023" spans="1:23" x14ac:dyDescent="0.25">
      <c r="A1023" s="2"/>
    </row>
    <row r="1024" spans="1:23" x14ac:dyDescent="0.25">
      <c r="A1024" s="2"/>
    </row>
    <row r="1025" spans="1:1" x14ac:dyDescent="0.25">
      <c r="A1025" s="2"/>
    </row>
    <row r="1026" spans="1:1" x14ac:dyDescent="0.25">
      <c r="A1026" s="2"/>
    </row>
    <row r="1027" spans="1:1" x14ac:dyDescent="0.25">
      <c r="A1027" s="2"/>
    </row>
    <row r="1028" spans="1:1" x14ac:dyDescent="0.25">
      <c r="A1028" s="2"/>
    </row>
    <row r="1029" spans="1:1" x14ac:dyDescent="0.25">
      <c r="A1029" s="2"/>
    </row>
    <row r="1030" spans="1:1" x14ac:dyDescent="0.25">
      <c r="A1030" s="2"/>
    </row>
    <row r="1031" spans="1:1" x14ac:dyDescent="0.25">
      <c r="A1031" s="2"/>
    </row>
    <row r="1032" spans="1:1" x14ac:dyDescent="0.25">
      <c r="A1032" s="2"/>
    </row>
    <row r="1033" spans="1:1" x14ac:dyDescent="0.25">
      <c r="A1033" s="2"/>
    </row>
    <row r="1034" spans="1:1" x14ac:dyDescent="0.25">
      <c r="A1034" s="2"/>
    </row>
    <row r="1035" spans="1:1" x14ac:dyDescent="0.25">
      <c r="A1035" s="2"/>
    </row>
    <row r="1036" spans="1:1" x14ac:dyDescent="0.25">
      <c r="A1036" s="2"/>
    </row>
    <row r="1037" spans="1:1" x14ac:dyDescent="0.25">
      <c r="A1037" s="2"/>
    </row>
    <row r="1038" spans="1:1" x14ac:dyDescent="0.25">
      <c r="A1038" s="2"/>
    </row>
    <row r="1039" spans="1:1" x14ac:dyDescent="0.25">
      <c r="A1039" s="2"/>
    </row>
    <row r="1040" spans="1:1" x14ac:dyDescent="0.25">
      <c r="A1040" s="2"/>
    </row>
    <row r="1041" spans="1:1" x14ac:dyDescent="0.25">
      <c r="A1041" s="2"/>
    </row>
    <row r="1042" spans="1:1" x14ac:dyDescent="0.25">
      <c r="A1042" s="2"/>
    </row>
    <row r="1043" spans="1:1" x14ac:dyDescent="0.25">
      <c r="A1043" s="2"/>
    </row>
    <row r="1044" spans="1:1" x14ac:dyDescent="0.25">
      <c r="A1044" s="2"/>
    </row>
    <row r="1045" spans="1:1" x14ac:dyDescent="0.25">
      <c r="A1045" s="2"/>
    </row>
    <row r="1046" spans="1:1" x14ac:dyDescent="0.25">
      <c r="A1046" s="2"/>
    </row>
    <row r="1047" spans="1:1" x14ac:dyDescent="0.25">
      <c r="A1047" s="2"/>
    </row>
    <row r="1048" spans="1:1" x14ac:dyDescent="0.25">
      <c r="A1048" s="2"/>
    </row>
    <row r="1049" spans="1:1" x14ac:dyDescent="0.25">
      <c r="A1049" s="2"/>
    </row>
    <row r="1050" spans="1:1" x14ac:dyDescent="0.25">
      <c r="A1050" s="2"/>
    </row>
    <row r="1051" spans="1:1" x14ac:dyDescent="0.25">
      <c r="A1051" s="2"/>
    </row>
    <row r="1052" spans="1:1" x14ac:dyDescent="0.25">
      <c r="A1052" s="2"/>
    </row>
    <row r="1053" spans="1:1" x14ac:dyDescent="0.25">
      <c r="A1053" s="2"/>
    </row>
    <row r="1054" spans="1:1" x14ac:dyDescent="0.25">
      <c r="A1054" s="2"/>
    </row>
    <row r="1055" spans="1:1" x14ac:dyDescent="0.25">
      <c r="A1055" s="2"/>
    </row>
    <row r="1056" spans="1:1" x14ac:dyDescent="0.25">
      <c r="A1056" s="2"/>
    </row>
    <row r="1057" spans="1:1" x14ac:dyDescent="0.25">
      <c r="A1057" s="2"/>
    </row>
    <row r="1058" spans="1:1" x14ac:dyDescent="0.25">
      <c r="A1058" s="2"/>
    </row>
    <row r="1059" spans="1:1" x14ac:dyDescent="0.25">
      <c r="A1059" s="2"/>
    </row>
    <row r="1060" spans="1:1" x14ac:dyDescent="0.25">
      <c r="A1060" s="2"/>
    </row>
    <row r="1061" spans="1:1" x14ac:dyDescent="0.25">
      <c r="A1061" s="2"/>
    </row>
    <row r="1062" spans="1:1" x14ac:dyDescent="0.25">
      <c r="A1062" s="2"/>
    </row>
    <row r="1063" spans="1:1" x14ac:dyDescent="0.25">
      <c r="A1063" s="2"/>
    </row>
    <row r="1064" spans="1:1" x14ac:dyDescent="0.25">
      <c r="A1064" s="2"/>
    </row>
    <row r="1065" spans="1:1" x14ac:dyDescent="0.25">
      <c r="A1065" s="2"/>
    </row>
    <row r="1066" spans="1:1" x14ac:dyDescent="0.25">
      <c r="A1066" s="2"/>
    </row>
    <row r="1067" spans="1:1" x14ac:dyDescent="0.25">
      <c r="A1067" s="2"/>
    </row>
    <row r="1068" spans="1:1" x14ac:dyDescent="0.25">
      <c r="A1068" s="2"/>
    </row>
    <row r="1069" spans="1:1" x14ac:dyDescent="0.25">
      <c r="A1069" s="2"/>
    </row>
    <row r="1070" spans="1:1" x14ac:dyDescent="0.25">
      <c r="A1070" s="2"/>
    </row>
    <row r="1071" spans="1:1" x14ac:dyDescent="0.25">
      <c r="A1071" s="2"/>
    </row>
    <row r="1072" spans="1:1" x14ac:dyDescent="0.25">
      <c r="A1072" s="2"/>
    </row>
    <row r="1073" spans="1:1" x14ac:dyDescent="0.25">
      <c r="A1073" s="2"/>
    </row>
    <row r="1074" spans="1:1" x14ac:dyDescent="0.25">
      <c r="A1074" s="2"/>
    </row>
    <row r="1075" spans="1:1" x14ac:dyDescent="0.25">
      <c r="A1075" s="2"/>
    </row>
    <row r="1076" spans="1:1" x14ac:dyDescent="0.25">
      <c r="A1076" s="2"/>
    </row>
    <row r="1077" spans="1:1" x14ac:dyDescent="0.25">
      <c r="A1077" s="2"/>
    </row>
    <row r="1078" spans="1:1" x14ac:dyDescent="0.25">
      <c r="A1078" s="2"/>
    </row>
    <row r="1079" spans="1:1" x14ac:dyDescent="0.25">
      <c r="A1079" s="2"/>
    </row>
    <row r="1080" spans="1:1" x14ac:dyDescent="0.25">
      <c r="A1080" s="2"/>
    </row>
    <row r="1081" spans="1:1" x14ac:dyDescent="0.25">
      <c r="A1081" s="2"/>
    </row>
    <row r="1082" spans="1:1" x14ac:dyDescent="0.25">
      <c r="A1082" s="2"/>
    </row>
    <row r="1083" spans="1:1" x14ac:dyDescent="0.25">
      <c r="A1083" s="2"/>
    </row>
    <row r="1084" spans="1:1" x14ac:dyDescent="0.25">
      <c r="A1084" s="2"/>
    </row>
    <row r="1085" spans="1:1" x14ac:dyDescent="0.25">
      <c r="A1085" s="2"/>
    </row>
    <row r="1086" spans="1:1" x14ac:dyDescent="0.25">
      <c r="A1086" s="2"/>
    </row>
    <row r="1087" spans="1:1" x14ac:dyDescent="0.25">
      <c r="A1087" s="2"/>
    </row>
    <row r="1088" spans="1:1" x14ac:dyDescent="0.25">
      <c r="A1088" s="2"/>
    </row>
    <row r="1089" spans="1:1" x14ac:dyDescent="0.25">
      <c r="A1089" s="2"/>
    </row>
    <row r="1090" spans="1:1" x14ac:dyDescent="0.25">
      <c r="A1090" s="2"/>
    </row>
    <row r="1091" spans="1:1" x14ac:dyDescent="0.25">
      <c r="A1091" s="2"/>
    </row>
    <row r="1092" spans="1:1" x14ac:dyDescent="0.25">
      <c r="A1092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Dashboard_ProdForecast</vt:lpstr>
      <vt:lpstr>Production_Forecast</vt:lpstr>
      <vt:lpstr>Dashboard_ProdForecast!Print_Area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Najmi Rahim</dc:creator>
  <cp:lastModifiedBy>Muhammad Naqiuddin Kamil Mohd Rahhim</cp:lastModifiedBy>
  <dcterms:created xsi:type="dcterms:W3CDTF">2019-06-11T00:42:27Z</dcterms:created>
  <dcterms:modified xsi:type="dcterms:W3CDTF">2021-08-23T10:12:10Z</dcterms:modified>
</cp:coreProperties>
</file>